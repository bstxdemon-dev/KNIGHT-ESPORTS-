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Settings" sheetId="2" state="visible" r:id="rId4"/>
    <sheet name="Players" sheetId="3" state="visible" r:id="rId5"/>
    <sheet name="Payments" sheetId="4" state="visible" r:id="rId6"/>
    <sheet name="Entries" sheetId="5" state="visible" r:id="rId7"/>
    <sheet name="Matches" sheetId="6" state="visible" r:id="rId8"/>
  </sheets>
  <definedNames>
    <definedName function="false" hidden="true" localSheetId="4" name="_xlnm._FilterDatabase" vbProcedure="false">Entries!$B$4:$F$2004</definedName>
    <definedName function="false" hidden="true" localSheetId="3" name="_xlnm._FilterDatabase" vbProcedure="false">Payments!$B$4:$G$1004</definedName>
    <definedName function="false" hidden="true" localSheetId="2" name="_xlnm._FilterDatabase" vbProcedure="false">Players!$B$4:$H$304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<sst xmlns="http://schemas.openxmlformats.org/spreadsheetml/2006/main" count="101" uniqueCount="80">
  <si>
    <t xml:space="preserve">KNIGHT ESPORTS</t>
  </si>
  <si>
    <t xml:space="preserve">Dashboard  |  Player &amp; wallet manager</t>
  </si>
  <si>
    <t xml:space="preserve">PLAYERS</t>
  </si>
  <si>
    <t xml:space="preserve">VERIFIED PAYMENTS</t>
  </si>
  <si>
    <t xml:space="preserve">WALLET BALANCE HELD</t>
  </si>
  <si>
    <t xml:space="preserve">MATCH ENTRIES</t>
  </si>
  <si>
    <t xml:space="preserve">WHEN A PLAYER PAYS</t>
  </si>
  <si>
    <t xml:space="preserve">A payment message arrives on WhatsApp. Check in the UPI app that the money really arrived.</t>
  </si>
  <si>
    <t xml:space="preserve">Players sheet: add the player once (Free Fire UID, name, WhatsApp number) if they are new.</t>
  </si>
  <si>
    <t xml:space="preserve">Payments sheet: add date, UID, amount, transaction ID, and set Verified? to Yes. The balance updates by itself.</t>
  </si>
  <si>
    <t xml:space="preserve">WHEN A SQUAD REGISTERS</t>
  </si>
  <si>
    <t xml:space="preserve">Entries sheet: add 4 rows (match name, squad name, UID). Type the match name the same way every time.</t>
  </si>
  <si>
    <t xml:space="preserve">Check Status: OK = enough balance (the fee is taken automatically). LOW BALANCE = ask them to pay first.</t>
  </si>
  <si>
    <t xml:space="preserve">Send the Room ID and password only to squads where all 4 players show OK.</t>
  </si>
  <si>
    <t xml:space="preserve">OTHER JOBS</t>
  </si>
  <si>
    <t xml:space="preserve">+</t>
  </si>
  <si>
    <t xml:space="preserve">Balance check: Players sheet, Balance column.   Refund: add a NEGATIVE amount in Payments (example -25) with Verified? = Yes.</t>
  </si>
  <si>
    <t xml:space="preserve">See one match's players: click the filter arrow on the Match column in Entries.   Change the fee: Settings sheet.</t>
  </si>
  <si>
    <t xml:space="preserve">STAY SAFE</t>
  </si>
  <si>
    <t xml:space="preserve">!</t>
  </si>
  <si>
    <t xml:space="preserve">Mark Verified? = Yes only after the money is in the UPI account. A parent should be able to check this file.</t>
  </si>
  <si>
    <t xml:space="preserve">Keep the file private and back it up (upload to Google Drive). Gold text on a lighter cell = type here. Other cells are automatic.</t>
  </si>
  <si>
    <t xml:space="preserve">Delete the example rows (Rahul / Night Wolves) before you start: clear only the gold-text cells.</t>
  </si>
  <si>
    <t xml:space="preserve">Settings  |  Change these and every balance updates</t>
  </si>
  <si>
    <t xml:space="preserve">SETTING</t>
  </si>
  <si>
    <t xml:space="preserve">VALUE</t>
  </si>
  <si>
    <t xml:space="preserve">NOTE</t>
  </si>
  <si>
    <t xml:space="preserve">Entry fee per player (₹)</t>
  </si>
  <si>
    <t xml:space="preserve">Set by you (the organiser). Used in all balance formulas.</t>
  </si>
  <si>
    <t xml:space="preserve">Players per squad</t>
  </si>
  <si>
    <t xml:space="preserve">Free Fire squad mode has 4 players.</t>
  </si>
  <si>
    <t xml:space="preserve">Minimum payment (₹)</t>
  </si>
  <si>
    <t xml:space="preserve">Information only: the smallest amount a player can add to their wallet.</t>
  </si>
  <si>
    <t xml:space="preserve">Players &amp; wallets  |  One row per player. Balances are automatic.</t>
  </si>
  <si>
    <t xml:space="preserve">FREE FIRE UID</t>
  </si>
  <si>
    <t xml:space="preserve">PLAYER NAME</t>
  </si>
  <si>
    <t xml:space="preserve">WHATSAPP NUMBER</t>
  </si>
  <si>
    <t xml:space="preserve">TOTAL PAID</t>
  </si>
  <si>
    <t xml:space="preserve">ENTRIES USED</t>
  </si>
  <si>
    <t xml:space="preserve">SPENT</t>
  </si>
  <si>
    <t xml:space="preserve">BALANCE</t>
  </si>
  <si>
    <t xml:space="preserve">HOW TO FILL</t>
  </si>
  <si>
    <t xml:space="preserve">123456789</t>
  </si>
  <si>
    <t xml:space="preserve">Rahul</t>
  </si>
  <si>
    <t xml:space="preserve">9876543210</t>
  </si>
  <si>
    <t xml:space="preserve">Gold text = type here</t>
  </si>
  <si>
    <t xml:space="preserve">Other columns are automatic</t>
  </si>
  <si>
    <t xml:space="preserve">Balance = verified payments</t>
  </si>
  <si>
    <t xml:space="preserve">minus (entries x entry fee)</t>
  </si>
  <si>
    <t xml:space="preserve">Green = money left, red = owes</t>
  </si>
  <si>
    <t xml:space="preserve">Payments  |  Every rupee that comes in. Only 'Yes' rows count.</t>
  </si>
  <si>
    <t xml:space="preserve">DATE</t>
  </si>
  <si>
    <t xml:space="preserve">PLAYER (AUTO)</t>
  </si>
  <si>
    <t xml:space="preserve">AMOUNT</t>
  </si>
  <si>
    <t xml:space="preserve">UPI TRANSACTION ID</t>
  </si>
  <si>
    <t xml:space="preserve">VERIFIED?</t>
  </si>
  <si>
    <t xml:space="preserve">412345678901</t>
  </si>
  <si>
    <t xml:space="preserve">Yes</t>
  </si>
  <si>
    <t xml:space="preserve">Set Verified? to Yes only after</t>
  </si>
  <si>
    <t xml:space="preserve">the money reaches the UPI account</t>
  </si>
  <si>
    <t xml:space="preserve">Refund: use a negative amount</t>
  </si>
  <si>
    <t xml:space="preserve">Example: -25</t>
  </si>
  <si>
    <t xml:space="preserve">Match entries  |  One row per player per match (4 rows per squad).</t>
  </si>
  <si>
    <t xml:space="preserve">MATCH NAME</t>
  </si>
  <si>
    <t xml:space="preserve">SQUAD NAME</t>
  </si>
  <si>
    <t xml:space="preserve">STATUS</t>
  </si>
  <si>
    <t xml:space="preserve">Daily Squad Cup 5:00 PM - 15 Oct</t>
  </si>
  <si>
    <t xml:space="preserve">Night Wolves</t>
  </si>
  <si>
    <t xml:space="preserve">Use the exact same match name</t>
  </si>
  <si>
    <t xml:space="preserve">OK = enough balance</t>
  </si>
  <si>
    <t xml:space="preserve">LOW BALANCE = ask them to pay</t>
  </si>
  <si>
    <t xml:space="preserve">Each row costs the entry fee</t>
  </si>
  <si>
    <t xml:space="preserve">Matches  |  How full is each match?</t>
  </si>
  <si>
    <t xml:space="preserve">SQUAD SLOTS</t>
  </si>
  <si>
    <t xml:space="preserve">PLAYERS JOINED</t>
  </si>
  <si>
    <t xml:space="preserve">SQUADS JOINED</t>
  </si>
  <si>
    <t xml:space="preserve">SLOTS LEFT</t>
  </si>
  <si>
    <t xml:space="preserve">Match name must equal the one</t>
  </si>
  <si>
    <t xml:space="preserve">used in the Entries sheet</t>
  </si>
  <si>
    <t xml:space="preserve">Slots left below 0 = over-full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</si>
</sst>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₹#,##0;&quot;-₹&quot;#,##0;\₹0"/>
    <numFmt numFmtId="167" formatCode="@"/>
    <numFmt numFmtId="168" formatCode="dd\-m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B400"/>
      <name val="Arial Black"/>
      <family val="0"/>
      <charset val="1"/>
    </font>
    <font>
      <sz val="11"/>
      <color rgb="FF8B90A7"/>
      <name val="Arial"/>
      <family val="0"/>
      <charset val="1"/>
    </font>
    <font>
      <b val="true"/>
      <sz val="22"/>
      <color rgb="FFFFB400"/>
      <name val="Arial Black"/>
      <family val="0"/>
      <charset val="1"/>
    </font>
    <font>
      <b val="true"/>
      <sz val="9"/>
      <color rgb="FF8B90A7"/>
      <name val="Arial"/>
      <family val="0"/>
      <charset val="1"/>
    </font>
    <font>
      <b val="true"/>
      <sz val="12"/>
      <color rgb="FFFFB400"/>
      <name val="Arial Black"/>
      <family val="0"/>
      <charset val="1"/>
    </font>
    <font>
      <b val="true"/>
      <sz val="14"/>
      <color rgb="FFFF3B30"/>
      <name val="Arial Black"/>
      <family val="0"/>
      <charset val="1"/>
    </font>
    <font>
      <sz val="11"/>
      <color rgb="FFE8EAF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FFD166"/>
      <name val="Arial"/>
      <family val="0"/>
      <charset val="1"/>
    </font>
    <font>
      <sz val="10"/>
      <color rgb="FF8B90A7"/>
      <name val="Arial"/>
      <family val="0"/>
      <charset val="1"/>
    </font>
    <font>
      <b val="true"/>
      <sz val="11"/>
      <color rgb="FFE8EAF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7080D"/>
        <bgColor rgb="FF000000"/>
      </patternFill>
    </fill>
    <fill>
      <patternFill patternType="solid">
        <fgColor rgb="FF11131C"/>
        <bgColor rgb="FF1A1D2B"/>
      </patternFill>
    </fill>
    <fill>
      <patternFill patternType="solid">
        <fgColor rgb="FFFFB400"/>
        <bgColor rgb="FFFF9900"/>
      </patternFill>
    </fill>
    <fill>
      <patternFill patternType="solid">
        <fgColor rgb="FF1A1D2B"/>
        <bgColor rgb="FF23263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32638"/>
      </left>
      <right style="thin">
        <color rgb="FF232638"/>
      </right>
      <top style="medium">
        <color rgb="FFFFB400"/>
      </top>
      <bottom/>
      <diagonal/>
    </border>
    <border diagonalUp="false" diagonalDown="false">
      <left style="thin">
        <color rgb="FF232638"/>
      </left>
      <right style="thin">
        <color rgb="FF232638"/>
      </right>
      <top/>
      <bottom style="thin">
        <color rgb="FF232638"/>
      </bottom>
      <diagonal/>
    </border>
    <border diagonalUp="false" diagonalDown="false">
      <left style="thin">
        <color rgb="FF232638"/>
      </left>
      <right style="thin">
        <color rgb="FF232638"/>
      </right>
      <top style="thin">
        <color rgb="FF232638"/>
      </top>
      <bottom style="thin">
        <color rgb="FF23263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2" fillId="5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3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2" fillId="5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2" fillId="5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5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0" fillId="3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0" fillId="3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4" fillId="3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2" fillId="5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A1D2B"/>
          <bgColor rgb="FF000000"/>
        </patternFill>
      </fill>
    </dxf>
    <dxf>
      <fill>
        <patternFill patternType="solid">
          <fgColor rgb="FFFFB4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D166"/>
          <bgColor rgb="FF000000"/>
        </patternFill>
      </fill>
    </dxf>
    <dxf>
      <fill>
        <patternFill patternType="solid">
          <fgColor rgb="FF11131C"/>
          <bgColor rgb="FF000000"/>
        </patternFill>
      </fill>
    </dxf>
    <dxf>
      <fill>
        <patternFill patternType="solid">
          <fgColor rgb="FFE8EAF2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ont>
        <name val="Arial"/>
        <charset val="1"/>
        <family val="0"/>
        <b val="1"/>
        <color rgb="FFFF3B30"/>
      </font>
    </dxf>
    <dxf>
      <font>
        <name val="Arial"/>
        <charset val="1"/>
        <family val="0"/>
        <b val="1"/>
        <color rgb="FF22C55E"/>
      </font>
    </dxf>
    <dxf>
      <font>
        <name val="Arial"/>
        <charset val="1"/>
        <family val="0"/>
        <b val="1"/>
        <color rgb="FFFFB400"/>
      </font>
    </dxf>
  </dxfs>
  <colors>
    <indexedColors>
      <rgbColor rgb="FF000000"/>
      <rgbColor rgb="FFE8EA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7080D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166"/>
      <rgbColor rgb="FF3366FF"/>
      <rgbColor rgb="FF33CCCC"/>
      <rgbColor rgb="FF99CC00"/>
      <rgbColor rgb="FFFFB400"/>
      <rgbColor rgb="FFFF9900"/>
      <rgbColor rgb="FFFF3B30"/>
      <rgbColor rgb="FF666699"/>
      <rgbColor rgb="FF8B90A7"/>
      <rgbColor rgb="FF003366"/>
      <rgbColor rgb="FF22C55E"/>
      <rgbColor rgb="FF11131C"/>
      <rgbColor rgb="FF1A1D2B"/>
      <rgbColor rgb="FF993300"/>
      <rgbColor rgb="FF993366"/>
      <rgbColor rgb="FF333399"/>
      <rgbColor rgb="FF2326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00"/>
    <pageSetUpPr fitToPage="false"/>
  </sheetPr>
  <dimension ref="A1:J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7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7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43.5" hidden="false" customHeight="true" outlineLevel="0" collapsed="false">
      <c r="A5" s="1"/>
      <c r="B5" s="4" t="n">
        <f aca="false">SUMPRODUCT(--(Players!$B$5:$B$304&lt;&gt;""))</f>
        <v>1</v>
      </c>
      <c r="C5" s="4"/>
      <c r="D5" s="5" t="n">
        <f aca="false">SUMIFS(Payments!$E$5:$E$1004,Payments!$G$5:$G$1004,"Yes")</f>
        <v>100</v>
      </c>
      <c r="E5" s="5"/>
      <c r="F5" s="5" t="n">
        <f aca="false">SUM(Players!$H$5:$H$304)</f>
        <v>75</v>
      </c>
      <c r="G5" s="5"/>
      <c r="H5" s="4" t="n">
        <f aca="false">SUMPRODUCT(--(Entries!$D$5:$D$2004&lt;&gt;""))</f>
        <v>1</v>
      </c>
      <c r="I5" s="4"/>
      <c r="J5" s="1"/>
    </row>
    <row r="6" customFormat="false" ht="21.75" hidden="false" customHeight="true" outlineLevel="0" collapsed="false">
      <c r="A6" s="1"/>
      <c r="B6" s="6" t="s">
        <v>2</v>
      </c>
      <c r="C6" s="6"/>
      <c r="D6" s="6" t="s">
        <v>3</v>
      </c>
      <c r="E6" s="6"/>
      <c r="F6" s="6" t="s">
        <v>4</v>
      </c>
      <c r="G6" s="6"/>
      <c r="H6" s="6" t="s">
        <v>5</v>
      </c>
      <c r="I6" s="6"/>
      <c r="J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25.5" hidden="false" customHeight="true" outlineLevel="0" collapsed="false">
      <c r="A8" s="1"/>
      <c r="B8" s="7" t="s">
        <v>6</v>
      </c>
      <c r="C8" s="7"/>
      <c r="D8" s="7"/>
      <c r="E8" s="7"/>
      <c r="F8" s="7"/>
      <c r="G8" s="7"/>
      <c r="H8" s="7"/>
      <c r="I8" s="7"/>
      <c r="J8" s="1"/>
    </row>
    <row r="9" customFormat="false" ht="30" hidden="false" customHeight="true" outlineLevel="0" collapsed="false">
      <c r="A9" s="1"/>
      <c r="B9" s="8" t="n">
        <v>1</v>
      </c>
      <c r="C9" s="9" t="s">
        <v>7</v>
      </c>
      <c r="D9" s="9"/>
      <c r="E9" s="9"/>
      <c r="F9" s="9"/>
      <c r="G9" s="9"/>
      <c r="H9" s="9"/>
      <c r="I9" s="9"/>
      <c r="J9" s="1"/>
    </row>
    <row r="10" customFormat="false" ht="30" hidden="false" customHeight="true" outlineLevel="0" collapsed="false">
      <c r="A10" s="1"/>
      <c r="B10" s="8" t="n">
        <v>2</v>
      </c>
      <c r="C10" s="9" t="s">
        <v>8</v>
      </c>
      <c r="D10" s="9"/>
      <c r="E10" s="9"/>
      <c r="F10" s="9"/>
      <c r="G10" s="9"/>
      <c r="H10" s="9"/>
      <c r="I10" s="9"/>
      <c r="J10" s="1"/>
    </row>
    <row r="11" customFormat="false" ht="30" hidden="false" customHeight="true" outlineLevel="0" collapsed="false">
      <c r="A11" s="1"/>
      <c r="B11" s="8" t="n">
        <v>3</v>
      </c>
      <c r="C11" s="9" t="s">
        <v>9</v>
      </c>
      <c r="D11" s="9"/>
      <c r="E11" s="9"/>
      <c r="F11" s="9"/>
      <c r="G11" s="9"/>
      <c r="H11" s="9"/>
      <c r="I11" s="9"/>
      <c r="J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25.5" hidden="false" customHeight="true" outlineLevel="0" collapsed="false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1"/>
    </row>
    <row r="14" customFormat="false" ht="30" hidden="false" customHeight="true" outlineLevel="0" collapsed="false">
      <c r="A14" s="1"/>
      <c r="B14" s="8" t="n">
        <v>4</v>
      </c>
      <c r="C14" s="9" t="s">
        <v>11</v>
      </c>
      <c r="D14" s="9"/>
      <c r="E14" s="9"/>
      <c r="F14" s="9"/>
      <c r="G14" s="9"/>
      <c r="H14" s="9"/>
      <c r="I14" s="9"/>
      <c r="J14" s="1"/>
    </row>
    <row r="15" customFormat="false" ht="30" hidden="false" customHeight="true" outlineLevel="0" collapsed="false">
      <c r="A15" s="1"/>
      <c r="B15" s="8" t="n">
        <v>5</v>
      </c>
      <c r="C15" s="9" t="s">
        <v>12</v>
      </c>
      <c r="D15" s="9"/>
      <c r="E15" s="9"/>
      <c r="F15" s="9"/>
      <c r="G15" s="9"/>
      <c r="H15" s="9"/>
      <c r="I15" s="9"/>
      <c r="J15" s="1"/>
    </row>
    <row r="16" customFormat="false" ht="30" hidden="false" customHeight="true" outlineLevel="0" collapsed="false">
      <c r="A16" s="1"/>
      <c r="B16" s="8" t="n">
        <v>6</v>
      </c>
      <c r="C16" s="9" t="s">
        <v>13</v>
      </c>
      <c r="D16" s="9"/>
      <c r="E16" s="9"/>
      <c r="F16" s="9"/>
      <c r="G16" s="9"/>
      <c r="H16" s="9"/>
      <c r="I16" s="9"/>
      <c r="J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25.5" hidden="false" customHeight="true" outlineLevel="0" collapsed="false">
      <c r="A18" s="1"/>
      <c r="B18" s="7" t="s">
        <v>14</v>
      </c>
      <c r="C18" s="7"/>
      <c r="D18" s="7"/>
      <c r="E18" s="7"/>
      <c r="F18" s="7"/>
      <c r="G18" s="7"/>
      <c r="H18" s="7"/>
      <c r="I18" s="7"/>
      <c r="J18" s="1"/>
    </row>
    <row r="19" customFormat="false" ht="30" hidden="false" customHeight="true" outlineLevel="0" collapsed="false">
      <c r="A19" s="1"/>
      <c r="B19" s="8" t="s">
        <v>15</v>
      </c>
      <c r="C19" s="9" t="s">
        <v>16</v>
      </c>
      <c r="D19" s="9"/>
      <c r="E19" s="9"/>
      <c r="F19" s="9"/>
      <c r="G19" s="9"/>
      <c r="H19" s="9"/>
      <c r="I19" s="9"/>
      <c r="J19" s="1"/>
    </row>
    <row r="20" customFormat="false" ht="30" hidden="false" customHeight="true" outlineLevel="0" collapsed="false">
      <c r="A20" s="1"/>
      <c r="B20" s="8" t="s">
        <v>15</v>
      </c>
      <c r="C20" s="9" t="s">
        <v>17</v>
      </c>
      <c r="D20" s="9"/>
      <c r="E20" s="9"/>
      <c r="F20" s="9"/>
      <c r="G20" s="9"/>
      <c r="H20" s="9"/>
      <c r="I20" s="9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25.5" hidden="false" customHeight="true" outlineLevel="0" collapsed="false">
      <c r="A22" s="1"/>
      <c r="B22" s="7" t="s">
        <v>18</v>
      </c>
      <c r="C22" s="7"/>
      <c r="D22" s="7"/>
      <c r="E22" s="7"/>
      <c r="F22" s="7"/>
      <c r="G22" s="7"/>
      <c r="H22" s="7"/>
      <c r="I22" s="7"/>
      <c r="J22" s="1"/>
    </row>
    <row r="23" customFormat="false" ht="30" hidden="false" customHeight="true" outlineLevel="0" collapsed="false">
      <c r="A23" s="1"/>
      <c r="B23" s="8" t="s">
        <v>19</v>
      </c>
      <c r="C23" s="9" t="s">
        <v>20</v>
      </c>
      <c r="D23" s="9"/>
      <c r="E23" s="9"/>
      <c r="F23" s="9"/>
      <c r="G23" s="9"/>
      <c r="H23" s="9"/>
      <c r="I23" s="9"/>
      <c r="J23" s="1"/>
    </row>
    <row r="24" customFormat="false" ht="30" hidden="false" customHeight="true" outlineLevel="0" collapsed="false">
      <c r="A24" s="1"/>
      <c r="B24" s="8" t="s">
        <v>19</v>
      </c>
      <c r="C24" s="9" t="s">
        <v>21</v>
      </c>
      <c r="D24" s="9"/>
      <c r="E24" s="9"/>
      <c r="F24" s="9"/>
      <c r="G24" s="9"/>
      <c r="H24" s="9"/>
      <c r="I24" s="9"/>
      <c r="J24" s="1"/>
    </row>
    <row r="25" customFormat="false" ht="30" hidden="false" customHeight="true" outlineLevel="0" collapsed="false">
      <c r="A25" s="1"/>
      <c r="B25" s="8" t="s">
        <v>19</v>
      </c>
      <c r="C25" s="9" t="s">
        <v>22</v>
      </c>
      <c r="D25" s="9"/>
      <c r="E25" s="9"/>
      <c r="F25" s="9"/>
      <c r="G25" s="9"/>
      <c r="H25" s="9"/>
      <c r="I25" s="9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23">
    <mergeCell ref="B5:C5"/>
    <mergeCell ref="D5:E5"/>
    <mergeCell ref="F5:G5"/>
    <mergeCell ref="H5:I5"/>
    <mergeCell ref="B6:C6"/>
    <mergeCell ref="D6:E6"/>
    <mergeCell ref="F6:G6"/>
    <mergeCell ref="H6:I6"/>
    <mergeCell ref="B8:I8"/>
    <mergeCell ref="C9:I9"/>
    <mergeCell ref="C10:I10"/>
    <mergeCell ref="C11:I11"/>
    <mergeCell ref="B13:I13"/>
    <mergeCell ref="C14:I14"/>
    <mergeCell ref="C15:I15"/>
    <mergeCell ref="C16:I16"/>
    <mergeCell ref="B18:I18"/>
    <mergeCell ref="C19:I19"/>
    <mergeCell ref="C20:I20"/>
    <mergeCell ref="B22:I22"/>
    <mergeCell ref="C23:I23"/>
    <mergeCell ref="C24:I24"/>
    <mergeCell ref="C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00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64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</row>
    <row r="2" customFormat="false" ht="37.5" hidden="false" customHeight="true" outlineLevel="0" collapsed="false">
      <c r="A2" s="1"/>
      <c r="B2" s="2" t="s">
        <v>0</v>
      </c>
      <c r="C2" s="1"/>
      <c r="D2" s="1"/>
      <c r="E2" s="1"/>
      <c r="F2" s="1"/>
    </row>
    <row r="3" customFormat="false" ht="21.75" hidden="false" customHeight="true" outlineLevel="0" collapsed="false">
      <c r="A3" s="1"/>
      <c r="B3" s="3" t="s">
        <v>23</v>
      </c>
      <c r="C3" s="1"/>
      <c r="D3" s="1"/>
      <c r="E3" s="1"/>
      <c r="F3" s="1"/>
    </row>
    <row r="4" customFormat="false" ht="30" hidden="false" customHeight="true" outlineLevel="0" collapsed="false">
      <c r="A4" s="1"/>
      <c r="B4" s="10" t="s">
        <v>24</v>
      </c>
      <c r="C4" s="10" t="s">
        <v>25</v>
      </c>
      <c r="D4" s="10" t="s">
        <v>26</v>
      </c>
      <c r="E4" s="1"/>
      <c r="F4" s="1"/>
    </row>
    <row r="5" customFormat="false" ht="25.5" hidden="false" customHeight="true" outlineLevel="0" collapsed="false">
      <c r="A5" s="1"/>
      <c r="B5" s="11" t="s">
        <v>27</v>
      </c>
      <c r="C5" s="12" t="n">
        <v>25</v>
      </c>
      <c r="D5" s="13" t="s">
        <v>28</v>
      </c>
      <c r="E5" s="1"/>
      <c r="F5" s="1"/>
    </row>
    <row r="6" customFormat="false" ht="25.5" hidden="false" customHeight="true" outlineLevel="0" collapsed="false">
      <c r="A6" s="1"/>
      <c r="B6" s="11" t="s">
        <v>29</v>
      </c>
      <c r="C6" s="14" t="n">
        <v>4</v>
      </c>
      <c r="D6" s="13" t="s">
        <v>30</v>
      </c>
      <c r="E6" s="1"/>
      <c r="F6" s="1"/>
    </row>
    <row r="7" customFormat="false" ht="25.5" hidden="false" customHeight="true" outlineLevel="0" collapsed="false">
      <c r="A7" s="1"/>
      <c r="B7" s="11" t="s">
        <v>31</v>
      </c>
      <c r="C7" s="12" t="n">
        <v>25</v>
      </c>
      <c r="D7" s="13" t="s">
        <v>32</v>
      </c>
      <c r="E7" s="1"/>
      <c r="F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00"/>
    <pageSetUpPr fitToPage="false"/>
  </sheetPr>
  <dimension ref="A1:K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44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7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21.75" hidden="false" customHeight="true" outlineLevel="0" collapsed="false">
      <c r="A3" s="1"/>
      <c r="B3" s="3" t="s">
        <v>33</v>
      </c>
      <c r="C3" s="1"/>
      <c r="D3" s="1"/>
      <c r="E3" s="1"/>
      <c r="F3" s="1"/>
      <c r="G3" s="1"/>
      <c r="H3" s="1"/>
      <c r="I3" s="1"/>
      <c r="J3" s="1"/>
      <c r="K3" s="1"/>
    </row>
    <row r="4" customFormat="false" ht="30" hidden="false" customHeight="true" outlineLevel="0" collapsed="false">
      <c r="A4" s="1"/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"/>
      <c r="J4" s="10" t="s">
        <v>41</v>
      </c>
      <c r="K4" s="1"/>
    </row>
    <row r="5" customFormat="false" ht="21.75" hidden="false" customHeight="true" outlineLevel="0" collapsed="false">
      <c r="A5" s="1"/>
      <c r="B5" s="15" t="s">
        <v>42</v>
      </c>
      <c r="C5" s="16" t="s">
        <v>43</v>
      </c>
      <c r="D5" s="15" t="s">
        <v>44</v>
      </c>
      <c r="E5" s="17" t="n">
        <f aca="false">IF($B5="","",SUMIFS(Payments!$E$5:$E$1004,Payments!$C$5:$C$1004,$B5,Payments!$G$5:$G$1004,"Yes"))</f>
        <v>100</v>
      </c>
      <c r="F5" s="18" t="n">
        <f aca="false">IF($B5="","",COUNTIF(Entries!$D$5:$D$2004,$B5))</f>
        <v>1</v>
      </c>
      <c r="G5" s="17" t="n">
        <f aca="false">IF($B5="","",F5*Settings!$C$5)</f>
        <v>25</v>
      </c>
      <c r="H5" s="19" t="n">
        <f aca="false">IF($B5="","",E5-G5)</f>
        <v>75</v>
      </c>
      <c r="I5" s="1"/>
      <c r="J5" s="13" t="s">
        <v>45</v>
      </c>
      <c r="K5" s="1"/>
    </row>
    <row r="6" customFormat="false" ht="21.75" hidden="false" customHeight="true" outlineLevel="0" collapsed="false">
      <c r="A6" s="1"/>
      <c r="B6" s="15"/>
      <c r="C6" s="16"/>
      <c r="D6" s="15"/>
      <c r="E6" s="17" t="str">
        <f aca="false">IF($B6="","",SUMIFS(Payments!$E$5:$E$1004,Payments!$C$5:$C$1004,$B6,Payments!$G$5:$G$1004,"Yes"))</f>
        <v/>
      </c>
      <c r="F6" s="18" t="str">
        <f aca="false">IF($B6="","",COUNTIF(Entries!$D$5:$D$2004,$B6))</f>
        <v/>
      </c>
      <c r="G6" s="17" t="str">
        <f aca="false">IF($B6="","",F6*Settings!$C$5)</f>
        <v/>
      </c>
      <c r="H6" s="19" t="str">
        <f aca="false">IF($B6="","",E6-G6)</f>
        <v/>
      </c>
      <c r="I6" s="1"/>
      <c r="J6" s="13" t="s">
        <v>46</v>
      </c>
      <c r="K6" s="1"/>
    </row>
    <row r="7" customFormat="false" ht="21.75" hidden="false" customHeight="true" outlineLevel="0" collapsed="false">
      <c r="A7" s="1"/>
      <c r="B7" s="15"/>
      <c r="C7" s="16"/>
      <c r="D7" s="15"/>
      <c r="E7" s="17" t="str">
        <f aca="false">IF($B7="","",SUMIFS(Payments!$E$5:$E$1004,Payments!$C$5:$C$1004,$B7,Payments!$G$5:$G$1004,"Yes"))</f>
        <v/>
      </c>
      <c r="F7" s="18" t="str">
        <f aca="false">IF($B7="","",COUNTIF(Entries!$D$5:$D$2004,$B7))</f>
        <v/>
      </c>
      <c r="G7" s="17" t="str">
        <f aca="false">IF($B7="","",F7*Settings!$C$5)</f>
        <v/>
      </c>
      <c r="H7" s="19" t="str">
        <f aca="false">IF($B7="","",E7-G7)</f>
        <v/>
      </c>
      <c r="I7" s="1"/>
      <c r="J7" s="13" t="s">
        <v>47</v>
      </c>
      <c r="K7" s="1"/>
    </row>
    <row r="8" customFormat="false" ht="21.75" hidden="false" customHeight="true" outlineLevel="0" collapsed="false">
      <c r="A8" s="1"/>
      <c r="B8" s="15"/>
      <c r="C8" s="16"/>
      <c r="D8" s="15"/>
      <c r="E8" s="17" t="str">
        <f aca="false">IF($B8="","",SUMIFS(Payments!$E$5:$E$1004,Payments!$C$5:$C$1004,$B8,Payments!$G$5:$G$1004,"Yes"))</f>
        <v/>
      </c>
      <c r="F8" s="18" t="str">
        <f aca="false">IF($B8="","",COUNTIF(Entries!$D$5:$D$2004,$B8))</f>
        <v/>
      </c>
      <c r="G8" s="17" t="str">
        <f aca="false">IF($B8="","",F8*Settings!$C$5)</f>
        <v/>
      </c>
      <c r="H8" s="19" t="str">
        <f aca="false">IF($B8="","",E8-G8)</f>
        <v/>
      </c>
      <c r="I8" s="1"/>
      <c r="J8" s="13" t="s">
        <v>48</v>
      </c>
      <c r="K8" s="1"/>
    </row>
    <row r="9" customFormat="false" ht="21.75" hidden="false" customHeight="true" outlineLevel="0" collapsed="false">
      <c r="A9" s="1"/>
      <c r="B9" s="15"/>
      <c r="C9" s="16"/>
      <c r="D9" s="15"/>
      <c r="E9" s="17" t="str">
        <f aca="false">IF($B9="","",SUMIFS(Payments!$E$5:$E$1004,Payments!$C$5:$C$1004,$B9,Payments!$G$5:$G$1004,"Yes"))</f>
        <v/>
      </c>
      <c r="F9" s="18" t="str">
        <f aca="false">IF($B9="","",COUNTIF(Entries!$D$5:$D$2004,$B9))</f>
        <v/>
      </c>
      <c r="G9" s="17" t="str">
        <f aca="false">IF($B9="","",F9*Settings!$C$5)</f>
        <v/>
      </c>
      <c r="H9" s="19" t="str">
        <f aca="false">IF($B9="","",E9-G9)</f>
        <v/>
      </c>
      <c r="I9" s="1"/>
      <c r="J9" s="13" t="s">
        <v>49</v>
      </c>
      <c r="K9" s="1"/>
    </row>
    <row r="10" customFormat="false" ht="21.75" hidden="false" customHeight="true" outlineLevel="0" collapsed="false">
      <c r="A10" s="1"/>
      <c r="B10" s="15"/>
      <c r="C10" s="16"/>
      <c r="D10" s="15"/>
      <c r="E10" s="17" t="str">
        <f aca="false">IF($B10="","",SUMIFS(Payments!$E$5:$E$1004,Payments!$C$5:$C$1004,$B10,Payments!$G$5:$G$1004,"Yes"))</f>
        <v/>
      </c>
      <c r="F10" s="18" t="str">
        <f aca="false">IF($B10="","",COUNTIF(Entries!$D$5:$D$2004,$B10))</f>
        <v/>
      </c>
      <c r="G10" s="17" t="str">
        <f aca="false">IF($B10="","",F10*Settings!$C$5)</f>
        <v/>
      </c>
      <c r="H10" s="19" t="str">
        <f aca="false">IF($B10="","",E10-G10)</f>
        <v/>
      </c>
      <c r="I10" s="1"/>
      <c r="J10" s="1"/>
      <c r="K10" s="1"/>
    </row>
    <row r="11" customFormat="false" ht="21.75" hidden="false" customHeight="true" outlineLevel="0" collapsed="false">
      <c r="A11" s="1"/>
      <c r="B11" s="15"/>
      <c r="C11" s="16"/>
      <c r="D11" s="15"/>
      <c r="E11" s="17" t="str">
        <f aca="false">IF($B11="","",SUMIFS(Payments!$E$5:$E$1004,Payments!$C$5:$C$1004,$B11,Payments!$G$5:$G$1004,"Yes"))</f>
        <v/>
      </c>
      <c r="F11" s="18" t="str">
        <f aca="false">IF($B11="","",COUNTIF(Entries!$D$5:$D$2004,$B11))</f>
        <v/>
      </c>
      <c r="G11" s="17" t="str">
        <f aca="false">IF($B11="","",F11*Settings!$C$5)</f>
        <v/>
      </c>
      <c r="H11" s="19" t="str">
        <f aca="false">IF($B11="","",E11-G11)</f>
        <v/>
      </c>
      <c r="I11" s="1"/>
      <c r="J11" s="1"/>
      <c r="K11" s="1"/>
    </row>
    <row r="12" customFormat="false" ht="21.75" hidden="false" customHeight="true" outlineLevel="0" collapsed="false">
      <c r="A12" s="1"/>
      <c r="B12" s="15"/>
      <c r="C12" s="16"/>
      <c r="D12" s="15"/>
      <c r="E12" s="17" t="str">
        <f aca="false">IF($B12="","",SUMIFS(Payments!$E$5:$E$1004,Payments!$C$5:$C$1004,$B12,Payments!$G$5:$G$1004,"Yes"))</f>
        <v/>
      </c>
      <c r="F12" s="18" t="str">
        <f aca="false">IF($B12="","",COUNTIF(Entries!$D$5:$D$2004,$B12))</f>
        <v/>
      </c>
      <c r="G12" s="17" t="str">
        <f aca="false">IF($B12="","",F12*Settings!$C$5)</f>
        <v/>
      </c>
      <c r="H12" s="19" t="str">
        <f aca="false">IF($B12="","",E12-G12)</f>
        <v/>
      </c>
      <c r="I12" s="1"/>
      <c r="J12" s="1"/>
      <c r="K12" s="1"/>
    </row>
    <row r="13" customFormat="false" ht="21.75" hidden="false" customHeight="true" outlineLevel="0" collapsed="false">
      <c r="A13" s="1"/>
      <c r="B13" s="15"/>
      <c r="C13" s="16"/>
      <c r="D13" s="15"/>
      <c r="E13" s="17" t="str">
        <f aca="false">IF($B13="","",SUMIFS(Payments!$E$5:$E$1004,Payments!$C$5:$C$1004,$B13,Payments!$G$5:$G$1004,"Yes"))</f>
        <v/>
      </c>
      <c r="F13" s="18" t="str">
        <f aca="false">IF($B13="","",COUNTIF(Entries!$D$5:$D$2004,$B13))</f>
        <v/>
      </c>
      <c r="G13" s="17" t="str">
        <f aca="false">IF($B13="","",F13*Settings!$C$5)</f>
        <v/>
      </c>
      <c r="H13" s="19" t="str">
        <f aca="false">IF($B13="","",E13-G13)</f>
        <v/>
      </c>
      <c r="I13" s="1"/>
      <c r="J13" s="1"/>
      <c r="K13" s="1"/>
    </row>
    <row r="14" customFormat="false" ht="21.75" hidden="false" customHeight="true" outlineLevel="0" collapsed="false">
      <c r="A14" s="1"/>
      <c r="B14" s="15"/>
      <c r="C14" s="16"/>
      <c r="D14" s="15"/>
      <c r="E14" s="17" t="str">
        <f aca="false">IF($B14="","",SUMIFS(Payments!$E$5:$E$1004,Payments!$C$5:$C$1004,$B14,Payments!$G$5:$G$1004,"Yes"))</f>
        <v/>
      </c>
      <c r="F14" s="18" t="str">
        <f aca="false">IF($B14="","",COUNTIF(Entries!$D$5:$D$2004,$B14))</f>
        <v/>
      </c>
      <c r="G14" s="17" t="str">
        <f aca="false">IF($B14="","",F14*Settings!$C$5)</f>
        <v/>
      </c>
      <c r="H14" s="19" t="str">
        <f aca="false">IF($B14="","",E14-G14)</f>
        <v/>
      </c>
      <c r="I14" s="1"/>
      <c r="J14" s="1"/>
      <c r="K14" s="1"/>
    </row>
    <row r="15" customFormat="false" ht="21.75" hidden="false" customHeight="true" outlineLevel="0" collapsed="false">
      <c r="A15" s="1"/>
      <c r="B15" s="15"/>
      <c r="C15" s="16"/>
      <c r="D15" s="15"/>
      <c r="E15" s="17" t="str">
        <f aca="false">IF($B15="","",SUMIFS(Payments!$E$5:$E$1004,Payments!$C$5:$C$1004,$B15,Payments!$G$5:$G$1004,"Yes"))</f>
        <v/>
      </c>
      <c r="F15" s="18" t="str">
        <f aca="false">IF($B15="","",COUNTIF(Entries!$D$5:$D$2004,$B15))</f>
        <v/>
      </c>
      <c r="G15" s="17" t="str">
        <f aca="false">IF($B15="","",F15*Settings!$C$5)</f>
        <v/>
      </c>
      <c r="H15" s="19" t="str">
        <f aca="false">IF($B15="","",E15-G15)</f>
        <v/>
      </c>
      <c r="I15" s="1"/>
      <c r="J15" s="1"/>
      <c r="K15" s="1"/>
    </row>
    <row r="16" customFormat="false" ht="21.75" hidden="false" customHeight="true" outlineLevel="0" collapsed="false">
      <c r="A16" s="1"/>
      <c r="B16" s="15"/>
      <c r="C16" s="16"/>
      <c r="D16" s="15"/>
      <c r="E16" s="17" t="str">
        <f aca="false">IF($B16="","",SUMIFS(Payments!$E$5:$E$1004,Payments!$C$5:$C$1004,$B16,Payments!$G$5:$G$1004,"Yes"))</f>
        <v/>
      </c>
      <c r="F16" s="18" t="str">
        <f aca="false">IF($B16="","",COUNTIF(Entries!$D$5:$D$2004,$B16))</f>
        <v/>
      </c>
      <c r="G16" s="17" t="str">
        <f aca="false">IF($B16="","",F16*Settings!$C$5)</f>
        <v/>
      </c>
      <c r="H16" s="19" t="str">
        <f aca="false">IF($B16="","",E16-G16)</f>
        <v/>
      </c>
      <c r="I16" s="1"/>
      <c r="J16" s="1"/>
      <c r="K16" s="1"/>
    </row>
    <row r="17" customFormat="false" ht="21.75" hidden="false" customHeight="true" outlineLevel="0" collapsed="false">
      <c r="A17" s="1"/>
      <c r="B17" s="15"/>
      <c r="C17" s="16"/>
      <c r="D17" s="15"/>
      <c r="E17" s="17" t="str">
        <f aca="false">IF($B17="","",SUMIFS(Payments!$E$5:$E$1004,Payments!$C$5:$C$1004,$B17,Payments!$G$5:$G$1004,"Yes"))</f>
        <v/>
      </c>
      <c r="F17" s="18" t="str">
        <f aca="false">IF($B17="","",COUNTIF(Entries!$D$5:$D$2004,$B17))</f>
        <v/>
      </c>
      <c r="G17" s="17" t="str">
        <f aca="false">IF($B17="","",F17*Settings!$C$5)</f>
        <v/>
      </c>
      <c r="H17" s="19" t="str">
        <f aca="false">IF($B17="","",E17-G17)</f>
        <v/>
      </c>
      <c r="I17" s="1"/>
      <c r="J17" s="1"/>
      <c r="K17" s="1"/>
    </row>
    <row r="18" customFormat="false" ht="21.75" hidden="false" customHeight="true" outlineLevel="0" collapsed="false">
      <c r="A18" s="1"/>
      <c r="B18" s="15"/>
      <c r="C18" s="16"/>
      <c r="D18" s="15"/>
      <c r="E18" s="17" t="str">
        <f aca="false">IF($B18="","",SUMIFS(Payments!$E$5:$E$1004,Payments!$C$5:$C$1004,$B18,Payments!$G$5:$G$1004,"Yes"))</f>
        <v/>
      </c>
      <c r="F18" s="18" t="str">
        <f aca="false">IF($B18="","",COUNTIF(Entries!$D$5:$D$2004,$B18))</f>
        <v/>
      </c>
      <c r="G18" s="17" t="str">
        <f aca="false">IF($B18="","",F18*Settings!$C$5)</f>
        <v/>
      </c>
      <c r="H18" s="19" t="str">
        <f aca="false">IF($B18="","",E18-G18)</f>
        <v/>
      </c>
      <c r="I18" s="1"/>
      <c r="J18" s="1"/>
      <c r="K18" s="1"/>
    </row>
    <row r="19" customFormat="false" ht="21.75" hidden="false" customHeight="true" outlineLevel="0" collapsed="false">
      <c r="A19" s="1"/>
      <c r="B19" s="15"/>
      <c r="C19" s="16"/>
      <c r="D19" s="15"/>
      <c r="E19" s="17" t="str">
        <f aca="false">IF($B19="","",SUMIFS(Payments!$E$5:$E$1004,Payments!$C$5:$C$1004,$B19,Payments!$G$5:$G$1004,"Yes"))</f>
        <v/>
      </c>
      <c r="F19" s="18" t="str">
        <f aca="false">IF($B19="","",COUNTIF(Entries!$D$5:$D$2004,$B19))</f>
        <v/>
      </c>
      <c r="G19" s="17" t="str">
        <f aca="false">IF($B19="","",F19*Settings!$C$5)</f>
        <v/>
      </c>
      <c r="H19" s="19" t="str">
        <f aca="false">IF($B19="","",E19-G19)</f>
        <v/>
      </c>
      <c r="I19" s="1"/>
      <c r="J19" s="1"/>
      <c r="K19" s="1"/>
    </row>
    <row r="20" customFormat="false" ht="21.75" hidden="false" customHeight="true" outlineLevel="0" collapsed="false">
      <c r="A20" s="1"/>
      <c r="B20" s="15"/>
      <c r="C20" s="16"/>
      <c r="D20" s="15"/>
      <c r="E20" s="17" t="str">
        <f aca="false">IF($B20="","",SUMIFS(Payments!$E$5:$E$1004,Payments!$C$5:$C$1004,$B20,Payments!$G$5:$G$1004,"Yes"))</f>
        <v/>
      </c>
      <c r="F20" s="18" t="str">
        <f aca="false">IF($B20="","",COUNTIF(Entries!$D$5:$D$2004,$B20))</f>
        <v/>
      </c>
      <c r="G20" s="17" t="str">
        <f aca="false">IF($B20="","",F20*Settings!$C$5)</f>
        <v/>
      </c>
      <c r="H20" s="19" t="str">
        <f aca="false">IF($B20="","",E20-G20)</f>
        <v/>
      </c>
      <c r="I20" s="1"/>
      <c r="J20" s="1"/>
      <c r="K20" s="1"/>
    </row>
    <row r="21" customFormat="false" ht="21.75" hidden="false" customHeight="true" outlineLevel="0" collapsed="false">
      <c r="A21" s="1"/>
      <c r="B21" s="15"/>
      <c r="C21" s="16"/>
      <c r="D21" s="15"/>
      <c r="E21" s="17" t="str">
        <f aca="false">IF($B21="","",SUMIFS(Payments!$E$5:$E$1004,Payments!$C$5:$C$1004,$B21,Payments!$G$5:$G$1004,"Yes"))</f>
        <v/>
      </c>
      <c r="F21" s="18" t="str">
        <f aca="false">IF($B21="","",COUNTIF(Entries!$D$5:$D$2004,$B21))</f>
        <v/>
      </c>
      <c r="G21" s="17" t="str">
        <f aca="false">IF($B21="","",F21*Settings!$C$5)</f>
        <v/>
      </c>
      <c r="H21" s="19" t="str">
        <f aca="false">IF($B21="","",E21-G21)</f>
        <v/>
      </c>
      <c r="I21" s="1"/>
      <c r="J21" s="1"/>
      <c r="K21" s="1"/>
    </row>
    <row r="22" customFormat="false" ht="21.75" hidden="false" customHeight="true" outlineLevel="0" collapsed="false">
      <c r="A22" s="1"/>
      <c r="B22" s="15"/>
      <c r="C22" s="16"/>
      <c r="D22" s="15"/>
      <c r="E22" s="17" t="str">
        <f aca="false">IF($B22="","",SUMIFS(Payments!$E$5:$E$1004,Payments!$C$5:$C$1004,$B22,Payments!$G$5:$G$1004,"Yes"))</f>
        <v/>
      </c>
      <c r="F22" s="18" t="str">
        <f aca="false">IF($B22="","",COUNTIF(Entries!$D$5:$D$2004,$B22))</f>
        <v/>
      </c>
      <c r="G22" s="17" t="str">
        <f aca="false">IF($B22="","",F22*Settings!$C$5)</f>
        <v/>
      </c>
      <c r="H22" s="19" t="str">
        <f aca="false">IF($B22="","",E22-G22)</f>
        <v/>
      </c>
      <c r="I22" s="1"/>
      <c r="J22" s="1"/>
      <c r="K22" s="1"/>
    </row>
    <row r="23" customFormat="false" ht="21.75" hidden="false" customHeight="true" outlineLevel="0" collapsed="false">
      <c r="A23" s="1"/>
      <c r="B23" s="15"/>
      <c r="C23" s="16"/>
      <c r="D23" s="15"/>
      <c r="E23" s="17" t="str">
        <f aca="false">IF($B23="","",SUMIFS(Payments!$E$5:$E$1004,Payments!$C$5:$C$1004,$B23,Payments!$G$5:$G$1004,"Yes"))</f>
        <v/>
      </c>
      <c r="F23" s="18" t="str">
        <f aca="false">IF($B23="","",COUNTIF(Entries!$D$5:$D$2004,$B23))</f>
        <v/>
      </c>
      <c r="G23" s="17" t="str">
        <f aca="false">IF($B23="","",F23*Settings!$C$5)</f>
        <v/>
      </c>
      <c r="H23" s="19" t="str">
        <f aca="false">IF($B23="","",E23-G23)</f>
        <v/>
      </c>
      <c r="I23" s="1"/>
      <c r="J23" s="1"/>
      <c r="K23" s="1"/>
    </row>
    <row r="24" customFormat="false" ht="21.75" hidden="false" customHeight="true" outlineLevel="0" collapsed="false">
      <c r="A24" s="1"/>
      <c r="B24" s="15"/>
      <c r="C24" s="16"/>
      <c r="D24" s="15"/>
      <c r="E24" s="17" t="str">
        <f aca="false">IF($B24="","",SUMIFS(Payments!$E$5:$E$1004,Payments!$C$5:$C$1004,$B24,Payments!$G$5:$G$1004,"Yes"))</f>
        <v/>
      </c>
      <c r="F24" s="18" t="str">
        <f aca="false">IF($B24="","",COUNTIF(Entries!$D$5:$D$2004,$B24))</f>
        <v/>
      </c>
      <c r="G24" s="17" t="str">
        <f aca="false">IF($B24="","",F24*Settings!$C$5)</f>
        <v/>
      </c>
      <c r="H24" s="19" t="str">
        <f aca="false">IF($B24="","",E24-G24)</f>
        <v/>
      </c>
      <c r="I24" s="1"/>
      <c r="J24" s="1"/>
      <c r="K24" s="1"/>
    </row>
    <row r="25" customFormat="false" ht="21.75" hidden="false" customHeight="true" outlineLevel="0" collapsed="false">
      <c r="A25" s="1"/>
      <c r="B25" s="15"/>
      <c r="C25" s="16"/>
      <c r="D25" s="15"/>
      <c r="E25" s="17" t="str">
        <f aca="false">IF($B25="","",SUMIFS(Payments!$E$5:$E$1004,Payments!$C$5:$C$1004,$B25,Payments!$G$5:$G$1004,"Yes"))</f>
        <v/>
      </c>
      <c r="F25" s="18" t="str">
        <f aca="false">IF($B25="","",COUNTIF(Entries!$D$5:$D$2004,$B25))</f>
        <v/>
      </c>
      <c r="G25" s="17" t="str">
        <f aca="false">IF($B25="","",F25*Settings!$C$5)</f>
        <v/>
      </c>
      <c r="H25" s="19" t="str">
        <f aca="false">IF($B25="","",E25-G25)</f>
        <v/>
      </c>
      <c r="I25" s="1"/>
      <c r="J25" s="1"/>
      <c r="K25" s="1"/>
    </row>
    <row r="26" customFormat="false" ht="21.75" hidden="false" customHeight="true" outlineLevel="0" collapsed="false">
      <c r="A26" s="1"/>
      <c r="B26" s="15"/>
      <c r="C26" s="16"/>
      <c r="D26" s="15"/>
      <c r="E26" s="17" t="str">
        <f aca="false">IF($B26="","",SUMIFS(Payments!$E$5:$E$1004,Payments!$C$5:$C$1004,$B26,Payments!$G$5:$G$1004,"Yes"))</f>
        <v/>
      </c>
      <c r="F26" s="18" t="str">
        <f aca="false">IF($B26="","",COUNTIF(Entries!$D$5:$D$2004,$B26))</f>
        <v/>
      </c>
      <c r="G26" s="17" t="str">
        <f aca="false">IF($B26="","",F26*Settings!$C$5)</f>
        <v/>
      </c>
      <c r="H26" s="19" t="str">
        <f aca="false">IF($B26="","",E26-G26)</f>
        <v/>
      </c>
      <c r="I26" s="1"/>
      <c r="J26" s="1"/>
      <c r="K26" s="1"/>
    </row>
    <row r="27" customFormat="false" ht="21.75" hidden="false" customHeight="true" outlineLevel="0" collapsed="false">
      <c r="A27" s="1"/>
      <c r="B27" s="15"/>
      <c r="C27" s="16"/>
      <c r="D27" s="15"/>
      <c r="E27" s="17" t="str">
        <f aca="false">IF($B27="","",SUMIFS(Payments!$E$5:$E$1004,Payments!$C$5:$C$1004,$B27,Payments!$G$5:$G$1004,"Yes"))</f>
        <v/>
      </c>
      <c r="F27" s="18" t="str">
        <f aca="false">IF($B27="","",COUNTIF(Entries!$D$5:$D$2004,$B27))</f>
        <v/>
      </c>
      <c r="G27" s="17" t="str">
        <f aca="false">IF($B27="","",F27*Settings!$C$5)</f>
        <v/>
      </c>
      <c r="H27" s="19" t="str">
        <f aca="false">IF($B27="","",E27-G27)</f>
        <v/>
      </c>
      <c r="I27" s="1"/>
      <c r="J27" s="1"/>
      <c r="K27" s="1"/>
    </row>
    <row r="28" customFormat="false" ht="21.75" hidden="false" customHeight="true" outlineLevel="0" collapsed="false">
      <c r="A28" s="1"/>
      <c r="B28" s="15"/>
      <c r="C28" s="16"/>
      <c r="D28" s="15"/>
      <c r="E28" s="17" t="str">
        <f aca="false">IF($B28="","",SUMIFS(Payments!$E$5:$E$1004,Payments!$C$5:$C$1004,$B28,Payments!$G$5:$G$1004,"Yes"))</f>
        <v/>
      </c>
      <c r="F28" s="18" t="str">
        <f aca="false">IF($B28="","",COUNTIF(Entries!$D$5:$D$2004,$B28))</f>
        <v/>
      </c>
      <c r="G28" s="17" t="str">
        <f aca="false">IF($B28="","",F28*Settings!$C$5)</f>
        <v/>
      </c>
      <c r="H28" s="19" t="str">
        <f aca="false">IF($B28="","",E28-G28)</f>
        <v/>
      </c>
      <c r="I28" s="1"/>
      <c r="J28" s="1"/>
      <c r="K28" s="1"/>
    </row>
    <row r="29" customFormat="false" ht="21.75" hidden="false" customHeight="true" outlineLevel="0" collapsed="false">
      <c r="A29" s="1"/>
      <c r="B29" s="15"/>
      <c r="C29" s="16"/>
      <c r="D29" s="15"/>
      <c r="E29" s="17" t="str">
        <f aca="false">IF($B29="","",SUMIFS(Payments!$E$5:$E$1004,Payments!$C$5:$C$1004,$B29,Payments!$G$5:$G$1004,"Yes"))</f>
        <v/>
      </c>
      <c r="F29" s="18" t="str">
        <f aca="false">IF($B29="","",COUNTIF(Entries!$D$5:$D$2004,$B29))</f>
        <v/>
      </c>
      <c r="G29" s="17" t="str">
        <f aca="false">IF($B29="","",F29*Settings!$C$5)</f>
        <v/>
      </c>
      <c r="H29" s="19" t="str">
        <f aca="false">IF($B29="","",E29-G29)</f>
        <v/>
      </c>
      <c r="I29" s="1"/>
      <c r="J29" s="1"/>
      <c r="K29" s="1"/>
    </row>
    <row r="30" customFormat="false" ht="21.75" hidden="false" customHeight="true" outlineLevel="0" collapsed="false">
      <c r="A30" s="1"/>
      <c r="B30" s="15"/>
      <c r="C30" s="16"/>
      <c r="D30" s="15"/>
      <c r="E30" s="17" t="str">
        <f aca="false">IF($B30="","",SUMIFS(Payments!$E$5:$E$1004,Payments!$C$5:$C$1004,$B30,Payments!$G$5:$G$1004,"Yes"))</f>
        <v/>
      </c>
      <c r="F30" s="18" t="str">
        <f aca="false">IF($B30="","",COUNTIF(Entries!$D$5:$D$2004,$B30))</f>
        <v/>
      </c>
      <c r="G30" s="17" t="str">
        <f aca="false">IF($B30="","",F30*Settings!$C$5)</f>
        <v/>
      </c>
      <c r="H30" s="19" t="str">
        <f aca="false">IF($B30="","",E30-G30)</f>
        <v/>
      </c>
      <c r="I30" s="1"/>
      <c r="J30" s="1"/>
      <c r="K30" s="1"/>
    </row>
    <row r="31" customFormat="false" ht="21.75" hidden="false" customHeight="true" outlineLevel="0" collapsed="false">
      <c r="A31" s="1"/>
      <c r="B31" s="15"/>
      <c r="C31" s="16"/>
      <c r="D31" s="15"/>
      <c r="E31" s="17" t="str">
        <f aca="false">IF($B31="","",SUMIFS(Payments!$E$5:$E$1004,Payments!$C$5:$C$1004,$B31,Payments!$G$5:$G$1004,"Yes"))</f>
        <v/>
      </c>
      <c r="F31" s="18" t="str">
        <f aca="false">IF($B31="","",COUNTIF(Entries!$D$5:$D$2004,$B31))</f>
        <v/>
      </c>
      <c r="G31" s="17" t="str">
        <f aca="false">IF($B31="","",F31*Settings!$C$5)</f>
        <v/>
      </c>
      <c r="H31" s="19" t="str">
        <f aca="false">IF($B31="","",E31-G31)</f>
        <v/>
      </c>
      <c r="I31" s="1"/>
      <c r="J31" s="1"/>
      <c r="K31" s="1"/>
    </row>
    <row r="32" customFormat="false" ht="21.75" hidden="false" customHeight="true" outlineLevel="0" collapsed="false">
      <c r="A32" s="1"/>
      <c r="B32" s="15"/>
      <c r="C32" s="16"/>
      <c r="D32" s="15"/>
      <c r="E32" s="17" t="str">
        <f aca="false">IF($B32="","",SUMIFS(Payments!$E$5:$E$1004,Payments!$C$5:$C$1004,$B32,Payments!$G$5:$G$1004,"Yes"))</f>
        <v/>
      </c>
      <c r="F32" s="18" t="str">
        <f aca="false">IF($B32="","",COUNTIF(Entries!$D$5:$D$2004,$B32))</f>
        <v/>
      </c>
      <c r="G32" s="17" t="str">
        <f aca="false">IF($B32="","",F32*Settings!$C$5)</f>
        <v/>
      </c>
      <c r="H32" s="19" t="str">
        <f aca="false">IF($B32="","",E32-G32)</f>
        <v/>
      </c>
      <c r="I32" s="1"/>
      <c r="J32" s="1"/>
      <c r="K32" s="1"/>
    </row>
    <row r="33" customFormat="false" ht="21.75" hidden="false" customHeight="true" outlineLevel="0" collapsed="false">
      <c r="A33" s="1"/>
      <c r="B33" s="15"/>
      <c r="C33" s="16"/>
      <c r="D33" s="15"/>
      <c r="E33" s="17" t="str">
        <f aca="false">IF($B33="","",SUMIFS(Payments!$E$5:$E$1004,Payments!$C$5:$C$1004,$B33,Payments!$G$5:$G$1004,"Yes"))</f>
        <v/>
      </c>
      <c r="F33" s="18" t="str">
        <f aca="false">IF($B33="","",COUNTIF(Entries!$D$5:$D$2004,$B33))</f>
        <v/>
      </c>
      <c r="G33" s="17" t="str">
        <f aca="false">IF($B33="","",F33*Settings!$C$5)</f>
        <v/>
      </c>
      <c r="H33" s="19" t="str">
        <f aca="false">IF($B33="","",E33-G33)</f>
        <v/>
      </c>
      <c r="I33" s="1"/>
      <c r="J33" s="1"/>
      <c r="K33" s="1"/>
    </row>
    <row r="34" customFormat="false" ht="21.75" hidden="false" customHeight="true" outlineLevel="0" collapsed="false">
      <c r="A34" s="1"/>
      <c r="B34" s="15"/>
      <c r="C34" s="16"/>
      <c r="D34" s="15"/>
      <c r="E34" s="17" t="str">
        <f aca="false">IF($B34="","",SUMIFS(Payments!$E$5:$E$1004,Payments!$C$5:$C$1004,$B34,Payments!$G$5:$G$1004,"Yes"))</f>
        <v/>
      </c>
      <c r="F34" s="18" t="str">
        <f aca="false">IF($B34="","",COUNTIF(Entries!$D$5:$D$2004,$B34))</f>
        <v/>
      </c>
      <c r="G34" s="17" t="str">
        <f aca="false">IF($B34="","",F34*Settings!$C$5)</f>
        <v/>
      </c>
      <c r="H34" s="19" t="str">
        <f aca="false">IF($B34="","",E34-G34)</f>
        <v/>
      </c>
      <c r="I34" s="1"/>
      <c r="J34" s="1"/>
      <c r="K34" s="1"/>
    </row>
    <row r="35" customFormat="false" ht="21.75" hidden="false" customHeight="true" outlineLevel="0" collapsed="false">
      <c r="A35" s="1"/>
      <c r="B35" s="15"/>
      <c r="C35" s="16"/>
      <c r="D35" s="15"/>
      <c r="E35" s="17" t="str">
        <f aca="false">IF($B35="","",SUMIFS(Payments!$E$5:$E$1004,Payments!$C$5:$C$1004,$B35,Payments!$G$5:$G$1004,"Yes"))</f>
        <v/>
      </c>
      <c r="F35" s="18" t="str">
        <f aca="false">IF($B35="","",COUNTIF(Entries!$D$5:$D$2004,$B35))</f>
        <v/>
      </c>
      <c r="G35" s="17" t="str">
        <f aca="false">IF($B35="","",F35*Settings!$C$5)</f>
        <v/>
      </c>
      <c r="H35" s="19" t="str">
        <f aca="false">IF($B35="","",E35-G35)</f>
        <v/>
      </c>
      <c r="I35" s="1"/>
      <c r="J35" s="1"/>
      <c r="K35" s="1"/>
    </row>
    <row r="36" customFormat="false" ht="21.75" hidden="false" customHeight="true" outlineLevel="0" collapsed="false">
      <c r="A36" s="1"/>
      <c r="B36" s="15"/>
      <c r="C36" s="16"/>
      <c r="D36" s="15"/>
      <c r="E36" s="17" t="str">
        <f aca="false">IF($B36="","",SUMIFS(Payments!$E$5:$E$1004,Payments!$C$5:$C$1004,$B36,Payments!$G$5:$G$1004,"Yes"))</f>
        <v/>
      </c>
      <c r="F36" s="18" t="str">
        <f aca="false">IF($B36="","",COUNTIF(Entries!$D$5:$D$2004,$B36))</f>
        <v/>
      </c>
      <c r="G36" s="17" t="str">
        <f aca="false">IF($B36="","",F36*Settings!$C$5)</f>
        <v/>
      </c>
      <c r="H36" s="19" t="str">
        <f aca="false">IF($B36="","",E36-G36)</f>
        <v/>
      </c>
      <c r="I36" s="1"/>
      <c r="J36" s="1"/>
      <c r="K36" s="1"/>
    </row>
    <row r="37" customFormat="false" ht="21.75" hidden="false" customHeight="true" outlineLevel="0" collapsed="false">
      <c r="A37" s="1"/>
      <c r="B37" s="15"/>
      <c r="C37" s="16"/>
      <c r="D37" s="15"/>
      <c r="E37" s="17" t="str">
        <f aca="false">IF($B37="","",SUMIFS(Payments!$E$5:$E$1004,Payments!$C$5:$C$1004,$B37,Payments!$G$5:$G$1004,"Yes"))</f>
        <v/>
      </c>
      <c r="F37" s="18" t="str">
        <f aca="false">IF($B37="","",COUNTIF(Entries!$D$5:$D$2004,$B37))</f>
        <v/>
      </c>
      <c r="G37" s="17" t="str">
        <f aca="false">IF($B37="","",F37*Settings!$C$5)</f>
        <v/>
      </c>
      <c r="H37" s="19" t="str">
        <f aca="false">IF($B37="","",E37-G37)</f>
        <v/>
      </c>
      <c r="I37" s="1"/>
      <c r="J37" s="1"/>
      <c r="K37" s="1"/>
    </row>
    <row r="38" customFormat="false" ht="21.75" hidden="false" customHeight="true" outlineLevel="0" collapsed="false">
      <c r="A38" s="1"/>
      <c r="B38" s="15"/>
      <c r="C38" s="16"/>
      <c r="D38" s="15"/>
      <c r="E38" s="17" t="str">
        <f aca="false">IF($B38="","",SUMIFS(Payments!$E$5:$E$1004,Payments!$C$5:$C$1004,$B38,Payments!$G$5:$G$1004,"Yes"))</f>
        <v/>
      </c>
      <c r="F38" s="18" t="str">
        <f aca="false">IF($B38="","",COUNTIF(Entries!$D$5:$D$2004,$B38))</f>
        <v/>
      </c>
      <c r="G38" s="17" t="str">
        <f aca="false">IF($B38="","",F38*Settings!$C$5)</f>
        <v/>
      </c>
      <c r="H38" s="19" t="str">
        <f aca="false">IF($B38="","",E38-G38)</f>
        <v/>
      </c>
      <c r="I38" s="1"/>
      <c r="J38" s="1"/>
      <c r="K38" s="1"/>
    </row>
    <row r="39" customFormat="false" ht="21.75" hidden="false" customHeight="true" outlineLevel="0" collapsed="false">
      <c r="A39" s="1"/>
      <c r="B39" s="15"/>
      <c r="C39" s="16"/>
      <c r="D39" s="15"/>
      <c r="E39" s="17" t="str">
        <f aca="false">IF($B39="","",SUMIFS(Payments!$E$5:$E$1004,Payments!$C$5:$C$1004,$B39,Payments!$G$5:$G$1004,"Yes"))</f>
        <v/>
      </c>
      <c r="F39" s="18" t="str">
        <f aca="false">IF($B39="","",COUNTIF(Entries!$D$5:$D$2004,$B39))</f>
        <v/>
      </c>
      <c r="G39" s="17" t="str">
        <f aca="false">IF($B39="","",F39*Settings!$C$5)</f>
        <v/>
      </c>
      <c r="H39" s="19" t="str">
        <f aca="false">IF($B39="","",E39-G39)</f>
        <v/>
      </c>
      <c r="I39" s="1"/>
      <c r="J39" s="1"/>
      <c r="K39" s="1"/>
    </row>
    <row r="40" customFormat="false" ht="21.75" hidden="false" customHeight="true" outlineLevel="0" collapsed="false">
      <c r="A40" s="1"/>
      <c r="B40" s="15"/>
      <c r="C40" s="16"/>
      <c r="D40" s="15"/>
      <c r="E40" s="17" t="str">
        <f aca="false">IF($B40="","",SUMIFS(Payments!$E$5:$E$1004,Payments!$C$5:$C$1004,$B40,Payments!$G$5:$G$1004,"Yes"))</f>
        <v/>
      </c>
      <c r="F40" s="18" t="str">
        <f aca="false">IF($B40="","",COUNTIF(Entries!$D$5:$D$2004,$B40))</f>
        <v/>
      </c>
      <c r="G40" s="17" t="str">
        <f aca="false">IF($B40="","",F40*Settings!$C$5)</f>
        <v/>
      </c>
      <c r="H40" s="19" t="str">
        <f aca="false">IF($B40="","",E40-G40)</f>
        <v/>
      </c>
      <c r="I40" s="1"/>
      <c r="J40" s="1"/>
      <c r="K40" s="1"/>
    </row>
    <row r="41" customFormat="false" ht="21.75" hidden="false" customHeight="true" outlineLevel="0" collapsed="false">
      <c r="A41" s="1"/>
      <c r="B41" s="15"/>
      <c r="C41" s="16"/>
      <c r="D41" s="15"/>
      <c r="E41" s="17" t="str">
        <f aca="false">IF($B41="","",SUMIFS(Payments!$E$5:$E$1004,Payments!$C$5:$C$1004,$B41,Payments!$G$5:$G$1004,"Yes"))</f>
        <v/>
      </c>
      <c r="F41" s="18" t="str">
        <f aca="false">IF($B41="","",COUNTIF(Entries!$D$5:$D$2004,$B41))</f>
        <v/>
      </c>
      <c r="G41" s="17" t="str">
        <f aca="false">IF($B41="","",F41*Settings!$C$5)</f>
        <v/>
      </c>
      <c r="H41" s="19" t="str">
        <f aca="false">IF($B41="","",E41-G41)</f>
        <v/>
      </c>
      <c r="I41" s="1"/>
      <c r="J41" s="1"/>
      <c r="K41" s="1"/>
    </row>
    <row r="42" customFormat="false" ht="21.75" hidden="false" customHeight="true" outlineLevel="0" collapsed="false">
      <c r="A42" s="1"/>
      <c r="B42" s="15"/>
      <c r="C42" s="16"/>
      <c r="D42" s="15"/>
      <c r="E42" s="17" t="str">
        <f aca="false">IF($B42="","",SUMIFS(Payments!$E$5:$E$1004,Payments!$C$5:$C$1004,$B42,Payments!$G$5:$G$1004,"Yes"))</f>
        <v/>
      </c>
      <c r="F42" s="18" t="str">
        <f aca="false">IF($B42="","",COUNTIF(Entries!$D$5:$D$2004,$B42))</f>
        <v/>
      </c>
      <c r="G42" s="17" t="str">
        <f aca="false">IF($B42="","",F42*Settings!$C$5)</f>
        <v/>
      </c>
      <c r="H42" s="19" t="str">
        <f aca="false">IF($B42="","",E42-G42)</f>
        <v/>
      </c>
      <c r="I42" s="1"/>
      <c r="J42" s="1"/>
      <c r="K42" s="1"/>
    </row>
    <row r="43" customFormat="false" ht="21.75" hidden="false" customHeight="true" outlineLevel="0" collapsed="false">
      <c r="A43" s="1"/>
      <c r="B43" s="15"/>
      <c r="C43" s="16"/>
      <c r="D43" s="15"/>
      <c r="E43" s="17" t="str">
        <f aca="false">IF($B43="","",SUMIFS(Payments!$E$5:$E$1004,Payments!$C$5:$C$1004,$B43,Payments!$G$5:$G$1004,"Yes"))</f>
        <v/>
      </c>
      <c r="F43" s="18" t="str">
        <f aca="false">IF($B43="","",COUNTIF(Entries!$D$5:$D$2004,$B43))</f>
        <v/>
      </c>
      <c r="G43" s="17" t="str">
        <f aca="false">IF($B43="","",F43*Settings!$C$5)</f>
        <v/>
      </c>
      <c r="H43" s="19" t="str">
        <f aca="false">IF($B43="","",E43-G43)</f>
        <v/>
      </c>
      <c r="I43" s="1"/>
      <c r="J43" s="1"/>
      <c r="K43" s="1"/>
    </row>
    <row r="44" customFormat="false" ht="21.75" hidden="false" customHeight="true" outlineLevel="0" collapsed="false">
      <c r="A44" s="1"/>
      <c r="B44" s="15"/>
      <c r="C44" s="16"/>
      <c r="D44" s="15"/>
      <c r="E44" s="17" t="str">
        <f aca="false">IF($B44="","",SUMIFS(Payments!$E$5:$E$1004,Payments!$C$5:$C$1004,$B44,Payments!$G$5:$G$1004,"Yes"))</f>
        <v/>
      </c>
      <c r="F44" s="18" t="str">
        <f aca="false">IF($B44="","",COUNTIF(Entries!$D$5:$D$2004,$B44))</f>
        <v/>
      </c>
      <c r="G44" s="17" t="str">
        <f aca="false">IF($B44="","",F44*Settings!$C$5)</f>
        <v/>
      </c>
      <c r="H44" s="19" t="str">
        <f aca="false">IF($B44="","",E44-G44)</f>
        <v/>
      </c>
      <c r="I44" s="1"/>
      <c r="J44" s="1"/>
      <c r="K44" s="1"/>
    </row>
    <row r="45" customFormat="false" ht="21.75" hidden="false" customHeight="true" outlineLevel="0" collapsed="false">
      <c r="A45" s="1"/>
      <c r="B45" s="15"/>
      <c r="C45" s="16"/>
      <c r="D45" s="15"/>
      <c r="E45" s="17" t="str">
        <f aca="false">IF($B45="","",SUMIFS(Payments!$E$5:$E$1004,Payments!$C$5:$C$1004,$B45,Payments!$G$5:$G$1004,"Yes"))</f>
        <v/>
      </c>
      <c r="F45" s="18" t="str">
        <f aca="false">IF($B45="","",COUNTIF(Entries!$D$5:$D$2004,$B45))</f>
        <v/>
      </c>
      <c r="G45" s="17" t="str">
        <f aca="false">IF($B45="","",F45*Settings!$C$5)</f>
        <v/>
      </c>
      <c r="H45" s="19" t="str">
        <f aca="false">IF($B45="","",E45-G45)</f>
        <v/>
      </c>
      <c r="I45" s="1"/>
      <c r="J45" s="1"/>
      <c r="K45" s="1"/>
    </row>
    <row r="46" customFormat="false" ht="21.75" hidden="false" customHeight="true" outlineLevel="0" collapsed="false">
      <c r="A46" s="1"/>
      <c r="B46" s="15"/>
      <c r="C46" s="16"/>
      <c r="D46" s="15"/>
      <c r="E46" s="17" t="str">
        <f aca="false">IF($B46="","",SUMIFS(Payments!$E$5:$E$1004,Payments!$C$5:$C$1004,$B46,Payments!$G$5:$G$1004,"Yes"))</f>
        <v/>
      </c>
      <c r="F46" s="18" t="str">
        <f aca="false">IF($B46="","",COUNTIF(Entries!$D$5:$D$2004,$B46))</f>
        <v/>
      </c>
      <c r="G46" s="17" t="str">
        <f aca="false">IF($B46="","",F46*Settings!$C$5)</f>
        <v/>
      </c>
      <c r="H46" s="19" t="str">
        <f aca="false">IF($B46="","",E46-G46)</f>
        <v/>
      </c>
      <c r="I46" s="1"/>
      <c r="J46" s="1"/>
      <c r="K46" s="1"/>
    </row>
    <row r="47" customFormat="false" ht="21.75" hidden="false" customHeight="true" outlineLevel="0" collapsed="false">
      <c r="A47" s="1"/>
      <c r="B47" s="15"/>
      <c r="C47" s="16"/>
      <c r="D47" s="15"/>
      <c r="E47" s="17" t="str">
        <f aca="false">IF($B47="","",SUMIFS(Payments!$E$5:$E$1004,Payments!$C$5:$C$1004,$B47,Payments!$G$5:$G$1004,"Yes"))</f>
        <v/>
      </c>
      <c r="F47" s="18" t="str">
        <f aca="false">IF($B47="","",COUNTIF(Entries!$D$5:$D$2004,$B47))</f>
        <v/>
      </c>
      <c r="G47" s="17" t="str">
        <f aca="false">IF($B47="","",F47*Settings!$C$5)</f>
        <v/>
      </c>
      <c r="H47" s="19" t="str">
        <f aca="false">IF($B47="","",E47-G47)</f>
        <v/>
      </c>
      <c r="I47" s="1"/>
      <c r="J47" s="1"/>
      <c r="K47" s="1"/>
    </row>
    <row r="48" customFormat="false" ht="21.75" hidden="false" customHeight="true" outlineLevel="0" collapsed="false">
      <c r="A48" s="1"/>
      <c r="B48" s="15"/>
      <c r="C48" s="16"/>
      <c r="D48" s="15"/>
      <c r="E48" s="17" t="str">
        <f aca="false">IF($B48="","",SUMIFS(Payments!$E$5:$E$1004,Payments!$C$5:$C$1004,$B48,Payments!$G$5:$G$1004,"Yes"))</f>
        <v/>
      </c>
      <c r="F48" s="18" t="str">
        <f aca="false">IF($B48="","",COUNTIF(Entries!$D$5:$D$2004,$B48))</f>
        <v/>
      </c>
      <c r="G48" s="17" t="str">
        <f aca="false">IF($B48="","",F48*Settings!$C$5)</f>
        <v/>
      </c>
      <c r="H48" s="19" t="str">
        <f aca="false">IF($B48="","",E48-G48)</f>
        <v/>
      </c>
      <c r="I48" s="1"/>
      <c r="J48" s="1"/>
      <c r="K48" s="1"/>
    </row>
    <row r="49" customFormat="false" ht="21.75" hidden="false" customHeight="true" outlineLevel="0" collapsed="false">
      <c r="A49" s="1"/>
      <c r="B49" s="15"/>
      <c r="C49" s="16"/>
      <c r="D49" s="15"/>
      <c r="E49" s="17" t="str">
        <f aca="false">IF($B49="","",SUMIFS(Payments!$E$5:$E$1004,Payments!$C$5:$C$1004,$B49,Payments!$G$5:$G$1004,"Yes"))</f>
        <v/>
      </c>
      <c r="F49" s="18" t="str">
        <f aca="false">IF($B49="","",COUNTIF(Entries!$D$5:$D$2004,$B49))</f>
        <v/>
      </c>
      <c r="G49" s="17" t="str">
        <f aca="false">IF($B49="","",F49*Settings!$C$5)</f>
        <v/>
      </c>
      <c r="H49" s="19" t="str">
        <f aca="false">IF($B49="","",E49-G49)</f>
        <v/>
      </c>
      <c r="I49" s="1"/>
      <c r="J49" s="1"/>
      <c r="K49" s="1"/>
    </row>
    <row r="50" customFormat="false" ht="21.75" hidden="false" customHeight="true" outlineLevel="0" collapsed="false">
      <c r="A50" s="1"/>
      <c r="B50" s="15"/>
      <c r="C50" s="16"/>
      <c r="D50" s="15"/>
      <c r="E50" s="17" t="str">
        <f aca="false">IF($B50="","",SUMIFS(Payments!$E$5:$E$1004,Payments!$C$5:$C$1004,$B50,Payments!$G$5:$G$1004,"Yes"))</f>
        <v/>
      </c>
      <c r="F50" s="18" t="str">
        <f aca="false">IF($B50="","",COUNTIF(Entries!$D$5:$D$2004,$B50))</f>
        <v/>
      </c>
      <c r="G50" s="17" t="str">
        <f aca="false">IF($B50="","",F50*Settings!$C$5)</f>
        <v/>
      </c>
      <c r="H50" s="19" t="str">
        <f aca="false">IF($B50="","",E50-G50)</f>
        <v/>
      </c>
      <c r="I50" s="1"/>
      <c r="J50" s="1"/>
      <c r="K50" s="1"/>
    </row>
    <row r="51" customFormat="false" ht="21.75" hidden="false" customHeight="true" outlineLevel="0" collapsed="false">
      <c r="A51" s="1"/>
      <c r="B51" s="15"/>
      <c r="C51" s="16"/>
      <c r="D51" s="15"/>
      <c r="E51" s="17" t="str">
        <f aca="false">IF($B51="","",SUMIFS(Payments!$E$5:$E$1004,Payments!$C$5:$C$1004,$B51,Payments!$G$5:$G$1004,"Yes"))</f>
        <v/>
      </c>
      <c r="F51" s="18" t="str">
        <f aca="false">IF($B51="","",COUNTIF(Entries!$D$5:$D$2004,$B51))</f>
        <v/>
      </c>
      <c r="G51" s="17" t="str">
        <f aca="false">IF($B51="","",F51*Settings!$C$5)</f>
        <v/>
      </c>
      <c r="H51" s="19" t="str">
        <f aca="false">IF($B51="","",E51-G51)</f>
        <v/>
      </c>
      <c r="I51" s="1"/>
      <c r="J51" s="1"/>
      <c r="K51" s="1"/>
    </row>
    <row r="52" customFormat="false" ht="21.75" hidden="false" customHeight="true" outlineLevel="0" collapsed="false">
      <c r="A52" s="1"/>
      <c r="B52" s="15"/>
      <c r="C52" s="16"/>
      <c r="D52" s="15"/>
      <c r="E52" s="17" t="str">
        <f aca="false">IF($B52="","",SUMIFS(Payments!$E$5:$E$1004,Payments!$C$5:$C$1004,$B52,Payments!$G$5:$G$1004,"Yes"))</f>
        <v/>
      </c>
      <c r="F52" s="18" t="str">
        <f aca="false">IF($B52="","",COUNTIF(Entries!$D$5:$D$2004,$B52))</f>
        <v/>
      </c>
      <c r="G52" s="17" t="str">
        <f aca="false">IF($B52="","",F52*Settings!$C$5)</f>
        <v/>
      </c>
      <c r="H52" s="19" t="str">
        <f aca="false">IF($B52="","",E52-G52)</f>
        <v/>
      </c>
      <c r="I52" s="1"/>
      <c r="J52" s="1"/>
      <c r="K52" s="1"/>
    </row>
    <row r="53" customFormat="false" ht="21.75" hidden="false" customHeight="true" outlineLevel="0" collapsed="false">
      <c r="A53" s="1"/>
      <c r="B53" s="15"/>
      <c r="C53" s="16"/>
      <c r="D53" s="15"/>
      <c r="E53" s="17" t="str">
        <f aca="false">IF($B53="","",SUMIFS(Payments!$E$5:$E$1004,Payments!$C$5:$C$1004,$B53,Payments!$G$5:$G$1004,"Yes"))</f>
        <v/>
      </c>
      <c r="F53" s="18" t="str">
        <f aca="false">IF($B53="","",COUNTIF(Entries!$D$5:$D$2004,$B53))</f>
        <v/>
      </c>
      <c r="G53" s="17" t="str">
        <f aca="false">IF($B53="","",F53*Settings!$C$5)</f>
        <v/>
      </c>
      <c r="H53" s="19" t="str">
        <f aca="false">IF($B53="","",E53-G53)</f>
        <v/>
      </c>
      <c r="I53" s="1"/>
      <c r="J53" s="1"/>
      <c r="K53" s="1"/>
    </row>
    <row r="54" customFormat="false" ht="21.75" hidden="false" customHeight="true" outlineLevel="0" collapsed="false">
      <c r="A54" s="1"/>
      <c r="B54" s="15"/>
      <c r="C54" s="16"/>
      <c r="D54" s="15"/>
      <c r="E54" s="17" t="str">
        <f aca="false">IF($B54="","",SUMIFS(Payments!$E$5:$E$1004,Payments!$C$5:$C$1004,$B54,Payments!$G$5:$G$1004,"Yes"))</f>
        <v/>
      </c>
      <c r="F54" s="18" t="str">
        <f aca="false">IF($B54="","",COUNTIF(Entries!$D$5:$D$2004,$B54))</f>
        <v/>
      </c>
      <c r="G54" s="17" t="str">
        <f aca="false">IF($B54="","",F54*Settings!$C$5)</f>
        <v/>
      </c>
      <c r="H54" s="19" t="str">
        <f aca="false">IF($B54="","",E54-G54)</f>
        <v/>
      </c>
      <c r="I54" s="1"/>
      <c r="J54" s="1"/>
      <c r="K54" s="1"/>
    </row>
    <row r="55" customFormat="false" ht="21.75" hidden="false" customHeight="true" outlineLevel="0" collapsed="false">
      <c r="A55" s="1"/>
      <c r="B55" s="15"/>
      <c r="C55" s="16"/>
      <c r="D55" s="15"/>
      <c r="E55" s="17" t="str">
        <f aca="false">IF($B55="","",SUMIFS(Payments!$E$5:$E$1004,Payments!$C$5:$C$1004,$B55,Payments!$G$5:$G$1004,"Yes"))</f>
        <v/>
      </c>
      <c r="F55" s="18" t="str">
        <f aca="false">IF($B55="","",COUNTIF(Entries!$D$5:$D$2004,$B55))</f>
        <v/>
      </c>
      <c r="G55" s="17" t="str">
        <f aca="false">IF($B55="","",F55*Settings!$C$5)</f>
        <v/>
      </c>
      <c r="H55" s="19" t="str">
        <f aca="false">IF($B55="","",E55-G55)</f>
        <v/>
      </c>
      <c r="I55" s="1"/>
      <c r="J55" s="1"/>
      <c r="K55" s="1"/>
    </row>
    <row r="56" customFormat="false" ht="21.75" hidden="false" customHeight="true" outlineLevel="0" collapsed="false">
      <c r="A56" s="1"/>
      <c r="B56" s="15"/>
      <c r="C56" s="16"/>
      <c r="D56" s="15"/>
      <c r="E56" s="17" t="str">
        <f aca="false">IF($B56="","",SUMIFS(Payments!$E$5:$E$1004,Payments!$C$5:$C$1004,$B56,Payments!$G$5:$G$1004,"Yes"))</f>
        <v/>
      </c>
      <c r="F56" s="18" t="str">
        <f aca="false">IF($B56="","",COUNTIF(Entries!$D$5:$D$2004,$B56))</f>
        <v/>
      </c>
      <c r="G56" s="17" t="str">
        <f aca="false">IF($B56="","",F56*Settings!$C$5)</f>
        <v/>
      </c>
      <c r="H56" s="19" t="str">
        <f aca="false">IF($B56="","",E56-G56)</f>
        <v/>
      </c>
      <c r="I56" s="1"/>
      <c r="J56" s="1"/>
      <c r="K56" s="1"/>
    </row>
    <row r="57" customFormat="false" ht="21.75" hidden="false" customHeight="true" outlineLevel="0" collapsed="false">
      <c r="A57" s="1"/>
      <c r="B57" s="15"/>
      <c r="C57" s="16"/>
      <c r="D57" s="15"/>
      <c r="E57" s="17" t="str">
        <f aca="false">IF($B57="","",SUMIFS(Payments!$E$5:$E$1004,Payments!$C$5:$C$1004,$B57,Payments!$G$5:$G$1004,"Yes"))</f>
        <v/>
      </c>
      <c r="F57" s="18" t="str">
        <f aca="false">IF($B57="","",COUNTIF(Entries!$D$5:$D$2004,$B57))</f>
        <v/>
      </c>
      <c r="G57" s="17" t="str">
        <f aca="false">IF($B57="","",F57*Settings!$C$5)</f>
        <v/>
      </c>
      <c r="H57" s="19" t="str">
        <f aca="false">IF($B57="","",E57-G57)</f>
        <v/>
      </c>
      <c r="I57" s="1"/>
      <c r="J57" s="1"/>
      <c r="K57" s="1"/>
    </row>
    <row r="58" customFormat="false" ht="21.75" hidden="false" customHeight="true" outlineLevel="0" collapsed="false">
      <c r="A58" s="1"/>
      <c r="B58" s="15"/>
      <c r="C58" s="16"/>
      <c r="D58" s="15"/>
      <c r="E58" s="17" t="str">
        <f aca="false">IF($B58="","",SUMIFS(Payments!$E$5:$E$1004,Payments!$C$5:$C$1004,$B58,Payments!$G$5:$G$1004,"Yes"))</f>
        <v/>
      </c>
      <c r="F58" s="18" t="str">
        <f aca="false">IF($B58="","",COUNTIF(Entries!$D$5:$D$2004,$B58))</f>
        <v/>
      </c>
      <c r="G58" s="17" t="str">
        <f aca="false">IF($B58="","",F58*Settings!$C$5)</f>
        <v/>
      </c>
      <c r="H58" s="19" t="str">
        <f aca="false">IF($B58="","",E58-G58)</f>
        <v/>
      </c>
      <c r="I58" s="1"/>
      <c r="J58" s="1"/>
      <c r="K58" s="1"/>
    </row>
    <row r="59" customFormat="false" ht="21.75" hidden="false" customHeight="true" outlineLevel="0" collapsed="false">
      <c r="A59" s="1"/>
      <c r="B59" s="15"/>
      <c r="C59" s="16"/>
      <c r="D59" s="15"/>
      <c r="E59" s="17" t="str">
        <f aca="false">IF($B59="","",SUMIFS(Payments!$E$5:$E$1004,Payments!$C$5:$C$1004,$B59,Payments!$G$5:$G$1004,"Yes"))</f>
        <v/>
      </c>
      <c r="F59" s="18" t="str">
        <f aca="false">IF($B59="","",COUNTIF(Entries!$D$5:$D$2004,$B59))</f>
        <v/>
      </c>
      <c r="G59" s="17" t="str">
        <f aca="false">IF($B59="","",F59*Settings!$C$5)</f>
        <v/>
      </c>
      <c r="H59" s="19" t="str">
        <f aca="false">IF($B59="","",E59-G59)</f>
        <v/>
      </c>
      <c r="I59" s="1"/>
      <c r="J59" s="1"/>
      <c r="K59" s="1"/>
    </row>
    <row r="60" customFormat="false" ht="21.75" hidden="false" customHeight="true" outlineLevel="0" collapsed="false">
      <c r="A60" s="1"/>
      <c r="B60" s="15"/>
      <c r="C60" s="16"/>
      <c r="D60" s="15"/>
      <c r="E60" s="17" t="str">
        <f aca="false">IF($B60="","",SUMIFS(Payments!$E$5:$E$1004,Payments!$C$5:$C$1004,$B60,Payments!$G$5:$G$1004,"Yes"))</f>
        <v/>
      </c>
      <c r="F60" s="18" t="str">
        <f aca="false">IF($B60="","",COUNTIF(Entries!$D$5:$D$2004,$B60))</f>
        <v/>
      </c>
      <c r="G60" s="17" t="str">
        <f aca="false">IF($B60="","",F60*Settings!$C$5)</f>
        <v/>
      </c>
      <c r="H60" s="19" t="str">
        <f aca="false">IF($B60="","",E60-G60)</f>
        <v/>
      </c>
      <c r="I60" s="1"/>
      <c r="J60" s="1"/>
      <c r="K60" s="1"/>
    </row>
    <row r="61" customFormat="false" ht="21.75" hidden="false" customHeight="true" outlineLevel="0" collapsed="false">
      <c r="A61" s="1"/>
      <c r="B61" s="15"/>
      <c r="C61" s="16"/>
      <c r="D61" s="15"/>
      <c r="E61" s="17" t="str">
        <f aca="false">IF($B61="","",SUMIFS(Payments!$E$5:$E$1004,Payments!$C$5:$C$1004,$B61,Payments!$G$5:$G$1004,"Yes"))</f>
        <v/>
      </c>
      <c r="F61" s="18" t="str">
        <f aca="false">IF($B61="","",COUNTIF(Entries!$D$5:$D$2004,$B61))</f>
        <v/>
      </c>
      <c r="G61" s="17" t="str">
        <f aca="false">IF($B61="","",F61*Settings!$C$5)</f>
        <v/>
      </c>
      <c r="H61" s="19" t="str">
        <f aca="false">IF($B61="","",E61-G61)</f>
        <v/>
      </c>
      <c r="I61" s="1"/>
      <c r="J61" s="1"/>
      <c r="K61" s="1"/>
    </row>
    <row r="62" customFormat="false" ht="21.75" hidden="false" customHeight="true" outlineLevel="0" collapsed="false">
      <c r="A62" s="1"/>
      <c r="B62" s="15"/>
      <c r="C62" s="16"/>
      <c r="D62" s="15"/>
      <c r="E62" s="17" t="str">
        <f aca="false">IF($B62="","",SUMIFS(Payments!$E$5:$E$1004,Payments!$C$5:$C$1004,$B62,Payments!$G$5:$G$1004,"Yes"))</f>
        <v/>
      </c>
      <c r="F62" s="18" t="str">
        <f aca="false">IF($B62="","",COUNTIF(Entries!$D$5:$D$2004,$B62))</f>
        <v/>
      </c>
      <c r="G62" s="17" t="str">
        <f aca="false">IF($B62="","",F62*Settings!$C$5)</f>
        <v/>
      </c>
      <c r="H62" s="19" t="str">
        <f aca="false">IF($B62="","",E62-G62)</f>
        <v/>
      </c>
      <c r="I62" s="1"/>
      <c r="J62" s="1"/>
      <c r="K62" s="1"/>
    </row>
    <row r="63" customFormat="false" ht="21.75" hidden="false" customHeight="true" outlineLevel="0" collapsed="false">
      <c r="A63" s="1"/>
      <c r="B63" s="15"/>
      <c r="C63" s="16"/>
      <c r="D63" s="15"/>
      <c r="E63" s="17" t="str">
        <f aca="false">IF($B63="","",SUMIFS(Payments!$E$5:$E$1004,Payments!$C$5:$C$1004,$B63,Payments!$G$5:$G$1004,"Yes"))</f>
        <v/>
      </c>
      <c r="F63" s="18" t="str">
        <f aca="false">IF($B63="","",COUNTIF(Entries!$D$5:$D$2004,$B63))</f>
        <v/>
      </c>
      <c r="G63" s="17" t="str">
        <f aca="false">IF($B63="","",F63*Settings!$C$5)</f>
        <v/>
      </c>
      <c r="H63" s="19" t="str">
        <f aca="false">IF($B63="","",E63-G63)</f>
        <v/>
      </c>
      <c r="I63" s="1"/>
      <c r="J63" s="1"/>
      <c r="K63" s="1"/>
    </row>
    <row r="64" customFormat="false" ht="21.75" hidden="false" customHeight="true" outlineLevel="0" collapsed="false">
      <c r="A64" s="1"/>
      <c r="B64" s="15"/>
      <c r="C64" s="16"/>
      <c r="D64" s="15"/>
      <c r="E64" s="17" t="str">
        <f aca="false">IF($B64="","",SUMIFS(Payments!$E$5:$E$1004,Payments!$C$5:$C$1004,$B64,Payments!$G$5:$G$1004,"Yes"))</f>
        <v/>
      </c>
      <c r="F64" s="18" t="str">
        <f aca="false">IF($B64="","",COUNTIF(Entries!$D$5:$D$2004,$B64))</f>
        <v/>
      </c>
      <c r="G64" s="17" t="str">
        <f aca="false">IF($B64="","",F64*Settings!$C$5)</f>
        <v/>
      </c>
      <c r="H64" s="19" t="str">
        <f aca="false">IF($B64="","",E64-G64)</f>
        <v/>
      </c>
      <c r="I64" s="1"/>
      <c r="J64" s="1"/>
      <c r="K64" s="1"/>
    </row>
    <row r="65" customFormat="false" ht="21.75" hidden="false" customHeight="true" outlineLevel="0" collapsed="false">
      <c r="A65" s="1"/>
      <c r="B65" s="15"/>
      <c r="C65" s="16"/>
      <c r="D65" s="15"/>
      <c r="E65" s="17" t="str">
        <f aca="false">IF($B65="","",SUMIFS(Payments!$E$5:$E$1004,Payments!$C$5:$C$1004,$B65,Payments!$G$5:$G$1004,"Yes"))</f>
        <v/>
      </c>
      <c r="F65" s="18" t="str">
        <f aca="false">IF($B65="","",COUNTIF(Entries!$D$5:$D$2004,$B65))</f>
        <v/>
      </c>
      <c r="G65" s="17" t="str">
        <f aca="false">IF($B65="","",F65*Settings!$C$5)</f>
        <v/>
      </c>
      <c r="H65" s="19" t="str">
        <f aca="false">IF($B65="","",E65-G65)</f>
        <v/>
      </c>
      <c r="I65" s="1"/>
      <c r="J65" s="1"/>
      <c r="K65" s="1"/>
    </row>
    <row r="66" customFormat="false" ht="21.75" hidden="false" customHeight="true" outlineLevel="0" collapsed="false">
      <c r="A66" s="1"/>
      <c r="B66" s="15"/>
      <c r="C66" s="16"/>
      <c r="D66" s="15"/>
      <c r="E66" s="17" t="str">
        <f aca="false">IF($B66="","",SUMIFS(Payments!$E$5:$E$1004,Payments!$C$5:$C$1004,$B66,Payments!$G$5:$G$1004,"Yes"))</f>
        <v/>
      </c>
      <c r="F66" s="18" t="str">
        <f aca="false">IF($B66="","",COUNTIF(Entries!$D$5:$D$2004,$B66))</f>
        <v/>
      </c>
      <c r="G66" s="17" t="str">
        <f aca="false">IF($B66="","",F66*Settings!$C$5)</f>
        <v/>
      </c>
      <c r="H66" s="19" t="str">
        <f aca="false">IF($B66="","",E66-G66)</f>
        <v/>
      </c>
      <c r="I66" s="1"/>
      <c r="J66" s="1"/>
      <c r="K66" s="1"/>
    </row>
    <row r="67" customFormat="false" ht="21.75" hidden="false" customHeight="true" outlineLevel="0" collapsed="false">
      <c r="A67" s="1"/>
      <c r="B67" s="15"/>
      <c r="C67" s="16"/>
      <c r="D67" s="15"/>
      <c r="E67" s="17" t="str">
        <f aca="false">IF($B67="","",SUMIFS(Payments!$E$5:$E$1004,Payments!$C$5:$C$1004,$B67,Payments!$G$5:$G$1004,"Yes"))</f>
        <v/>
      </c>
      <c r="F67" s="18" t="str">
        <f aca="false">IF($B67="","",COUNTIF(Entries!$D$5:$D$2004,$B67))</f>
        <v/>
      </c>
      <c r="G67" s="17" t="str">
        <f aca="false">IF($B67="","",F67*Settings!$C$5)</f>
        <v/>
      </c>
      <c r="H67" s="19" t="str">
        <f aca="false">IF($B67="","",E67-G67)</f>
        <v/>
      </c>
      <c r="I67" s="1"/>
      <c r="J67" s="1"/>
      <c r="K67" s="1"/>
    </row>
    <row r="68" customFormat="false" ht="21.75" hidden="false" customHeight="true" outlineLevel="0" collapsed="false">
      <c r="A68" s="1"/>
      <c r="B68" s="15"/>
      <c r="C68" s="16"/>
      <c r="D68" s="15"/>
      <c r="E68" s="17" t="str">
        <f aca="false">IF($B68="","",SUMIFS(Payments!$E$5:$E$1004,Payments!$C$5:$C$1004,$B68,Payments!$G$5:$G$1004,"Yes"))</f>
        <v/>
      </c>
      <c r="F68" s="18" t="str">
        <f aca="false">IF($B68="","",COUNTIF(Entries!$D$5:$D$2004,$B68))</f>
        <v/>
      </c>
      <c r="G68" s="17" t="str">
        <f aca="false">IF($B68="","",F68*Settings!$C$5)</f>
        <v/>
      </c>
      <c r="H68" s="19" t="str">
        <f aca="false">IF($B68="","",E68-G68)</f>
        <v/>
      </c>
      <c r="I68" s="1"/>
      <c r="J68" s="1"/>
      <c r="K68" s="1"/>
    </row>
    <row r="69" customFormat="false" ht="21.75" hidden="false" customHeight="true" outlineLevel="0" collapsed="false">
      <c r="A69" s="1"/>
      <c r="B69" s="15"/>
      <c r="C69" s="16"/>
      <c r="D69" s="15"/>
      <c r="E69" s="17" t="str">
        <f aca="false">IF($B69="","",SUMIFS(Payments!$E$5:$E$1004,Payments!$C$5:$C$1004,$B69,Payments!$G$5:$G$1004,"Yes"))</f>
        <v/>
      </c>
      <c r="F69" s="18" t="str">
        <f aca="false">IF($B69="","",COUNTIF(Entries!$D$5:$D$2004,$B69))</f>
        <v/>
      </c>
      <c r="G69" s="17" t="str">
        <f aca="false">IF($B69="","",F69*Settings!$C$5)</f>
        <v/>
      </c>
      <c r="H69" s="19" t="str">
        <f aca="false">IF($B69="","",E69-G69)</f>
        <v/>
      </c>
      <c r="I69" s="1"/>
      <c r="J69" s="1"/>
      <c r="K69" s="1"/>
    </row>
    <row r="70" customFormat="false" ht="21.75" hidden="false" customHeight="true" outlineLevel="0" collapsed="false">
      <c r="A70" s="1"/>
      <c r="B70" s="15"/>
      <c r="C70" s="16"/>
      <c r="D70" s="15"/>
      <c r="E70" s="17" t="str">
        <f aca="false">IF($B70="","",SUMIFS(Payments!$E$5:$E$1004,Payments!$C$5:$C$1004,$B70,Payments!$G$5:$G$1004,"Yes"))</f>
        <v/>
      </c>
      <c r="F70" s="18" t="str">
        <f aca="false">IF($B70="","",COUNTIF(Entries!$D$5:$D$2004,$B70))</f>
        <v/>
      </c>
      <c r="G70" s="17" t="str">
        <f aca="false">IF($B70="","",F70*Settings!$C$5)</f>
        <v/>
      </c>
      <c r="H70" s="19" t="str">
        <f aca="false">IF($B70="","",E70-G70)</f>
        <v/>
      </c>
      <c r="I70" s="1"/>
      <c r="J70" s="1"/>
      <c r="K70" s="1"/>
    </row>
    <row r="71" customFormat="false" ht="21.75" hidden="false" customHeight="true" outlineLevel="0" collapsed="false">
      <c r="A71" s="1"/>
      <c r="B71" s="15"/>
      <c r="C71" s="16"/>
      <c r="D71" s="15"/>
      <c r="E71" s="17" t="str">
        <f aca="false">IF($B71="","",SUMIFS(Payments!$E$5:$E$1004,Payments!$C$5:$C$1004,$B71,Payments!$G$5:$G$1004,"Yes"))</f>
        <v/>
      </c>
      <c r="F71" s="18" t="str">
        <f aca="false">IF($B71="","",COUNTIF(Entries!$D$5:$D$2004,$B71))</f>
        <v/>
      </c>
      <c r="G71" s="17" t="str">
        <f aca="false">IF($B71="","",F71*Settings!$C$5)</f>
        <v/>
      </c>
      <c r="H71" s="19" t="str">
        <f aca="false">IF($B71="","",E71-G71)</f>
        <v/>
      </c>
      <c r="I71" s="1"/>
      <c r="J71" s="1"/>
      <c r="K71" s="1"/>
    </row>
    <row r="72" customFormat="false" ht="21.75" hidden="false" customHeight="true" outlineLevel="0" collapsed="false">
      <c r="A72" s="1"/>
      <c r="B72" s="15"/>
      <c r="C72" s="16"/>
      <c r="D72" s="15"/>
      <c r="E72" s="17" t="str">
        <f aca="false">IF($B72="","",SUMIFS(Payments!$E$5:$E$1004,Payments!$C$5:$C$1004,$B72,Payments!$G$5:$G$1004,"Yes"))</f>
        <v/>
      </c>
      <c r="F72" s="18" t="str">
        <f aca="false">IF($B72="","",COUNTIF(Entries!$D$5:$D$2004,$B72))</f>
        <v/>
      </c>
      <c r="G72" s="17" t="str">
        <f aca="false">IF($B72="","",F72*Settings!$C$5)</f>
        <v/>
      </c>
      <c r="H72" s="19" t="str">
        <f aca="false">IF($B72="","",E72-G72)</f>
        <v/>
      </c>
      <c r="I72" s="1"/>
      <c r="J72" s="1"/>
      <c r="K72" s="1"/>
    </row>
    <row r="73" customFormat="false" ht="21.75" hidden="false" customHeight="true" outlineLevel="0" collapsed="false">
      <c r="A73" s="1"/>
      <c r="B73" s="15"/>
      <c r="C73" s="16"/>
      <c r="D73" s="15"/>
      <c r="E73" s="17" t="str">
        <f aca="false">IF($B73="","",SUMIFS(Payments!$E$5:$E$1004,Payments!$C$5:$C$1004,$B73,Payments!$G$5:$G$1004,"Yes"))</f>
        <v/>
      </c>
      <c r="F73" s="18" t="str">
        <f aca="false">IF($B73="","",COUNTIF(Entries!$D$5:$D$2004,$B73))</f>
        <v/>
      </c>
      <c r="G73" s="17" t="str">
        <f aca="false">IF($B73="","",F73*Settings!$C$5)</f>
        <v/>
      </c>
      <c r="H73" s="19" t="str">
        <f aca="false">IF($B73="","",E73-G73)</f>
        <v/>
      </c>
      <c r="I73" s="1"/>
      <c r="J73" s="1"/>
      <c r="K73" s="1"/>
    </row>
    <row r="74" customFormat="false" ht="21.75" hidden="false" customHeight="true" outlineLevel="0" collapsed="false">
      <c r="A74" s="1"/>
      <c r="B74" s="15"/>
      <c r="C74" s="16"/>
      <c r="D74" s="15"/>
      <c r="E74" s="17" t="str">
        <f aca="false">IF($B74="","",SUMIFS(Payments!$E$5:$E$1004,Payments!$C$5:$C$1004,$B74,Payments!$G$5:$G$1004,"Yes"))</f>
        <v/>
      </c>
      <c r="F74" s="18" t="str">
        <f aca="false">IF($B74="","",COUNTIF(Entries!$D$5:$D$2004,$B74))</f>
        <v/>
      </c>
      <c r="G74" s="17" t="str">
        <f aca="false">IF($B74="","",F74*Settings!$C$5)</f>
        <v/>
      </c>
      <c r="H74" s="19" t="str">
        <f aca="false">IF($B74="","",E74-G74)</f>
        <v/>
      </c>
      <c r="I74" s="1"/>
      <c r="J74" s="1"/>
      <c r="K74" s="1"/>
    </row>
    <row r="75" customFormat="false" ht="21.75" hidden="false" customHeight="true" outlineLevel="0" collapsed="false">
      <c r="A75" s="1"/>
      <c r="B75" s="15"/>
      <c r="C75" s="16"/>
      <c r="D75" s="15"/>
      <c r="E75" s="17" t="str">
        <f aca="false">IF($B75="","",SUMIFS(Payments!$E$5:$E$1004,Payments!$C$5:$C$1004,$B75,Payments!$G$5:$G$1004,"Yes"))</f>
        <v/>
      </c>
      <c r="F75" s="18" t="str">
        <f aca="false">IF($B75="","",COUNTIF(Entries!$D$5:$D$2004,$B75))</f>
        <v/>
      </c>
      <c r="G75" s="17" t="str">
        <f aca="false">IF($B75="","",F75*Settings!$C$5)</f>
        <v/>
      </c>
      <c r="H75" s="19" t="str">
        <f aca="false">IF($B75="","",E75-G75)</f>
        <v/>
      </c>
      <c r="I75" s="1"/>
      <c r="J75" s="1"/>
      <c r="K75" s="1"/>
    </row>
    <row r="76" customFormat="false" ht="21.75" hidden="false" customHeight="true" outlineLevel="0" collapsed="false">
      <c r="A76" s="1"/>
      <c r="B76" s="15"/>
      <c r="C76" s="16"/>
      <c r="D76" s="15"/>
      <c r="E76" s="17" t="str">
        <f aca="false">IF($B76="","",SUMIFS(Payments!$E$5:$E$1004,Payments!$C$5:$C$1004,$B76,Payments!$G$5:$G$1004,"Yes"))</f>
        <v/>
      </c>
      <c r="F76" s="18" t="str">
        <f aca="false">IF($B76="","",COUNTIF(Entries!$D$5:$D$2004,$B76))</f>
        <v/>
      </c>
      <c r="G76" s="17" t="str">
        <f aca="false">IF($B76="","",F76*Settings!$C$5)</f>
        <v/>
      </c>
      <c r="H76" s="19" t="str">
        <f aca="false">IF($B76="","",E76-G76)</f>
        <v/>
      </c>
      <c r="I76" s="1"/>
      <c r="J76" s="1"/>
      <c r="K76" s="1"/>
    </row>
    <row r="77" customFormat="false" ht="21.75" hidden="false" customHeight="true" outlineLevel="0" collapsed="false">
      <c r="A77" s="1"/>
      <c r="B77" s="15"/>
      <c r="C77" s="16"/>
      <c r="D77" s="15"/>
      <c r="E77" s="17" t="str">
        <f aca="false">IF($B77="","",SUMIFS(Payments!$E$5:$E$1004,Payments!$C$5:$C$1004,$B77,Payments!$G$5:$G$1004,"Yes"))</f>
        <v/>
      </c>
      <c r="F77" s="18" t="str">
        <f aca="false">IF($B77="","",COUNTIF(Entries!$D$5:$D$2004,$B77))</f>
        <v/>
      </c>
      <c r="G77" s="17" t="str">
        <f aca="false">IF($B77="","",F77*Settings!$C$5)</f>
        <v/>
      </c>
      <c r="H77" s="19" t="str">
        <f aca="false">IF($B77="","",E77-G77)</f>
        <v/>
      </c>
      <c r="I77" s="1"/>
      <c r="J77" s="1"/>
      <c r="K77" s="1"/>
    </row>
    <row r="78" customFormat="false" ht="21.75" hidden="false" customHeight="true" outlineLevel="0" collapsed="false">
      <c r="A78" s="1"/>
      <c r="B78" s="15"/>
      <c r="C78" s="16"/>
      <c r="D78" s="15"/>
      <c r="E78" s="17" t="str">
        <f aca="false">IF($B78="","",SUMIFS(Payments!$E$5:$E$1004,Payments!$C$5:$C$1004,$B78,Payments!$G$5:$G$1004,"Yes"))</f>
        <v/>
      </c>
      <c r="F78" s="18" t="str">
        <f aca="false">IF($B78="","",COUNTIF(Entries!$D$5:$D$2004,$B78))</f>
        <v/>
      </c>
      <c r="G78" s="17" t="str">
        <f aca="false">IF($B78="","",F78*Settings!$C$5)</f>
        <v/>
      </c>
      <c r="H78" s="19" t="str">
        <f aca="false">IF($B78="","",E78-G78)</f>
        <v/>
      </c>
      <c r="I78" s="1"/>
      <c r="J78" s="1"/>
      <c r="K78" s="1"/>
    </row>
    <row r="79" customFormat="false" ht="21.75" hidden="false" customHeight="true" outlineLevel="0" collapsed="false">
      <c r="A79" s="1"/>
      <c r="B79" s="15"/>
      <c r="C79" s="16"/>
      <c r="D79" s="15"/>
      <c r="E79" s="17" t="str">
        <f aca="false">IF($B79="","",SUMIFS(Payments!$E$5:$E$1004,Payments!$C$5:$C$1004,$B79,Payments!$G$5:$G$1004,"Yes"))</f>
        <v/>
      </c>
      <c r="F79" s="18" t="str">
        <f aca="false">IF($B79="","",COUNTIF(Entries!$D$5:$D$2004,$B79))</f>
        <v/>
      </c>
      <c r="G79" s="17" t="str">
        <f aca="false">IF($B79="","",F79*Settings!$C$5)</f>
        <v/>
      </c>
      <c r="H79" s="19" t="str">
        <f aca="false">IF($B79="","",E79-G79)</f>
        <v/>
      </c>
      <c r="I79" s="1"/>
      <c r="J79" s="1"/>
      <c r="K79" s="1"/>
    </row>
    <row r="80" customFormat="false" ht="21.75" hidden="false" customHeight="true" outlineLevel="0" collapsed="false">
      <c r="A80" s="1"/>
      <c r="B80" s="15"/>
      <c r="C80" s="16"/>
      <c r="D80" s="15"/>
      <c r="E80" s="17" t="str">
        <f aca="false">IF($B80="","",SUMIFS(Payments!$E$5:$E$1004,Payments!$C$5:$C$1004,$B80,Payments!$G$5:$G$1004,"Yes"))</f>
        <v/>
      </c>
      <c r="F80" s="18" t="str">
        <f aca="false">IF($B80="","",COUNTIF(Entries!$D$5:$D$2004,$B80))</f>
        <v/>
      </c>
      <c r="G80" s="17" t="str">
        <f aca="false">IF($B80="","",F80*Settings!$C$5)</f>
        <v/>
      </c>
      <c r="H80" s="19" t="str">
        <f aca="false">IF($B80="","",E80-G80)</f>
        <v/>
      </c>
      <c r="I80" s="1"/>
      <c r="J80" s="1"/>
      <c r="K80" s="1"/>
    </row>
    <row r="81" customFormat="false" ht="21.75" hidden="false" customHeight="true" outlineLevel="0" collapsed="false">
      <c r="A81" s="1"/>
      <c r="B81" s="15"/>
      <c r="C81" s="16"/>
      <c r="D81" s="15"/>
      <c r="E81" s="17" t="str">
        <f aca="false">IF($B81="","",SUMIFS(Payments!$E$5:$E$1004,Payments!$C$5:$C$1004,$B81,Payments!$G$5:$G$1004,"Yes"))</f>
        <v/>
      </c>
      <c r="F81" s="18" t="str">
        <f aca="false">IF($B81="","",COUNTIF(Entries!$D$5:$D$2004,$B81))</f>
        <v/>
      </c>
      <c r="G81" s="17" t="str">
        <f aca="false">IF($B81="","",F81*Settings!$C$5)</f>
        <v/>
      </c>
      <c r="H81" s="19" t="str">
        <f aca="false">IF($B81="","",E81-G81)</f>
        <v/>
      </c>
      <c r="I81" s="1"/>
      <c r="J81" s="1"/>
      <c r="K81" s="1"/>
    </row>
    <row r="82" customFormat="false" ht="21.75" hidden="false" customHeight="true" outlineLevel="0" collapsed="false">
      <c r="A82" s="1"/>
      <c r="B82" s="15"/>
      <c r="C82" s="16"/>
      <c r="D82" s="15"/>
      <c r="E82" s="17" t="str">
        <f aca="false">IF($B82="","",SUMIFS(Payments!$E$5:$E$1004,Payments!$C$5:$C$1004,$B82,Payments!$G$5:$G$1004,"Yes"))</f>
        <v/>
      </c>
      <c r="F82" s="18" t="str">
        <f aca="false">IF($B82="","",COUNTIF(Entries!$D$5:$D$2004,$B82))</f>
        <v/>
      </c>
      <c r="G82" s="17" t="str">
        <f aca="false">IF($B82="","",F82*Settings!$C$5)</f>
        <v/>
      </c>
      <c r="H82" s="19" t="str">
        <f aca="false">IF($B82="","",E82-G82)</f>
        <v/>
      </c>
      <c r="I82" s="1"/>
      <c r="J82" s="1"/>
      <c r="K82" s="1"/>
    </row>
    <row r="83" customFormat="false" ht="21.75" hidden="false" customHeight="true" outlineLevel="0" collapsed="false">
      <c r="A83" s="1"/>
      <c r="B83" s="15"/>
      <c r="C83" s="16"/>
      <c r="D83" s="15"/>
      <c r="E83" s="17" t="str">
        <f aca="false">IF($B83="","",SUMIFS(Payments!$E$5:$E$1004,Payments!$C$5:$C$1004,$B83,Payments!$G$5:$G$1004,"Yes"))</f>
        <v/>
      </c>
      <c r="F83" s="18" t="str">
        <f aca="false">IF($B83="","",COUNTIF(Entries!$D$5:$D$2004,$B83))</f>
        <v/>
      </c>
      <c r="G83" s="17" t="str">
        <f aca="false">IF($B83="","",F83*Settings!$C$5)</f>
        <v/>
      </c>
      <c r="H83" s="19" t="str">
        <f aca="false">IF($B83="","",E83-G83)</f>
        <v/>
      </c>
      <c r="I83" s="1"/>
      <c r="J83" s="1"/>
      <c r="K83" s="1"/>
    </row>
    <row r="84" customFormat="false" ht="21.75" hidden="false" customHeight="true" outlineLevel="0" collapsed="false">
      <c r="A84" s="1"/>
      <c r="B84" s="15"/>
      <c r="C84" s="16"/>
      <c r="D84" s="15"/>
      <c r="E84" s="17" t="str">
        <f aca="false">IF($B84="","",SUMIFS(Payments!$E$5:$E$1004,Payments!$C$5:$C$1004,$B84,Payments!$G$5:$G$1004,"Yes"))</f>
        <v/>
      </c>
      <c r="F84" s="18" t="str">
        <f aca="false">IF($B84="","",COUNTIF(Entries!$D$5:$D$2004,$B84))</f>
        <v/>
      </c>
      <c r="G84" s="17" t="str">
        <f aca="false">IF($B84="","",F84*Settings!$C$5)</f>
        <v/>
      </c>
      <c r="H84" s="19" t="str">
        <f aca="false">IF($B84="","",E84-G84)</f>
        <v/>
      </c>
      <c r="I84" s="1"/>
      <c r="J84" s="1"/>
      <c r="K84" s="1"/>
    </row>
    <row r="85" customFormat="false" ht="21.75" hidden="false" customHeight="true" outlineLevel="0" collapsed="false">
      <c r="A85" s="1"/>
      <c r="B85" s="15"/>
      <c r="C85" s="16"/>
      <c r="D85" s="15"/>
      <c r="E85" s="17" t="str">
        <f aca="false">IF($B85="","",SUMIFS(Payments!$E$5:$E$1004,Payments!$C$5:$C$1004,$B85,Payments!$G$5:$G$1004,"Yes"))</f>
        <v/>
      </c>
      <c r="F85" s="18" t="str">
        <f aca="false">IF($B85="","",COUNTIF(Entries!$D$5:$D$2004,$B85))</f>
        <v/>
      </c>
      <c r="G85" s="17" t="str">
        <f aca="false">IF($B85="","",F85*Settings!$C$5)</f>
        <v/>
      </c>
      <c r="H85" s="19" t="str">
        <f aca="false">IF($B85="","",E85-G85)</f>
        <v/>
      </c>
      <c r="I85" s="1"/>
      <c r="J85" s="1"/>
      <c r="K85" s="1"/>
    </row>
    <row r="86" customFormat="false" ht="21.75" hidden="false" customHeight="true" outlineLevel="0" collapsed="false">
      <c r="A86" s="1"/>
      <c r="B86" s="15"/>
      <c r="C86" s="16"/>
      <c r="D86" s="15"/>
      <c r="E86" s="17" t="str">
        <f aca="false">IF($B86="","",SUMIFS(Payments!$E$5:$E$1004,Payments!$C$5:$C$1004,$B86,Payments!$G$5:$G$1004,"Yes"))</f>
        <v/>
      </c>
      <c r="F86" s="18" t="str">
        <f aca="false">IF($B86="","",COUNTIF(Entries!$D$5:$D$2004,$B86))</f>
        <v/>
      </c>
      <c r="G86" s="17" t="str">
        <f aca="false">IF($B86="","",F86*Settings!$C$5)</f>
        <v/>
      </c>
      <c r="H86" s="19" t="str">
        <f aca="false">IF($B86="","",E86-G86)</f>
        <v/>
      </c>
      <c r="I86" s="1"/>
      <c r="J86" s="1"/>
      <c r="K86" s="1"/>
    </row>
    <row r="87" customFormat="false" ht="21.75" hidden="false" customHeight="true" outlineLevel="0" collapsed="false">
      <c r="A87" s="1"/>
      <c r="B87" s="15"/>
      <c r="C87" s="16"/>
      <c r="D87" s="15"/>
      <c r="E87" s="17" t="str">
        <f aca="false">IF($B87="","",SUMIFS(Payments!$E$5:$E$1004,Payments!$C$5:$C$1004,$B87,Payments!$G$5:$G$1004,"Yes"))</f>
        <v/>
      </c>
      <c r="F87" s="18" t="str">
        <f aca="false">IF($B87="","",COUNTIF(Entries!$D$5:$D$2004,$B87))</f>
        <v/>
      </c>
      <c r="G87" s="17" t="str">
        <f aca="false">IF($B87="","",F87*Settings!$C$5)</f>
        <v/>
      </c>
      <c r="H87" s="19" t="str">
        <f aca="false">IF($B87="","",E87-G87)</f>
        <v/>
      </c>
      <c r="I87" s="1"/>
      <c r="J87" s="1"/>
      <c r="K87" s="1"/>
    </row>
    <row r="88" customFormat="false" ht="21.75" hidden="false" customHeight="true" outlineLevel="0" collapsed="false">
      <c r="A88" s="1"/>
      <c r="B88" s="15"/>
      <c r="C88" s="16"/>
      <c r="D88" s="15"/>
      <c r="E88" s="17" t="str">
        <f aca="false">IF($B88="","",SUMIFS(Payments!$E$5:$E$1004,Payments!$C$5:$C$1004,$B88,Payments!$G$5:$G$1004,"Yes"))</f>
        <v/>
      </c>
      <c r="F88" s="18" t="str">
        <f aca="false">IF($B88="","",COUNTIF(Entries!$D$5:$D$2004,$B88))</f>
        <v/>
      </c>
      <c r="G88" s="17" t="str">
        <f aca="false">IF($B88="","",F88*Settings!$C$5)</f>
        <v/>
      </c>
      <c r="H88" s="19" t="str">
        <f aca="false">IF($B88="","",E88-G88)</f>
        <v/>
      </c>
      <c r="I88" s="1"/>
      <c r="J88" s="1"/>
      <c r="K88" s="1"/>
    </row>
    <row r="89" customFormat="false" ht="21.75" hidden="false" customHeight="true" outlineLevel="0" collapsed="false">
      <c r="A89" s="1"/>
      <c r="B89" s="15"/>
      <c r="C89" s="16"/>
      <c r="D89" s="15"/>
      <c r="E89" s="17" t="str">
        <f aca="false">IF($B89="","",SUMIFS(Payments!$E$5:$E$1004,Payments!$C$5:$C$1004,$B89,Payments!$G$5:$G$1004,"Yes"))</f>
        <v/>
      </c>
      <c r="F89" s="18" t="str">
        <f aca="false">IF($B89="","",COUNTIF(Entries!$D$5:$D$2004,$B89))</f>
        <v/>
      </c>
      <c r="G89" s="17" t="str">
        <f aca="false">IF($B89="","",F89*Settings!$C$5)</f>
        <v/>
      </c>
      <c r="H89" s="19" t="str">
        <f aca="false">IF($B89="","",E89-G89)</f>
        <v/>
      </c>
      <c r="I89" s="1"/>
      <c r="J89" s="1"/>
      <c r="K89" s="1"/>
    </row>
    <row r="90" customFormat="false" ht="21.75" hidden="false" customHeight="true" outlineLevel="0" collapsed="false">
      <c r="A90" s="1"/>
      <c r="B90" s="15"/>
      <c r="C90" s="16"/>
      <c r="D90" s="15"/>
      <c r="E90" s="17" t="str">
        <f aca="false">IF($B90="","",SUMIFS(Payments!$E$5:$E$1004,Payments!$C$5:$C$1004,$B90,Payments!$G$5:$G$1004,"Yes"))</f>
        <v/>
      </c>
      <c r="F90" s="18" t="str">
        <f aca="false">IF($B90="","",COUNTIF(Entries!$D$5:$D$2004,$B90))</f>
        <v/>
      </c>
      <c r="G90" s="17" t="str">
        <f aca="false">IF($B90="","",F90*Settings!$C$5)</f>
        <v/>
      </c>
      <c r="H90" s="19" t="str">
        <f aca="false">IF($B90="","",E90-G90)</f>
        <v/>
      </c>
      <c r="I90" s="1"/>
      <c r="J90" s="1"/>
      <c r="K90" s="1"/>
    </row>
    <row r="91" customFormat="false" ht="21.75" hidden="false" customHeight="true" outlineLevel="0" collapsed="false">
      <c r="A91" s="1"/>
      <c r="B91" s="15"/>
      <c r="C91" s="16"/>
      <c r="D91" s="15"/>
      <c r="E91" s="17" t="str">
        <f aca="false">IF($B91="","",SUMIFS(Payments!$E$5:$E$1004,Payments!$C$5:$C$1004,$B91,Payments!$G$5:$G$1004,"Yes"))</f>
        <v/>
      </c>
      <c r="F91" s="18" t="str">
        <f aca="false">IF($B91="","",COUNTIF(Entries!$D$5:$D$2004,$B91))</f>
        <v/>
      </c>
      <c r="G91" s="17" t="str">
        <f aca="false">IF($B91="","",F91*Settings!$C$5)</f>
        <v/>
      </c>
      <c r="H91" s="19" t="str">
        <f aca="false">IF($B91="","",E91-G91)</f>
        <v/>
      </c>
      <c r="I91" s="1"/>
      <c r="J91" s="1"/>
      <c r="K91" s="1"/>
    </row>
    <row r="92" customFormat="false" ht="21.75" hidden="false" customHeight="true" outlineLevel="0" collapsed="false">
      <c r="A92" s="1"/>
      <c r="B92" s="15"/>
      <c r="C92" s="16"/>
      <c r="D92" s="15"/>
      <c r="E92" s="17" t="str">
        <f aca="false">IF($B92="","",SUMIFS(Payments!$E$5:$E$1004,Payments!$C$5:$C$1004,$B92,Payments!$G$5:$G$1004,"Yes"))</f>
        <v/>
      </c>
      <c r="F92" s="18" t="str">
        <f aca="false">IF($B92="","",COUNTIF(Entries!$D$5:$D$2004,$B92))</f>
        <v/>
      </c>
      <c r="G92" s="17" t="str">
        <f aca="false">IF($B92="","",F92*Settings!$C$5)</f>
        <v/>
      </c>
      <c r="H92" s="19" t="str">
        <f aca="false">IF($B92="","",E92-G92)</f>
        <v/>
      </c>
      <c r="I92" s="1"/>
      <c r="J92" s="1"/>
      <c r="K92" s="1"/>
    </row>
    <row r="93" customFormat="false" ht="21.75" hidden="false" customHeight="true" outlineLevel="0" collapsed="false">
      <c r="A93" s="1"/>
      <c r="B93" s="15"/>
      <c r="C93" s="16"/>
      <c r="D93" s="15"/>
      <c r="E93" s="17" t="str">
        <f aca="false">IF($B93="","",SUMIFS(Payments!$E$5:$E$1004,Payments!$C$5:$C$1004,$B93,Payments!$G$5:$G$1004,"Yes"))</f>
        <v/>
      </c>
      <c r="F93" s="18" t="str">
        <f aca="false">IF($B93="","",COUNTIF(Entries!$D$5:$D$2004,$B93))</f>
        <v/>
      </c>
      <c r="G93" s="17" t="str">
        <f aca="false">IF($B93="","",F93*Settings!$C$5)</f>
        <v/>
      </c>
      <c r="H93" s="19" t="str">
        <f aca="false">IF($B93="","",E93-G93)</f>
        <v/>
      </c>
      <c r="I93" s="1"/>
      <c r="J93" s="1"/>
      <c r="K93" s="1"/>
    </row>
    <row r="94" customFormat="false" ht="21.75" hidden="false" customHeight="true" outlineLevel="0" collapsed="false">
      <c r="A94" s="1"/>
      <c r="B94" s="15"/>
      <c r="C94" s="16"/>
      <c r="D94" s="15"/>
      <c r="E94" s="17" t="str">
        <f aca="false">IF($B94="","",SUMIFS(Payments!$E$5:$E$1004,Payments!$C$5:$C$1004,$B94,Payments!$G$5:$G$1004,"Yes"))</f>
        <v/>
      </c>
      <c r="F94" s="18" t="str">
        <f aca="false">IF($B94="","",COUNTIF(Entries!$D$5:$D$2004,$B94))</f>
        <v/>
      </c>
      <c r="G94" s="17" t="str">
        <f aca="false">IF($B94="","",F94*Settings!$C$5)</f>
        <v/>
      </c>
      <c r="H94" s="19" t="str">
        <f aca="false">IF($B94="","",E94-G94)</f>
        <v/>
      </c>
      <c r="I94" s="1"/>
      <c r="J94" s="1"/>
      <c r="K94" s="1"/>
    </row>
    <row r="95" customFormat="false" ht="21.75" hidden="false" customHeight="true" outlineLevel="0" collapsed="false">
      <c r="A95" s="1"/>
      <c r="B95" s="15"/>
      <c r="C95" s="16"/>
      <c r="D95" s="15"/>
      <c r="E95" s="17" t="str">
        <f aca="false">IF($B95="","",SUMIFS(Payments!$E$5:$E$1004,Payments!$C$5:$C$1004,$B95,Payments!$G$5:$G$1004,"Yes"))</f>
        <v/>
      </c>
      <c r="F95" s="18" t="str">
        <f aca="false">IF($B95="","",COUNTIF(Entries!$D$5:$D$2004,$B95))</f>
        <v/>
      </c>
      <c r="G95" s="17" t="str">
        <f aca="false">IF($B95="","",F95*Settings!$C$5)</f>
        <v/>
      </c>
      <c r="H95" s="19" t="str">
        <f aca="false">IF($B95="","",E95-G95)</f>
        <v/>
      </c>
      <c r="I95" s="1"/>
      <c r="J95" s="1"/>
      <c r="K95" s="1"/>
    </row>
    <row r="96" customFormat="false" ht="21.75" hidden="false" customHeight="true" outlineLevel="0" collapsed="false">
      <c r="A96" s="1"/>
      <c r="B96" s="15"/>
      <c r="C96" s="16"/>
      <c r="D96" s="15"/>
      <c r="E96" s="17" t="str">
        <f aca="false">IF($B96="","",SUMIFS(Payments!$E$5:$E$1004,Payments!$C$5:$C$1004,$B96,Payments!$G$5:$G$1004,"Yes"))</f>
        <v/>
      </c>
      <c r="F96" s="18" t="str">
        <f aca="false">IF($B96="","",COUNTIF(Entries!$D$5:$D$2004,$B96))</f>
        <v/>
      </c>
      <c r="G96" s="17" t="str">
        <f aca="false">IF($B96="","",F96*Settings!$C$5)</f>
        <v/>
      </c>
      <c r="H96" s="19" t="str">
        <f aca="false">IF($B96="","",E96-G96)</f>
        <v/>
      </c>
      <c r="I96" s="1"/>
      <c r="J96" s="1"/>
      <c r="K96" s="1"/>
    </row>
    <row r="97" customFormat="false" ht="21.75" hidden="false" customHeight="true" outlineLevel="0" collapsed="false">
      <c r="A97" s="1"/>
      <c r="B97" s="15"/>
      <c r="C97" s="16"/>
      <c r="D97" s="15"/>
      <c r="E97" s="17" t="str">
        <f aca="false">IF($B97="","",SUMIFS(Payments!$E$5:$E$1004,Payments!$C$5:$C$1004,$B97,Payments!$G$5:$G$1004,"Yes"))</f>
        <v/>
      </c>
      <c r="F97" s="18" t="str">
        <f aca="false">IF($B97="","",COUNTIF(Entries!$D$5:$D$2004,$B97))</f>
        <v/>
      </c>
      <c r="G97" s="17" t="str">
        <f aca="false">IF($B97="","",F97*Settings!$C$5)</f>
        <v/>
      </c>
      <c r="H97" s="19" t="str">
        <f aca="false">IF($B97="","",E97-G97)</f>
        <v/>
      </c>
      <c r="I97" s="1"/>
      <c r="J97" s="1"/>
      <c r="K97" s="1"/>
    </row>
    <row r="98" customFormat="false" ht="21.75" hidden="false" customHeight="true" outlineLevel="0" collapsed="false">
      <c r="A98" s="1"/>
      <c r="B98" s="15"/>
      <c r="C98" s="16"/>
      <c r="D98" s="15"/>
      <c r="E98" s="17" t="str">
        <f aca="false">IF($B98="","",SUMIFS(Payments!$E$5:$E$1004,Payments!$C$5:$C$1004,$B98,Payments!$G$5:$G$1004,"Yes"))</f>
        <v/>
      </c>
      <c r="F98" s="18" t="str">
        <f aca="false">IF($B98="","",COUNTIF(Entries!$D$5:$D$2004,$B98))</f>
        <v/>
      </c>
      <c r="G98" s="17" t="str">
        <f aca="false">IF($B98="","",F98*Settings!$C$5)</f>
        <v/>
      </c>
      <c r="H98" s="19" t="str">
        <f aca="false">IF($B98="","",E98-G98)</f>
        <v/>
      </c>
      <c r="I98" s="1"/>
      <c r="J98" s="1"/>
      <c r="K98" s="1"/>
    </row>
    <row r="99" customFormat="false" ht="21.75" hidden="false" customHeight="true" outlineLevel="0" collapsed="false">
      <c r="A99" s="1"/>
      <c r="B99" s="15"/>
      <c r="C99" s="16"/>
      <c r="D99" s="15"/>
      <c r="E99" s="17" t="str">
        <f aca="false">IF($B99="","",SUMIFS(Payments!$E$5:$E$1004,Payments!$C$5:$C$1004,$B99,Payments!$G$5:$G$1004,"Yes"))</f>
        <v/>
      </c>
      <c r="F99" s="18" t="str">
        <f aca="false">IF($B99="","",COUNTIF(Entries!$D$5:$D$2004,$B99))</f>
        <v/>
      </c>
      <c r="G99" s="17" t="str">
        <f aca="false">IF($B99="","",F99*Settings!$C$5)</f>
        <v/>
      </c>
      <c r="H99" s="19" t="str">
        <f aca="false">IF($B99="","",E99-G99)</f>
        <v/>
      </c>
      <c r="I99" s="1"/>
      <c r="J99" s="1"/>
      <c r="K99" s="1"/>
    </row>
    <row r="100" customFormat="false" ht="21.75" hidden="false" customHeight="true" outlineLevel="0" collapsed="false">
      <c r="A100" s="1"/>
      <c r="B100" s="15"/>
      <c r="C100" s="16"/>
      <c r="D100" s="15"/>
      <c r="E100" s="17" t="str">
        <f aca="false">IF($B100="","",SUMIFS(Payments!$E$5:$E$1004,Payments!$C$5:$C$1004,$B100,Payments!$G$5:$G$1004,"Yes"))</f>
        <v/>
      </c>
      <c r="F100" s="18" t="str">
        <f aca="false">IF($B100="","",COUNTIF(Entries!$D$5:$D$2004,$B100))</f>
        <v/>
      </c>
      <c r="G100" s="17" t="str">
        <f aca="false">IF($B100="","",F100*Settings!$C$5)</f>
        <v/>
      </c>
      <c r="H100" s="19" t="str">
        <f aca="false">IF($B100="","",E100-G100)</f>
        <v/>
      </c>
      <c r="I100" s="1"/>
      <c r="J100" s="1"/>
      <c r="K100" s="1"/>
    </row>
    <row r="101" customFormat="false" ht="21.75" hidden="false" customHeight="true" outlineLevel="0" collapsed="false">
      <c r="A101" s="1"/>
      <c r="B101" s="15"/>
      <c r="C101" s="16"/>
      <c r="D101" s="15"/>
      <c r="E101" s="17" t="str">
        <f aca="false">IF($B101="","",SUMIFS(Payments!$E$5:$E$1004,Payments!$C$5:$C$1004,$B101,Payments!$G$5:$G$1004,"Yes"))</f>
        <v/>
      </c>
      <c r="F101" s="18" t="str">
        <f aca="false">IF($B101="","",COUNTIF(Entries!$D$5:$D$2004,$B101))</f>
        <v/>
      </c>
      <c r="G101" s="17" t="str">
        <f aca="false">IF($B101="","",F101*Settings!$C$5)</f>
        <v/>
      </c>
      <c r="H101" s="19" t="str">
        <f aca="false">IF($B101="","",E101-G101)</f>
        <v/>
      </c>
      <c r="I101" s="1"/>
      <c r="J101" s="1"/>
      <c r="K101" s="1"/>
    </row>
    <row r="102" customFormat="false" ht="21.75" hidden="false" customHeight="true" outlineLevel="0" collapsed="false">
      <c r="A102" s="1"/>
      <c r="B102" s="15"/>
      <c r="C102" s="16"/>
      <c r="D102" s="15"/>
      <c r="E102" s="17" t="str">
        <f aca="false">IF($B102="","",SUMIFS(Payments!$E$5:$E$1004,Payments!$C$5:$C$1004,$B102,Payments!$G$5:$G$1004,"Yes"))</f>
        <v/>
      </c>
      <c r="F102" s="18" t="str">
        <f aca="false">IF($B102="","",COUNTIF(Entries!$D$5:$D$2004,$B102))</f>
        <v/>
      </c>
      <c r="G102" s="17" t="str">
        <f aca="false">IF($B102="","",F102*Settings!$C$5)</f>
        <v/>
      </c>
      <c r="H102" s="19" t="str">
        <f aca="false">IF($B102="","",E102-G102)</f>
        <v/>
      </c>
      <c r="I102" s="1"/>
      <c r="J102" s="1"/>
      <c r="K102" s="1"/>
    </row>
    <row r="103" customFormat="false" ht="21.75" hidden="false" customHeight="true" outlineLevel="0" collapsed="false">
      <c r="A103" s="1"/>
      <c r="B103" s="15"/>
      <c r="C103" s="16"/>
      <c r="D103" s="15"/>
      <c r="E103" s="17" t="str">
        <f aca="false">IF($B103="","",SUMIFS(Payments!$E$5:$E$1004,Payments!$C$5:$C$1004,$B103,Payments!$G$5:$G$1004,"Yes"))</f>
        <v/>
      </c>
      <c r="F103" s="18" t="str">
        <f aca="false">IF($B103="","",COUNTIF(Entries!$D$5:$D$2004,$B103))</f>
        <v/>
      </c>
      <c r="G103" s="17" t="str">
        <f aca="false">IF($B103="","",F103*Settings!$C$5)</f>
        <v/>
      </c>
      <c r="H103" s="19" t="str">
        <f aca="false">IF($B103="","",E103-G103)</f>
        <v/>
      </c>
      <c r="I103" s="1"/>
      <c r="J103" s="1"/>
      <c r="K103" s="1"/>
    </row>
    <row r="104" customFormat="false" ht="21.75" hidden="false" customHeight="true" outlineLevel="0" collapsed="false">
      <c r="A104" s="1"/>
      <c r="B104" s="15"/>
      <c r="C104" s="16"/>
      <c r="D104" s="15"/>
      <c r="E104" s="17" t="str">
        <f aca="false">IF($B104="","",SUMIFS(Payments!$E$5:$E$1004,Payments!$C$5:$C$1004,$B104,Payments!$G$5:$G$1004,"Yes"))</f>
        <v/>
      </c>
      <c r="F104" s="18" t="str">
        <f aca="false">IF($B104="","",COUNTIF(Entries!$D$5:$D$2004,$B104))</f>
        <v/>
      </c>
      <c r="G104" s="17" t="str">
        <f aca="false">IF($B104="","",F104*Settings!$C$5)</f>
        <v/>
      </c>
      <c r="H104" s="19" t="str">
        <f aca="false">IF($B104="","",E104-G104)</f>
        <v/>
      </c>
      <c r="I104" s="1"/>
      <c r="J104" s="1"/>
      <c r="K104" s="1"/>
    </row>
    <row r="105" customFormat="false" ht="21.75" hidden="false" customHeight="true" outlineLevel="0" collapsed="false">
      <c r="A105" s="1"/>
      <c r="B105" s="15"/>
      <c r="C105" s="16"/>
      <c r="D105" s="15"/>
      <c r="E105" s="17" t="str">
        <f aca="false">IF($B105="","",SUMIFS(Payments!$E$5:$E$1004,Payments!$C$5:$C$1004,$B105,Payments!$G$5:$G$1004,"Yes"))</f>
        <v/>
      </c>
      <c r="F105" s="18" t="str">
        <f aca="false">IF($B105="","",COUNTIF(Entries!$D$5:$D$2004,$B105))</f>
        <v/>
      </c>
      <c r="G105" s="17" t="str">
        <f aca="false">IF($B105="","",F105*Settings!$C$5)</f>
        <v/>
      </c>
      <c r="H105" s="19" t="str">
        <f aca="false">IF($B105="","",E105-G105)</f>
        <v/>
      </c>
      <c r="I105" s="1"/>
      <c r="J105" s="1"/>
      <c r="K105" s="1"/>
    </row>
    <row r="106" customFormat="false" ht="21.75" hidden="false" customHeight="true" outlineLevel="0" collapsed="false">
      <c r="A106" s="1"/>
      <c r="B106" s="15"/>
      <c r="C106" s="16"/>
      <c r="D106" s="15"/>
      <c r="E106" s="17" t="str">
        <f aca="false">IF($B106="","",SUMIFS(Payments!$E$5:$E$1004,Payments!$C$5:$C$1004,$B106,Payments!$G$5:$G$1004,"Yes"))</f>
        <v/>
      </c>
      <c r="F106" s="18" t="str">
        <f aca="false">IF($B106="","",COUNTIF(Entries!$D$5:$D$2004,$B106))</f>
        <v/>
      </c>
      <c r="G106" s="17" t="str">
        <f aca="false">IF($B106="","",F106*Settings!$C$5)</f>
        <v/>
      </c>
      <c r="H106" s="19" t="str">
        <f aca="false">IF($B106="","",E106-G106)</f>
        <v/>
      </c>
      <c r="I106" s="1"/>
      <c r="J106" s="1"/>
      <c r="K106" s="1"/>
    </row>
    <row r="107" customFormat="false" ht="21.75" hidden="false" customHeight="true" outlineLevel="0" collapsed="false">
      <c r="A107" s="1"/>
      <c r="B107" s="15"/>
      <c r="C107" s="16"/>
      <c r="D107" s="15"/>
      <c r="E107" s="17" t="str">
        <f aca="false">IF($B107="","",SUMIFS(Payments!$E$5:$E$1004,Payments!$C$5:$C$1004,$B107,Payments!$G$5:$G$1004,"Yes"))</f>
        <v/>
      </c>
      <c r="F107" s="18" t="str">
        <f aca="false">IF($B107="","",COUNTIF(Entries!$D$5:$D$2004,$B107))</f>
        <v/>
      </c>
      <c r="G107" s="17" t="str">
        <f aca="false">IF($B107="","",F107*Settings!$C$5)</f>
        <v/>
      </c>
      <c r="H107" s="19" t="str">
        <f aca="false">IF($B107="","",E107-G107)</f>
        <v/>
      </c>
      <c r="I107" s="1"/>
      <c r="J107" s="1"/>
      <c r="K107" s="1"/>
    </row>
    <row r="108" customFormat="false" ht="21.75" hidden="false" customHeight="true" outlineLevel="0" collapsed="false">
      <c r="A108" s="1"/>
      <c r="B108" s="15"/>
      <c r="C108" s="16"/>
      <c r="D108" s="15"/>
      <c r="E108" s="17" t="str">
        <f aca="false">IF($B108="","",SUMIFS(Payments!$E$5:$E$1004,Payments!$C$5:$C$1004,$B108,Payments!$G$5:$G$1004,"Yes"))</f>
        <v/>
      </c>
      <c r="F108" s="18" t="str">
        <f aca="false">IF($B108="","",COUNTIF(Entries!$D$5:$D$2004,$B108))</f>
        <v/>
      </c>
      <c r="G108" s="17" t="str">
        <f aca="false">IF($B108="","",F108*Settings!$C$5)</f>
        <v/>
      </c>
      <c r="H108" s="19" t="str">
        <f aca="false">IF($B108="","",E108-G108)</f>
        <v/>
      </c>
      <c r="I108" s="1"/>
      <c r="J108" s="1"/>
      <c r="K108" s="1"/>
    </row>
    <row r="109" customFormat="false" ht="21.75" hidden="false" customHeight="true" outlineLevel="0" collapsed="false">
      <c r="A109" s="1"/>
      <c r="B109" s="15"/>
      <c r="C109" s="16"/>
      <c r="D109" s="15"/>
      <c r="E109" s="17" t="str">
        <f aca="false">IF($B109="","",SUMIFS(Payments!$E$5:$E$1004,Payments!$C$5:$C$1004,$B109,Payments!$G$5:$G$1004,"Yes"))</f>
        <v/>
      </c>
      <c r="F109" s="18" t="str">
        <f aca="false">IF($B109="","",COUNTIF(Entries!$D$5:$D$2004,$B109))</f>
        <v/>
      </c>
      <c r="G109" s="17" t="str">
        <f aca="false">IF($B109="","",F109*Settings!$C$5)</f>
        <v/>
      </c>
      <c r="H109" s="19" t="str">
        <f aca="false">IF($B109="","",E109-G109)</f>
        <v/>
      </c>
      <c r="I109" s="1"/>
      <c r="J109" s="1"/>
      <c r="K109" s="1"/>
    </row>
    <row r="110" customFormat="false" ht="21.75" hidden="false" customHeight="true" outlineLevel="0" collapsed="false">
      <c r="A110" s="1"/>
      <c r="B110" s="15"/>
      <c r="C110" s="16"/>
      <c r="D110" s="15"/>
      <c r="E110" s="17" t="str">
        <f aca="false">IF($B110="","",SUMIFS(Payments!$E$5:$E$1004,Payments!$C$5:$C$1004,$B110,Payments!$G$5:$G$1004,"Yes"))</f>
        <v/>
      </c>
      <c r="F110" s="18" t="str">
        <f aca="false">IF($B110="","",COUNTIF(Entries!$D$5:$D$2004,$B110))</f>
        <v/>
      </c>
      <c r="G110" s="17" t="str">
        <f aca="false">IF($B110="","",F110*Settings!$C$5)</f>
        <v/>
      </c>
      <c r="H110" s="19" t="str">
        <f aca="false">IF($B110="","",E110-G110)</f>
        <v/>
      </c>
      <c r="I110" s="1"/>
      <c r="J110" s="1"/>
      <c r="K110" s="1"/>
    </row>
    <row r="111" customFormat="false" ht="21.75" hidden="false" customHeight="true" outlineLevel="0" collapsed="false">
      <c r="A111" s="1"/>
      <c r="B111" s="15"/>
      <c r="C111" s="16"/>
      <c r="D111" s="15"/>
      <c r="E111" s="17" t="str">
        <f aca="false">IF($B111="","",SUMIFS(Payments!$E$5:$E$1004,Payments!$C$5:$C$1004,$B111,Payments!$G$5:$G$1004,"Yes"))</f>
        <v/>
      </c>
      <c r="F111" s="18" t="str">
        <f aca="false">IF($B111="","",COUNTIF(Entries!$D$5:$D$2004,$B111))</f>
        <v/>
      </c>
      <c r="G111" s="17" t="str">
        <f aca="false">IF($B111="","",F111*Settings!$C$5)</f>
        <v/>
      </c>
      <c r="H111" s="19" t="str">
        <f aca="false">IF($B111="","",E111-G111)</f>
        <v/>
      </c>
      <c r="I111" s="1"/>
      <c r="J111" s="1"/>
      <c r="K111" s="1"/>
    </row>
    <row r="112" customFormat="false" ht="21.75" hidden="false" customHeight="true" outlineLevel="0" collapsed="false">
      <c r="A112" s="1"/>
      <c r="B112" s="15"/>
      <c r="C112" s="16"/>
      <c r="D112" s="15"/>
      <c r="E112" s="17" t="str">
        <f aca="false">IF($B112="","",SUMIFS(Payments!$E$5:$E$1004,Payments!$C$5:$C$1004,$B112,Payments!$G$5:$G$1004,"Yes"))</f>
        <v/>
      </c>
      <c r="F112" s="18" t="str">
        <f aca="false">IF($B112="","",COUNTIF(Entries!$D$5:$D$2004,$B112))</f>
        <v/>
      </c>
      <c r="G112" s="17" t="str">
        <f aca="false">IF($B112="","",F112*Settings!$C$5)</f>
        <v/>
      </c>
      <c r="H112" s="19" t="str">
        <f aca="false">IF($B112="","",E112-G112)</f>
        <v/>
      </c>
      <c r="I112" s="1"/>
      <c r="J112" s="1"/>
      <c r="K112" s="1"/>
    </row>
    <row r="113" customFormat="false" ht="21.75" hidden="false" customHeight="true" outlineLevel="0" collapsed="false">
      <c r="A113" s="1"/>
      <c r="B113" s="15"/>
      <c r="C113" s="16"/>
      <c r="D113" s="15"/>
      <c r="E113" s="17" t="str">
        <f aca="false">IF($B113="","",SUMIFS(Payments!$E$5:$E$1004,Payments!$C$5:$C$1004,$B113,Payments!$G$5:$G$1004,"Yes"))</f>
        <v/>
      </c>
      <c r="F113" s="18" t="str">
        <f aca="false">IF($B113="","",COUNTIF(Entries!$D$5:$D$2004,$B113))</f>
        <v/>
      </c>
      <c r="G113" s="17" t="str">
        <f aca="false">IF($B113="","",F113*Settings!$C$5)</f>
        <v/>
      </c>
      <c r="H113" s="19" t="str">
        <f aca="false">IF($B113="","",E113-G113)</f>
        <v/>
      </c>
      <c r="I113" s="1"/>
      <c r="J113" s="1"/>
      <c r="K113" s="1"/>
    </row>
    <row r="114" customFormat="false" ht="21.75" hidden="false" customHeight="true" outlineLevel="0" collapsed="false">
      <c r="A114" s="1"/>
      <c r="B114" s="15"/>
      <c r="C114" s="16"/>
      <c r="D114" s="15"/>
      <c r="E114" s="17" t="str">
        <f aca="false">IF($B114="","",SUMIFS(Payments!$E$5:$E$1004,Payments!$C$5:$C$1004,$B114,Payments!$G$5:$G$1004,"Yes"))</f>
        <v/>
      </c>
      <c r="F114" s="18" t="str">
        <f aca="false">IF($B114="","",COUNTIF(Entries!$D$5:$D$2004,$B114))</f>
        <v/>
      </c>
      <c r="G114" s="17" t="str">
        <f aca="false">IF($B114="","",F114*Settings!$C$5)</f>
        <v/>
      </c>
      <c r="H114" s="19" t="str">
        <f aca="false">IF($B114="","",E114-G114)</f>
        <v/>
      </c>
      <c r="I114" s="1"/>
      <c r="J114" s="1"/>
      <c r="K114" s="1"/>
    </row>
    <row r="115" customFormat="false" ht="21.75" hidden="false" customHeight="true" outlineLevel="0" collapsed="false">
      <c r="A115" s="1"/>
      <c r="B115" s="15"/>
      <c r="C115" s="16"/>
      <c r="D115" s="15"/>
      <c r="E115" s="17" t="str">
        <f aca="false">IF($B115="","",SUMIFS(Payments!$E$5:$E$1004,Payments!$C$5:$C$1004,$B115,Payments!$G$5:$G$1004,"Yes"))</f>
        <v/>
      </c>
      <c r="F115" s="18" t="str">
        <f aca="false">IF($B115="","",COUNTIF(Entries!$D$5:$D$2004,$B115))</f>
        <v/>
      </c>
      <c r="G115" s="17" t="str">
        <f aca="false">IF($B115="","",F115*Settings!$C$5)</f>
        <v/>
      </c>
      <c r="H115" s="19" t="str">
        <f aca="false">IF($B115="","",E115-G115)</f>
        <v/>
      </c>
      <c r="I115" s="1"/>
      <c r="J115" s="1"/>
      <c r="K115" s="1"/>
    </row>
    <row r="116" customFormat="false" ht="21.75" hidden="false" customHeight="true" outlineLevel="0" collapsed="false">
      <c r="A116" s="1"/>
      <c r="B116" s="15"/>
      <c r="C116" s="16"/>
      <c r="D116" s="15"/>
      <c r="E116" s="17" t="str">
        <f aca="false">IF($B116="","",SUMIFS(Payments!$E$5:$E$1004,Payments!$C$5:$C$1004,$B116,Payments!$G$5:$G$1004,"Yes"))</f>
        <v/>
      </c>
      <c r="F116" s="18" t="str">
        <f aca="false">IF($B116="","",COUNTIF(Entries!$D$5:$D$2004,$B116))</f>
        <v/>
      </c>
      <c r="G116" s="17" t="str">
        <f aca="false">IF($B116="","",F116*Settings!$C$5)</f>
        <v/>
      </c>
      <c r="H116" s="19" t="str">
        <f aca="false">IF($B116="","",E116-G116)</f>
        <v/>
      </c>
      <c r="I116" s="1"/>
      <c r="J116" s="1"/>
      <c r="K116" s="1"/>
    </row>
    <row r="117" customFormat="false" ht="21.75" hidden="false" customHeight="true" outlineLevel="0" collapsed="false">
      <c r="A117" s="1"/>
      <c r="B117" s="15"/>
      <c r="C117" s="16"/>
      <c r="D117" s="15"/>
      <c r="E117" s="17" t="str">
        <f aca="false">IF($B117="","",SUMIFS(Payments!$E$5:$E$1004,Payments!$C$5:$C$1004,$B117,Payments!$G$5:$G$1004,"Yes"))</f>
        <v/>
      </c>
      <c r="F117" s="18" t="str">
        <f aca="false">IF($B117="","",COUNTIF(Entries!$D$5:$D$2004,$B117))</f>
        <v/>
      </c>
      <c r="G117" s="17" t="str">
        <f aca="false">IF($B117="","",F117*Settings!$C$5)</f>
        <v/>
      </c>
      <c r="H117" s="19" t="str">
        <f aca="false">IF($B117="","",E117-G117)</f>
        <v/>
      </c>
      <c r="I117" s="1"/>
      <c r="J117" s="1"/>
      <c r="K117" s="1"/>
    </row>
    <row r="118" customFormat="false" ht="21.75" hidden="false" customHeight="true" outlineLevel="0" collapsed="false">
      <c r="A118" s="1"/>
      <c r="B118" s="15"/>
      <c r="C118" s="16"/>
      <c r="D118" s="15"/>
      <c r="E118" s="17" t="str">
        <f aca="false">IF($B118="","",SUMIFS(Payments!$E$5:$E$1004,Payments!$C$5:$C$1004,$B118,Payments!$G$5:$G$1004,"Yes"))</f>
        <v/>
      </c>
      <c r="F118" s="18" t="str">
        <f aca="false">IF($B118="","",COUNTIF(Entries!$D$5:$D$2004,$B118))</f>
        <v/>
      </c>
      <c r="G118" s="17" t="str">
        <f aca="false">IF($B118="","",F118*Settings!$C$5)</f>
        <v/>
      </c>
      <c r="H118" s="19" t="str">
        <f aca="false">IF($B118="","",E118-G118)</f>
        <v/>
      </c>
      <c r="I118" s="1"/>
      <c r="J118" s="1"/>
      <c r="K118" s="1"/>
    </row>
    <row r="119" customFormat="false" ht="21.75" hidden="false" customHeight="true" outlineLevel="0" collapsed="false">
      <c r="A119" s="1"/>
      <c r="B119" s="15"/>
      <c r="C119" s="16"/>
      <c r="D119" s="15"/>
      <c r="E119" s="17" t="str">
        <f aca="false">IF($B119="","",SUMIFS(Payments!$E$5:$E$1004,Payments!$C$5:$C$1004,$B119,Payments!$G$5:$G$1004,"Yes"))</f>
        <v/>
      </c>
      <c r="F119" s="18" t="str">
        <f aca="false">IF($B119="","",COUNTIF(Entries!$D$5:$D$2004,$B119))</f>
        <v/>
      </c>
      <c r="G119" s="17" t="str">
        <f aca="false">IF($B119="","",F119*Settings!$C$5)</f>
        <v/>
      </c>
      <c r="H119" s="19" t="str">
        <f aca="false">IF($B119="","",E119-G119)</f>
        <v/>
      </c>
      <c r="I119" s="1"/>
      <c r="J119" s="1"/>
      <c r="K119" s="1"/>
    </row>
    <row r="120" customFormat="false" ht="21.75" hidden="false" customHeight="true" outlineLevel="0" collapsed="false">
      <c r="A120" s="1"/>
      <c r="B120" s="15"/>
      <c r="C120" s="16"/>
      <c r="D120" s="15"/>
      <c r="E120" s="17" t="str">
        <f aca="false">IF($B120="","",SUMIFS(Payments!$E$5:$E$1004,Payments!$C$5:$C$1004,$B120,Payments!$G$5:$G$1004,"Yes"))</f>
        <v/>
      </c>
      <c r="F120" s="18" t="str">
        <f aca="false">IF($B120="","",COUNTIF(Entries!$D$5:$D$2004,$B120))</f>
        <v/>
      </c>
      <c r="G120" s="17" t="str">
        <f aca="false">IF($B120="","",F120*Settings!$C$5)</f>
        <v/>
      </c>
      <c r="H120" s="19" t="str">
        <f aca="false">IF($B120="","",E120-G120)</f>
        <v/>
      </c>
      <c r="I120" s="1"/>
      <c r="J120" s="1"/>
      <c r="K120" s="1"/>
    </row>
    <row r="121" customFormat="false" ht="21.75" hidden="false" customHeight="true" outlineLevel="0" collapsed="false">
      <c r="A121" s="1"/>
      <c r="B121" s="15"/>
      <c r="C121" s="16"/>
      <c r="D121" s="15"/>
      <c r="E121" s="17" t="str">
        <f aca="false">IF($B121="","",SUMIFS(Payments!$E$5:$E$1004,Payments!$C$5:$C$1004,$B121,Payments!$G$5:$G$1004,"Yes"))</f>
        <v/>
      </c>
      <c r="F121" s="18" t="str">
        <f aca="false">IF($B121="","",COUNTIF(Entries!$D$5:$D$2004,$B121))</f>
        <v/>
      </c>
      <c r="G121" s="17" t="str">
        <f aca="false">IF($B121="","",F121*Settings!$C$5)</f>
        <v/>
      </c>
      <c r="H121" s="19" t="str">
        <f aca="false">IF($B121="","",E121-G121)</f>
        <v/>
      </c>
      <c r="I121" s="1"/>
      <c r="J121" s="1"/>
      <c r="K121" s="1"/>
    </row>
    <row r="122" customFormat="false" ht="21.75" hidden="false" customHeight="true" outlineLevel="0" collapsed="false">
      <c r="A122" s="1"/>
      <c r="B122" s="15"/>
      <c r="C122" s="16"/>
      <c r="D122" s="15"/>
      <c r="E122" s="17" t="str">
        <f aca="false">IF($B122="","",SUMIFS(Payments!$E$5:$E$1004,Payments!$C$5:$C$1004,$B122,Payments!$G$5:$G$1004,"Yes"))</f>
        <v/>
      </c>
      <c r="F122" s="18" t="str">
        <f aca="false">IF($B122="","",COUNTIF(Entries!$D$5:$D$2004,$B122))</f>
        <v/>
      </c>
      <c r="G122" s="17" t="str">
        <f aca="false">IF($B122="","",F122*Settings!$C$5)</f>
        <v/>
      </c>
      <c r="H122" s="19" t="str">
        <f aca="false">IF($B122="","",E122-G122)</f>
        <v/>
      </c>
      <c r="I122" s="1"/>
      <c r="J122" s="1"/>
      <c r="K122" s="1"/>
    </row>
    <row r="123" customFormat="false" ht="21.75" hidden="false" customHeight="true" outlineLevel="0" collapsed="false">
      <c r="A123" s="1"/>
      <c r="B123" s="15"/>
      <c r="C123" s="16"/>
      <c r="D123" s="15"/>
      <c r="E123" s="17" t="str">
        <f aca="false">IF($B123="","",SUMIFS(Payments!$E$5:$E$1004,Payments!$C$5:$C$1004,$B123,Payments!$G$5:$G$1004,"Yes"))</f>
        <v/>
      </c>
      <c r="F123" s="18" t="str">
        <f aca="false">IF($B123="","",COUNTIF(Entries!$D$5:$D$2004,$B123))</f>
        <v/>
      </c>
      <c r="G123" s="17" t="str">
        <f aca="false">IF($B123="","",F123*Settings!$C$5)</f>
        <v/>
      </c>
      <c r="H123" s="19" t="str">
        <f aca="false">IF($B123="","",E123-G123)</f>
        <v/>
      </c>
      <c r="I123" s="1"/>
      <c r="J123" s="1"/>
      <c r="K123" s="1"/>
    </row>
    <row r="124" customFormat="false" ht="21.75" hidden="false" customHeight="true" outlineLevel="0" collapsed="false">
      <c r="A124" s="1"/>
      <c r="B124" s="15"/>
      <c r="C124" s="16"/>
      <c r="D124" s="15"/>
      <c r="E124" s="17" t="str">
        <f aca="false">IF($B124="","",SUMIFS(Payments!$E$5:$E$1004,Payments!$C$5:$C$1004,$B124,Payments!$G$5:$G$1004,"Yes"))</f>
        <v/>
      </c>
      <c r="F124" s="18" t="str">
        <f aca="false">IF($B124="","",COUNTIF(Entries!$D$5:$D$2004,$B124))</f>
        <v/>
      </c>
      <c r="G124" s="17" t="str">
        <f aca="false">IF($B124="","",F124*Settings!$C$5)</f>
        <v/>
      </c>
      <c r="H124" s="19" t="str">
        <f aca="false">IF($B124="","",E124-G124)</f>
        <v/>
      </c>
      <c r="I124" s="1"/>
      <c r="J124" s="1"/>
      <c r="K124" s="1"/>
    </row>
    <row r="125" customFormat="false" ht="21.75" hidden="false" customHeight="true" outlineLevel="0" collapsed="false">
      <c r="A125" s="1"/>
      <c r="B125" s="15"/>
      <c r="C125" s="16"/>
      <c r="D125" s="15"/>
      <c r="E125" s="17" t="str">
        <f aca="false">IF($B125="","",SUMIFS(Payments!$E$5:$E$1004,Payments!$C$5:$C$1004,$B125,Payments!$G$5:$G$1004,"Yes"))</f>
        <v/>
      </c>
      <c r="F125" s="18" t="str">
        <f aca="false">IF($B125="","",COUNTIF(Entries!$D$5:$D$2004,$B125))</f>
        <v/>
      </c>
      <c r="G125" s="17" t="str">
        <f aca="false">IF($B125="","",F125*Settings!$C$5)</f>
        <v/>
      </c>
      <c r="H125" s="19" t="str">
        <f aca="false">IF($B125="","",E125-G125)</f>
        <v/>
      </c>
      <c r="I125" s="1"/>
      <c r="J125" s="1"/>
      <c r="K125" s="1"/>
    </row>
    <row r="126" customFormat="false" ht="21.75" hidden="false" customHeight="true" outlineLevel="0" collapsed="false">
      <c r="A126" s="1"/>
      <c r="B126" s="15"/>
      <c r="C126" s="16"/>
      <c r="D126" s="15"/>
      <c r="E126" s="17" t="str">
        <f aca="false">IF($B126="","",SUMIFS(Payments!$E$5:$E$1004,Payments!$C$5:$C$1004,$B126,Payments!$G$5:$G$1004,"Yes"))</f>
        <v/>
      </c>
      <c r="F126" s="18" t="str">
        <f aca="false">IF($B126="","",COUNTIF(Entries!$D$5:$D$2004,$B126))</f>
        <v/>
      </c>
      <c r="G126" s="17" t="str">
        <f aca="false">IF($B126="","",F126*Settings!$C$5)</f>
        <v/>
      </c>
      <c r="H126" s="19" t="str">
        <f aca="false">IF($B126="","",E126-G126)</f>
        <v/>
      </c>
      <c r="I126" s="1"/>
      <c r="J126" s="1"/>
      <c r="K126" s="1"/>
    </row>
    <row r="127" customFormat="false" ht="21.75" hidden="false" customHeight="true" outlineLevel="0" collapsed="false">
      <c r="A127" s="1"/>
      <c r="B127" s="15"/>
      <c r="C127" s="16"/>
      <c r="D127" s="15"/>
      <c r="E127" s="17" t="str">
        <f aca="false">IF($B127="","",SUMIFS(Payments!$E$5:$E$1004,Payments!$C$5:$C$1004,$B127,Payments!$G$5:$G$1004,"Yes"))</f>
        <v/>
      </c>
      <c r="F127" s="18" t="str">
        <f aca="false">IF($B127="","",COUNTIF(Entries!$D$5:$D$2004,$B127))</f>
        <v/>
      </c>
      <c r="G127" s="17" t="str">
        <f aca="false">IF($B127="","",F127*Settings!$C$5)</f>
        <v/>
      </c>
      <c r="H127" s="19" t="str">
        <f aca="false">IF($B127="","",E127-G127)</f>
        <v/>
      </c>
      <c r="I127" s="1"/>
      <c r="J127" s="1"/>
      <c r="K127" s="1"/>
    </row>
    <row r="128" customFormat="false" ht="21.75" hidden="false" customHeight="true" outlineLevel="0" collapsed="false">
      <c r="A128" s="1"/>
      <c r="B128" s="15"/>
      <c r="C128" s="16"/>
      <c r="D128" s="15"/>
      <c r="E128" s="17" t="str">
        <f aca="false">IF($B128="","",SUMIFS(Payments!$E$5:$E$1004,Payments!$C$5:$C$1004,$B128,Payments!$G$5:$G$1004,"Yes"))</f>
        <v/>
      </c>
      <c r="F128" s="18" t="str">
        <f aca="false">IF($B128="","",COUNTIF(Entries!$D$5:$D$2004,$B128))</f>
        <v/>
      </c>
      <c r="G128" s="17" t="str">
        <f aca="false">IF($B128="","",F128*Settings!$C$5)</f>
        <v/>
      </c>
      <c r="H128" s="19" t="str">
        <f aca="false">IF($B128="","",E128-G128)</f>
        <v/>
      </c>
      <c r="I128" s="1"/>
      <c r="J128" s="1"/>
      <c r="K128" s="1"/>
    </row>
    <row r="129" customFormat="false" ht="21.75" hidden="false" customHeight="true" outlineLevel="0" collapsed="false">
      <c r="A129" s="1"/>
      <c r="B129" s="15"/>
      <c r="C129" s="16"/>
      <c r="D129" s="15"/>
      <c r="E129" s="17" t="str">
        <f aca="false">IF($B129="","",SUMIFS(Payments!$E$5:$E$1004,Payments!$C$5:$C$1004,$B129,Payments!$G$5:$G$1004,"Yes"))</f>
        <v/>
      </c>
      <c r="F129" s="18" t="str">
        <f aca="false">IF($B129="","",COUNTIF(Entries!$D$5:$D$2004,$B129))</f>
        <v/>
      </c>
      <c r="G129" s="17" t="str">
        <f aca="false">IF($B129="","",F129*Settings!$C$5)</f>
        <v/>
      </c>
      <c r="H129" s="19" t="str">
        <f aca="false">IF($B129="","",E129-G129)</f>
        <v/>
      </c>
      <c r="I129" s="1"/>
      <c r="J129" s="1"/>
      <c r="K129" s="1"/>
    </row>
    <row r="130" customFormat="false" ht="21.75" hidden="false" customHeight="true" outlineLevel="0" collapsed="false">
      <c r="A130" s="1"/>
      <c r="B130" s="15"/>
      <c r="C130" s="16"/>
      <c r="D130" s="15"/>
      <c r="E130" s="17" t="str">
        <f aca="false">IF($B130="","",SUMIFS(Payments!$E$5:$E$1004,Payments!$C$5:$C$1004,$B130,Payments!$G$5:$G$1004,"Yes"))</f>
        <v/>
      </c>
      <c r="F130" s="18" t="str">
        <f aca="false">IF($B130="","",COUNTIF(Entries!$D$5:$D$2004,$B130))</f>
        <v/>
      </c>
      <c r="G130" s="17" t="str">
        <f aca="false">IF($B130="","",F130*Settings!$C$5)</f>
        <v/>
      </c>
      <c r="H130" s="19" t="str">
        <f aca="false">IF($B130="","",E130-G130)</f>
        <v/>
      </c>
      <c r="I130" s="1"/>
      <c r="J130" s="1"/>
      <c r="K130" s="1"/>
    </row>
    <row r="131" customFormat="false" ht="21.75" hidden="false" customHeight="true" outlineLevel="0" collapsed="false">
      <c r="A131" s="1"/>
      <c r="B131" s="15"/>
      <c r="C131" s="16"/>
      <c r="D131" s="15"/>
      <c r="E131" s="17" t="str">
        <f aca="false">IF($B131="","",SUMIFS(Payments!$E$5:$E$1004,Payments!$C$5:$C$1004,$B131,Payments!$G$5:$G$1004,"Yes"))</f>
        <v/>
      </c>
      <c r="F131" s="18" t="str">
        <f aca="false">IF($B131="","",COUNTIF(Entries!$D$5:$D$2004,$B131))</f>
        <v/>
      </c>
      <c r="G131" s="17" t="str">
        <f aca="false">IF($B131="","",F131*Settings!$C$5)</f>
        <v/>
      </c>
      <c r="H131" s="19" t="str">
        <f aca="false">IF($B131="","",E131-G131)</f>
        <v/>
      </c>
      <c r="I131" s="1"/>
      <c r="J131" s="1"/>
      <c r="K131" s="1"/>
    </row>
    <row r="132" customFormat="false" ht="21.75" hidden="false" customHeight="true" outlineLevel="0" collapsed="false">
      <c r="A132" s="1"/>
      <c r="B132" s="15"/>
      <c r="C132" s="16"/>
      <c r="D132" s="15"/>
      <c r="E132" s="17" t="str">
        <f aca="false">IF($B132="","",SUMIFS(Payments!$E$5:$E$1004,Payments!$C$5:$C$1004,$B132,Payments!$G$5:$G$1004,"Yes"))</f>
        <v/>
      </c>
      <c r="F132" s="18" t="str">
        <f aca="false">IF($B132="","",COUNTIF(Entries!$D$5:$D$2004,$B132))</f>
        <v/>
      </c>
      <c r="G132" s="17" t="str">
        <f aca="false">IF($B132="","",F132*Settings!$C$5)</f>
        <v/>
      </c>
      <c r="H132" s="19" t="str">
        <f aca="false">IF($B132="","",E132-G132)</f>
        <v/>
      </c>
      <c r="I132" s="1"/>
      <c r="J132" s="1"/>
      <c r="K132" s="1"/>
    </row>
    <row r="133" customFormat="false" ht="21.75" hidden="false" customHeight="true" outlineLevel="0" collapsed="false">
      <c r="A133" s="1"/>
      <c r="B133" s="15"/>
      <c r="C133" s="16"/>
      <c r="D133" s="15"/>
      <c r="E133" s="17" t="str">
        <f aca="false">IF($B133="","",SUMIFS(Payments!$E$5:$E$1004,Payments!$C$5:$C$1004,$B133,Payments!$G$5:$G$1004,"Yes"))</f>
        <v/>
      </c>
      <c r="F133" s="18" t="str">
        <f aca="false">IF($B133="","",COUNTIF(Entries!$D$5:$D$2004,$B133))</f>
        <v/>
      </c>
      <c r="G133" s="17" t="str">
        <f aca="false">IF($B133="","",F133*Settings!$C$5)</f>
        <v/>
      </c>
      <c r="H133" s="19" t="str">
        <f aca="false">IF($B133="","",E133-G133)</f>
        <v/>
      </c>
      <c r="I133" s="1"/>
      <c r="J133" s="1"/>
      <c r="K133" s="1"/>
    </row>
    <row r="134" customFormat="false" ht="21.75" hidden="false" customHeight="true" outlineLevel="0" collapsed="false">
      <c r="A134" s="1"/>
      <c r="B134" s="15"/>
      <c r="C134" s="16"/>
      <c r="D134" s="15"/>
      <c r="E134" s="17" t="str">
        <f aca="false">IF($B134="","",SUMIFS(Payments!$E$5:$E$1004,Payments!$C$5:$C$1004,$B134,Payments!$G$5:$G$1004,"Yes"))</f>
        <v/>
      </c>
      <c r="F134" s="18" t="str">
        <f aca="false">IF($B134="","",COUNTIF(Entries!$D$5:$D$2004,$B134))</f>
        <v/>
      </c>
      <c r="G134" s="17" t="str">
        <f aca="false">IF($B134="","",F134*Settings!$C$5)</f>
        <v/>
      </c>
      <c r="H134" s="19" t="str">
        <f aca="false">IF($B134="","",E134-G134)</f>
        <v/>
      </c>
      <c r="I134" s="1"/>
      <c r="J134" s="1"/>
      <c r="K134" s="1"/>
    </row>
    <row r="135" customFormat="false" ht="21.75" hidden="false" customHeight="true" outlineLevel="0" collapsed="false">
      <c r="A135" s="1"/>
      <c r="B135" s="15"/>
      <c r="C135" s="16"/>
      <c r="D135" s="15"/>
      <c r="E135" s="17" t="str">
        <f aca="false">IF($B135="","",SUMIFS(Payments!$E$5:$E$1004,Payments!$C$5:$C$1004,$B135,Payments!$G$5:$G$1004,"Yes"))</f>
        <v/>
      </c>
      <c r="F135" s="18" t="str">
        <f aca="false">IF($B135="","",COUNTIF(Entries!$D$5:$D$2004,$B135))</f>
        <v/>
      </c>
      <c r="G135" s="17" t="str">
        <f aca="false">IF($B135="","",F135*Settings!$C$5)</f>
        <v/>
      </c>
      <c r="H135" s="19" t="str">
        <f aca="false">IF($B135="","",E135-G135)</f>
        <v/>
      </c>
      <c r="I135" s="1"/>
      <c r="J135" s="1"/>
      <c r="K135" s="1"/>
    </row>
    <row r="136" customFormat="false" ht="21.75" hidden="false" customHeight="true" outlineLevel="0" collapsed="false">
      <c r="A136" s="1"/>
      <c r="B136" s="15"/>
      <c r="C136" s="16"/>
      <c r="D136" s="15"/>
      <c r="E136" s="17" t="str">
        <f aca="false">IF($B136="","",SUMIFS(Payments!$E$5:$E$1004,Payments!$C$5:$C$1004,$B136,Payments!$G$5:$G$1004,"Yes"))</f>
        <v/>
      </c>
      <c r="F136" s="18" t="str">
        <f aca="false">IF($B136="","",COUNTIF(Entries!$D$5:$D$2004,$B136))</f>
        <v/>
      </c>
      <c r="G136" s="17" t="str">
        <f aca="false">IF($B136="","",F136*Settings!$C$5)</f>
        <v/>
      </c>
      <c r="H136" s="19" t="str">
        <f aca="false">IF($B136="","",E136-G136)</f>
        <v/>
      </c>
      <c r="I136" s="1"/>
      <c r="J136" s="1"/>
      <c r="K136" s="1"/>
    </row>
    <row r="137" customFormat="false" ht="21.75" hidden="false" customHeight="true" outlineLevel="0" collapsed="false">
      <c r="A137" s="1"/>
      <c r="B137" s="15"/>
      <c r="C137" s="16"/>
      <c r="D137" s="15"/>
      <c r="E137" s="17" t="str">
        <f aca="false">IF($B137="","",SUMIFS(Payments!$E$5:$E$1004,Payments!$C$5:$C$1004,$B137,Payments!$G$5:$G$1004,"Yes"))</f>
        <v/>
      </c>
      <c r="F137" s="18" t="str">
        <f aca="false">IF($B137="","",COUNTIF(Entries!$D$5:$D$2004,$B137))</f>
        <v/>
      </c>
      <c r="G137" s="17" t="str">
        <f aca="false">IF($B137="","",F137*Settings!$C$5)</f>
        <v/>
      </c>
      <c r="H137" s="19" t="str">
        <f aca="false">IF($B137="","",E137-G137)</f>
        <v/>
      </c>
      <c r="I137" s="1"/>
      <c r="J137" s="1"/>
      <c r="K137" s="1"/>
    </row>
    <row r="138" customFormat="false" ht="21.75" hidden="false" customHeight="true" outlineLevel="0" collapsed="false">
      <c r="A138" s="1"/>
      <c r="B138" s="15"/>
      <c r="C138" s="16"/>
      <c r="D138" s="15"/>
      <c r="E138" s="17" t="str">
        <f aca="false">IF($B138="","",SUMIFS(Payments!$E$5:$E$1004,Payments!$C$5:$C$1004,$B138,Payments!$G$5:$G$1004,"Yes"))</f>
        <v/>
      </c>
      <c r="F138" s="18" t="str">
        <f aca="false">IF($B138="","",COUNTIF(Entries!$D$5:$D$2004,$B138))</f>
        <v/>
      </c>
      <c r="G138" s="17" t="str">
        <f aca="false">IF($B138="","",F138*Settings!$C$5)</f>
        <v/>
      </c>
      <c r="H138" s="19" t="str">
        <f aca="false">IF($B138="","",E138-G138)</f>
        <v/>
      </c>
      <c r="I138" s="1"/>
      <c r="J138" s="1"/>
      <c r="K138" s="1"/>
    </row>
    <row r="139" customFormat="false" ht="21.75" hidden="false" customHeight="true" outlineLevel="0" collapsed="false">
      <c r="A139" s="1"/>
      <c r="B139" s="15"/>
      <c r="C139" s="16"/>
      <c r="D139" s="15"/>
      <c r="E139" s="17" t="str">
        <f aca="false">IF($B139="","",SUMIFS(Payments!$E$5:$E$1004,Payments!$C$5:$C$1004,$B139,Payments!$G$5:$G$1004,"Yes"))</f>
        <v/>
      </c>
      <c r="F139" s="18" t="str">
        <f aca="false">IF($B139="","",COUNTIF(Entries!$D$5:$D$2004,$B139))</f>
        <v/>
      </c>
      <c r="G139" s="17" t="str">
        <f aca="false">IF($B139="","",F139*Settings!$C$5)</f>
        <v/>
      </c>
      <c r="H139" s="19" t="str">
        <f aca="false">IF($B139="","",E139-G139)</f>
        <v/>
      </c>
      <c r="I139" s="1"/>
      <c r="J139" s="1"/>
      <c r="K139" s="1"/>
    </row>
    <row r="140" customFormat="false" ht="21.75" hidden="false" customHeight="true" outlineLevel="0" collapsed="false">
      <c r="A140" s="1"/>
      <c r="B140" s="15"/>
      <c r="C140" s="16"/>
      <c r="D140" s="15"/>
      <c r="E140" s="17" t="str">
        <f aca="false">IF($B140="","",SUMIFS(Payments!$E$5:$E$1004,Payments!$C$5:$C$1004,$B140,Payments!$G$5:$G$1004,"Yes"))</f>
        <v/>
      </c>
      <c r="F140" s="18" t="str">
        <f aca="false">IF($B140="","",COUNTIF(Entries!$D$5:$D$2004,$B140))</f>
        <v/>
      </c>
      <c r="G140" s="17" t="str">
        <f aca="false">IF($B140="","",F140*Settings!$C$5)</f>
        <v/>
      </c>
      <c r="H140" s="19" t="str">
        <f aca="false">IF($B140="","",E140-G140)</f>
        <v/>
      </c>
      <c r="I140" s="1"/>
      <c r="J140" s="1"/>
      <c r="K140" s="1"/>
    </row>
    <row r="141" customFormat="false" ht="21.75" hidden="false" customHeight="true" outlineLevel="0" collapsed="false">
      <c r="A141" s="1"/>
      <c r="B141" s="15"/>
      <c r="C141" s="16"/>
      <c r="D141" s="15"/>
      <c r="E141" s="17" t="str">
        <f aca="false">IF($B141="","",SUMIFS(Payments!$E$5:$E$1004,Payments!$C$5:$C$1004,$B141,Payments!$G$5:$G$1004,"Yes"))</f>
        <v/>
      </c>
      <c r="F141" s="18" t="str">
        <f aca="false">IF($B141="","",COUNTIF(Entries!$D$5:$D$2004,$B141))</f>
        <v/>
      </c>
      <c r="G141" s="17" t="str">
        <f aca="false">IF($B141="","",F141*Settings!$C$5)</f>
        <v/>
      </c>
      <c r="H141" s="19" t="str">
        <f aca="false">IF($B141="","",E141-G141)</f>
        <v/>
      </c>
      <c r="I141" s="1"/>
      <c r="J141" s="1"/>
      <c r="K141" s="1"/>
    </row>
    <row r="142" customFormat="false" ht="21.75" hidden="false" customHeight="true" outlineLevel="0" collapsed="false">
      <c r="A142" s="1"/>
      <c r="B142" s="15"/>
      <c r="C142" s="16"/>
      <c r="D142" s="15"/>
      <c r="E142" s="17" t="str">
        <f aca="false">IF($B142="","",SUMIFS(Payments!$E$5:$E$1004,Payments!$C$5:$C$1004,$B142,Payments!$G$5:$G$1004,"Yes"))</f>
        <v/>
      </c>
      <c r="F142" s="18" t="str">
        <f aca="false">IF($B142="","",COUNTIF(Entries!$D$5:$D$2004,$B142))</f>
        <v/>
      </c>
      <c r="G142" s="17" t="str">
        <f aca="false">IF($B142="","",F142*Settings!$C$5)</f>
        <v/>
      </c>
      <c r="H142" s="19" t="str">
        <f aca="false">IF($B142="","",E142-G142)</f>
        <v/>
      </c>
      <c r="I142" s="1"/>
      <c r="J142" s="1"/>
      <c r="K142" s="1"/>
    </row>
    <row r="143" customFormat="false" ht="21.75" hidden="false" customHeight="true" outlineLevel="0" collapsed="false">
      <c r="A143" s="1"/>
      <c r="B143" s="15"/>
      <c r="C143" s="16"/>
      <c r="D143" s="15"/>
      <c r="E143" s="17" t="str">
        <f aca="false">IF($B143="","",SUMIFS(Payments!$E$5:$E$1004,Payments!$C$5:$C$1004,$B143,Payments!$G$5:$G$1004,"Yes"))</f>
        <v/>
      </c>
      <c r="F143" s="18" t="str">
        <f aca="false">IF($B143="","",COUNTIF(Entries!$D$5:$D$2004,$B143))</f>
        <v/>
      </c>
      <c r="G143" s="17" t="str">
        <f aca="false">IF($B143="","",F143*Settings!$C$5)</f>
        <v/>
      </c>
      <c r="H143" s="19" t="str">
        <f aca="false">IF($B143="","",E143-G143)</f>
        <v/>
      </c>
      <c r="I143" s="1"/>
      <c r="J143" s="1"/>
      <c r="K143" s="1"/>
    </row>
    <row r="144" customFormat="false" ht="21.75" hidden="false" customHeight="true" outlineLevel="0" collapsed="false">
      <c r="A144" s="1"/>
      <c r="B144" s="15"/>
      <c r="C144" s="16"/>
      <c r="D144" s="15"/>
      <c r="E144" s="17" t="str">
        <f aca="false">IF($B144="","",SUMIFS(Payments!$E$5:$E$1004,Payments!$C$5:$C$1004,$B144,Payments!$G$5:$G$1004,"Yes"))</f>
        <v/>
      </c>
      <c r="F144" s="18" t="str">
        <f aca="false">IF($B144="","",COUNTIF(Entries!$D$5:$D$2004,$B144))</f>
        <v/>
      </c>
      <c r="G144" s="17" t="str">
        <f aca="false">IF($B144="","",F144*Settings!$C$5)</f>
        <v/>
      </c>
      <c r="H144" s="19" t="str">
        <f aca="false">IF($B144="","",E144-G144)</f>
        <v/>
      </c>
      <c r="I144" s="1"/>
      <c r="J144" s="1"/>
      <c r="K144" s="1"/>
    </row>
    <row r="145" customFormat="false" ht="21.75" hidden="false" customHeight="true" outlineLevel="0" collapsed="false">
      <c r="A145" s="1"/>
      <c r="B145" s="15"/>
      <c r="C145" s="16"/>
      <c r="D145" s="15"/>
      <c r="E145" s="17" t="str">
        <f aca="false">IF($B145="","",SUMIFS(Payments!$E$5:$E$1004,Payments!$C$5:$C$1004,$B145,Payments!$G$5:$G$1004,"Yes"))</f>
        <v/>
      </c>
      <c r="F145" s="18" t="str">
        <f aca="false">IF($B145="","",COUNTIF(Entries!$D$5:$D$2004,$B145))</f>
        <v/>
      </c>
      <c r="G145" s="17" t="str">
        <f aca="false">IF($B145="","",F145*Settings!$C$5)</f>
        <v/>
      </c>
      <c r="H145" s="19" t="str">
        <f aca="false">IF($B145="","",E145-G145)</f>
        <v/>
      </c>
      <c r="I145" s="1"/>
      <c r="J145" s="1"/>
      <c r="K145" s="1"/>
    </row>
    <row r="146" customFormat="false" ht="21.75" hidden="false" customHeight="true" outlineLevel="0" collapsed="false">
      <c r="A146" s="1"/>
      <c r="B146" s="15"/>
      <c r="C146" s="16"/>
      <c r="D146" s="15"/>
      <c r="E146" s="17" t="str">
        <f aca="false">IF($B146="","",SUMIFS(Payments!$E$5:$E$1004,Payments!$C$5:$C$1004,$B146,Payments!$G$5:$G$1004,"Yes"))</f>
        <v/>
      </c>
      <c r="F146" s="18" t="str">
        <f aca="false">IF($B146="","",COUNTIF(Entries!$D$5:$D$2004,$B146))</f>
        <v/>
      </c>
      <c r="G146" s="17" t="str">
        <f aca="false">IF($B146="","",F146*Settings!$C$5)</f>
        <v/>
      </c>
      <c r="H146" s="19" t="str">
        <f aca="false">IF($B146="","",E146-G146)</f>
        <v/>
      </c>
      <c r="I146" s="1"/>
      <c r="J146" s="1"/>
      <c r="K146" s="1"/>
    </row>
    <row r="147" customFormat="false" ht="21.75" hidden="false" customHeight="true" outlineLevel="0" collapsed="false">
      <c r="A147" s="1"/>
      <c r="B147" s="15"/>
      <c r="C147" s="16"/>
      <c r="D147" s="15"/>
      <c r="E147" s="17" t="str">
        <f aca="false">IF($B147="","",SUMIFS(Payments!$E$5:$E$1004,Payments!$C$5:$C$1004,$B147,Payments!$G$5:$G$1004,"Yes"))</f>
        <v/>
      </c>
      <c r="F147" s="18" t="str">
        <f aca="false">IF($B147="","",COUNTIF(Entries!$D$5:$D$2004,$B147))</f>
        <v/>
      </c>
      <c r="G147" s="17" t="str">
        <f aca="false">IF($B147="","",F147*Settings!$C$5)</f>
        <v/>
      </c>
      <c r="H147" s="19" t="str">
        <f aca="false">IF($B147="","",E147-G147)</f>
        <v/>
      </c>
      <c r="I147" s="1"/>
      <c r="J147" s="1"/>
      <c r="K147" s="1"/>
    </row>
    <row r="148" customFormat="false" ht="21.75" hidden="false" customHeight="true" outlineLevel="0" collapsed="false">
      <c r="A148" s="1"/>
      <c r="B148" s="15"/>
      <c r="C148" s="16"/>
      <c r="D148" s="15"/>
      <c r="E148" s="17" t="str">
        <f aca="false">IF($B148="","",SUMIFS(Payments!$E$5:$E$1004,Payments!$C$5:$C$1004,$B148,Payments!$G$5:$G$1004,"Yes"))</f>
        <v/>
      </c>
      <c r="F148" s="18" t="str">
        <f aca="false">IF($B148="","",COUNTIF(Entries!$D$5:$D$2004,$B148))</f>
        <v/>
      </c>
      <c r="G148" s="17" t="str">
        <f aca="false">IF($B148="","",F148*Settings!$C$5)</f>
        <v/>
      </c>
      <c r="H148" s="19" t="str">
        <f aca="false">IF($B148="","",E148-G148)</f>
        <v/>
      </c>
      <c r="I148" s="1"/>
      <c r="J148" s="1"/>
      <c r="K148" s="1"/>
    </row>
    <row r="149" customFormat="false" ht="21.75" hidden="false" customHeight="true" outlineLevel="0" collapsed="false">
      <c r="A149" s="1"/>
      <c r="B149" s="15"/>
      <c r="C149" s="16"/>
      <c r="D149" s="15"/>
      <c r="E149" s="17" t="str">
        <f aca="false">IF($B149="","",SUMIFS(Payments!$E$5:$E$1004,Payments!$C$5:$C$1004,$B149,Payments!$G$5:$G$1004,"Yes"))</f>
        <v/>
      </c>
      <c r="F149" s="18" t="str">
        <f aca="false">IF($B149="","",COUNTIF(Entries!$D$5:$D$2004,$B149))</f>
        <v/>
      </c>
      <c r="G149" s="17" t="str">
        <f aca="false">IF($B149="","",F149*Settings!$C$5)</f>
        <v/>
      </c>
      <c r="H149" s="19" t="str">
        <f aca="false">IF($B149="","",E149-G149)</f>
        <v/>
      </c>
      <c r="I149" s="1"/>
      <c r="J149" s="1"/>
      <c r="K149" s="1"/>
    </row>
    <row r="150" customFormat="false" ht="21.75" hidden="false" customHeight="true" outlineLevel="0" collapsed="false">
      <c r="A150" s="1"/>
      <c r="B150" s="15"/>
      <c r="C150" s="16"/>
      <c r="D150" s="15"/>
      <c r="E150" s="17" t="str">
        <f aca="false">IF($B150="","",SUMIFS(Payments!$E$5:$E$1004,Payments!$C$5:$C$1004,$B150,Payments!$G$5:$G$1004,"Yes"))</f>
        <v/>
      </c>
      <c r="F150" s="18" t="str">
        <f aca="false">IF($B150="","",COUNTIF(Entries!$D$5:$D$2004,$B150))</f>
        <v/>
      </c>
      <c r="G150" s="17" t="str">
        <f aca="false">IF($B150="","",F150*Settings!$C$5)</f>
        <v/>
      </c>
      <c r="H150" s="19" t="str">
        <f aca="false">IF($B150="","",E150-G150)</f>
        <v/>
      </c>
      <c r="I150" s="1"/>
      <c r="J150" s="1"/>
      <c r="K150" s="1"/>
    </row>
    <row r="151" customFormat="false" ht="21.75" hidden="false" customHeight="true" outlineLevel="0" collapsed="false">
      <c r="A151" s="1"/>
      <c r="B151" s="15"/>
      <c r="C151" s="16"/>
      <c r="D151" s="15"/>
      <c r="E151" s="17" t="str">
        <f aca="false">IF($B151="","",SUMIFS(Payments!$E$5:$E$1004,Payments!$C$5:$C$1004,$B151,Payments!$G$5:$G$1004,"Yes"))</f>
        <v/>
      </c>
      <c r="F151" s="18" t="str">
        <f aca="false">IF($B151="","",COUNTIF(Entries!$D$5:$D$2004,$B151))</f>
        <v/>
      </c>
      <c r="G151" s="17" t="str">
        <f aca="false">IF($B151="","",F151*Settings!$C$5)</f>
        <v/>
      </c>
      <c r="H151" s="19" t="str">
        <f aca="false">IF($B151="","",E151-G151)</f>
        <v/>
      </c>
      <c r="I151" s="1"/>
      <c r="J151" s="1"/>
      <c r="K151" s="1"/>
    </row>
    <row r="152" customFormat="false" ht="21.75" hidden="false" customHeight="true" outlineLevel="0" collapsed="false">
      <c r="A152" s="1"/>
      <c r="B152" s="15"/>
      <c r="C152" s="16"/>
      <c r="D152" s="15"/>
      <c r="E152" s="17" t="str">
        <f aca="false">IF($B152="","",SUMIFS(Payments!$E$5:$E$1004,Payments!$C$5:$C$1004,$B152,Payments!$G$5:$G$1004,"Yes"))</f>
        <v/>
      </c>
      <c r="F152" s="18" t="str">
        <f aca="false">IF($B152="","",COUNTIF(Entries!$D$5:$D$2004,$B152))</f>
        <v/>
      </c>
      <c r="G152" s="17" t="str">
        <f aca="false">IF($B152="","",F152*Settings!$C$5)</f>
        <v/>
      </c>
      <c r="H152" s="19" t="str">
        <f aca="false">IF($B152="","",E152-G152)</f>
        <v/>
      </c>
      <c r="I152" s="1"/>
      <c r="J152" s="1"/>
      <c r="K152" s="1"/>
    </row>
    <row r="153" customFormat="false" ht="21.75" hidden="false" customHeight="true" outlineLevel="0" collapsed="false">
      <c r="A153" s="1"/>
      <c r="B153" s="15"/>
      <c r="C153" s="16"/>
      <c r="D153" s="15"/>
      <c r="E153" s="17" t="str">
        <f aca="false">IF($B153="","",SUMIFS(Payments!$E$5:$E$1004,Payments!$C$5:$C$1004,$B153,Payments!$G$5:$G$1004,"Yes"))</f>
        <v/>
      </c>
      <c r="F153" s="18" t="str">
        <f aca="false">IF($B153="","",COUNTIF(Entries!$D$5:$D$2004,$B153))</f>
        <v/>
      </c>
      <c r="G153" s="17" t="str">
        <f aca="false">IF($B153="","",F153*Settings!$C$5)</f>
        <v/>
      </c>
      <c r="H153" s="19" t="str">
        <f aca="false">IF($B153="","",E153-G153)</f>
        <v/>
      </c>
      <c r="I153" s="1"/>
      <c r="J153" s="1"/>
      <c r="K153" s="1"/>
    </row>
    <row r="154" customFormat="false" ht="21.75" hidden="false" customHeight="true" outlineLevel="0" collapsed="false">
      <c r="A154" s="1"/>
      <c r="B154" s="15"/>
      <c r="C154" s="16"/>
      <c r="D154" s="15"/>
      <c r="E154" s="17" t="str">
        <f aca="false">IF($B154="","",SUMIFS(Payments!$E$5:$E$1004,Payments!$C$5:$C$1004,$B154,Payments!$G$5:$G$1004,"Yes"))</f>
        <v/>
      </c>
      <c r="F154" s="18" t="str">
        <f aca="false">IF($B154="","",COUNTIF(Entries!$D$5:$D$2004,$B154))</f>
        <v/>
      </c>
      <c r="G154" s="17" t="str">
        <f aca="false">IF($B154="","",F154*Settings!$C$5)</f>
        <v/>
      </c>
      <c r="H154" s="19" t="str">
        <f aca="false">IF($B154="","",E154-G154)</f>
        <v/>
      </c>
      <c r="I154" s="1"/>
      <c r="J154" s="1"/>
      <c r="K154" s="1"/>
    </row>
    <row r="155" customFormat="false" ht="21.75" hidden="false" customHeight="true" outlineLevel="0" collapsed="false">
      <c r="A155" s="1"/>
      <c r="B155" s="15"/>
      <c r="C155" s="16"/>
      <c r="D155" s="15"/>
      <c r="E155" s="17" t="str">
        <f aca="false">IF($B155="","",SUMIFS(Payments!$E$5:$E$1004,Payments!$C$5:$C$1004,$B155,Payments!$G$5:$G$1004,"Yes"))</f>
        <v/>
      </c>
      <c r="F155" s="18" t="str">
        <f aca="false">IF($B155="","",COUNTIF(Entries!$D$5:$D$2004,$B155))</f>
        <v/>
      </c>
      <c r="G155" s="17" t="str">
        <f aca="false">IF($B155="","",F155*Settings!$C$5)</f>
        <v/>
      </c>
      <c r="H155" s="19" t="str">
        <f aca="false">IF($B155="","",E155-G155)</f>
        <v/>
      </c>
      <c r="I155" s="1"/>
      <c r="J155" s="1"/>
      <c r="K155" s="1"/>
    </row>
    <row r="156" customFormat="false" ht="21.75" hidden="false" customHeight="true" outlineLevel="0" collapsed="false">
      <c r="A156" s="1"/>
      <c r="B156" s="15"/>
      <c r="C156" s="16"/>
      <c r="D156" s="15"/>
      <c r="E156" s="17" t="str">
        <f aca="false">IF($B156="","",SUMIFS(Payments!$E$5:$E$1004,Payments!$C$5:$C$1004,$B156,Payments!$G$5:$G$1004,"Yes"))</f>
        <v/>
      </c>
      <c r="F156" s="18" t="str">
        <f aca="false">IF($B156="","",COUNTIF(Entries!$D$5:$D$2004,$B156))</f>
        <v/>
      </c>
      <c r="G156" s="17" t="str">
        <f aca="false">IF($B156="","",F156*Settings!$C$5)</f>
        <v/>
      </c>
      <c r="H156" s="19" t="str">
        <f aca="false">IF($B156="","",E156-G156)</f>
        <v/>
      </c>
      <c r="I156" s="1"/>
      <c r="J156" s="1"/>
      <c r="K156" s="1"/>
    </row>
    <row r="157" customFormat="false" ht="21.75" hidden="false" customHeight="true" outlineLevel="0" collapsed="false">
      <c r="A157" s="1"/>
      <c r="B157" s="15"/>
      <c r="C157" s="16"/>
      <c r="D157" s="15"/>
      <c r="E157" s="17" t="str">
        <f aca="false">IF($B157="","",SUMIFS(Payments!$E$5:$E$1004,Payments!$C$5:$C$1004,$B157,Payments!$G$5:$G$1004,"Yes"))</f>
        <v/>
      </c>
      <c r="F157" s="18" t="str">
        <f aca="false">IF($B157="","",COUNTIF(Entries!$D$5:$D$2004,$B157))</f>
        <v/>
      </c>
      <c r="G157" s="17" t="str">
        <f aca="false">IF($B157="","",F157*Settings!$C$5)</f>
        <v/>
      </c>
      <c r="H157" s="19" t="str">
        <f aca="false">IF($B157="","",E157-G157)</f>
        <v/>
      </c>
      <c r="I157" s="1"/>
      <c r="J157" s="1"/>
      <c r="K157" s="1"/>
    </row>
    <row r="158" customFormat="false" ht="21.75" hidden="false" customHeight="true" outlineLevel="0" collapsed="false">
      <c r="A158" s="1"/>
      <c r="B158" s="15"/>
      <c r="C158" s="16"/>
      <c r="D158" s="15"/>
      <c r="E158" s="17" t="str">
        <f aca="false">IF($B158="","",SUMIFS(Payments!$E$5:$E$1004,Payments!$C$5:$C$1004,$B158,Payments!$G$5:$G$1004,"Yes"))</f>
        <v/>
      </c>
      <c r="F158" s="18" t="str">
        <f aca="false">IF($B158="","",COUNTIF(Entries!$D$5:$D$2004,$B158))</f>
        <v/>
      </c>
      <c r="G158" s="17" t="str">
        <f aca="false">IF($B158="","",F158*Settings!$C$5)</f>
        <v/>
      </c>
      <c r="H158" s="19" t="str">
        <f aca="false">IF($B158="","",E158-G158)</f>
        <v/>
      </c>
      <c r="I158" s="1"/>
      <c r="J158" s="1"/>
      <c r="K158" s="1"/>
    </row>
    <row r="159" customFormat="false" ht="21.75" hidden="false" customHeight="true" outlineLevel="0" collapsed="false">
      <c r="A159" s="1"/>
      <c r="B159" s="15"/>
      <c r="C159" s="16"/>
      <c r="D159" s="15"/>
      <c r="E159" s="17" t="str">
        <f aca="false">IF($B159="","",SUMIFS(Payments!$E$5:$E$1004,Payments!$C$5:$C$1004,$B159,Payments!$G$5:$G$1004,"Yes"))</f>
        <v/>
      </c>
      <c r="F159" s="18" t="str">
        <f aca="false">IF($B159="","",COUNTIF(Entries!$D$5:$D$2004,$B159))</f>
        <v/>
      </c>
      <c r="G159" s="17" t="str">
        <f aca="false">IF($B159="","",F159*Settings!$C$5)</f>
        <v/>
      </c>
      <c r="H159" s="19" t="str">
        <f aca="false">IF($B159="","",E159-G159)</f>
        <v/>
      </c>
      <c r="I159" s="1"/>
      <c r="J159" s="1"/>
      <c r="K159" s="1"/>
    </row>
    <row r="160" customFormat="false" ht="21.75" hidden="false" customHeight="true" outlineLevel="0" collapsed="false">
      <c r="A160" s="1"/>
      <c r="B160" s="15"/>
      <c r="C160" s="16"/>
      <c r="D160" s="15"/>
      <c r="E160" s="17" t="str">
        <f aca="false">IF($B160="","",SUMIFS(Payments!$E$5:$E$1004,Payments!$C$5:$C$1004,$B160,Payments!$G$5:$G$1004,"Yes"))</f>
        <v/>
      </c>
      <c r="F160" s="18" t="str">
        <f aca="false">IF($B160="","",COUNTIF(Entries!$D$5:$D$2004,$B160))</f>
        <v/>
      </c>
      <c r="G160" s="17" t="str">
        <f aca="false">IF($B160="","",F160*Settings!$C$5)</f>
        <v/>
      </c>
      <c r="H160" s="19" t="str">
        <f aca="false">IF($B160="","",E160-G160)</f>
        <v/>
      </c>
      <c r="I160" s="1"/>
      <c r="J160" s="1"/>
      <c r="K160" s="1"/>
    </row>
    <row r="161" customFormat="false" ht="21.75" hidden="false" customHeight="true" outlineLevel="0" collapsed="false">
      <c r="A161" s="1"/>
      <c r="B161" s="15"/>
      <c r="C161" s="16"/>
      <c r="D161" s="15"/>
      <c r="E161" s="17" t="str">
        <f aca="false">IF($B161="","",SUMIFS(Payments!$E$5:$E$1004,Payments!$C$5:$C$1004,$B161,Payments!$G$5:$G$1004,"Yes"))</f>
        <v/>
      </c>
      <c r="F161" s="18" t="str">
        <f aca="false">IF($B161="","",COUNTIF(Entries!$D$5:$D$2004,$B161))</f>
        <v/>
      </c>
      <c r="G161" s="17" t="str">
        <f aca="false">IF($B161="","",F161*Settings!$C$5)</f>
        <v/>
      </c>
      <c r="H161" s="19" t="str">
        <f aca="false">IF($B161="","",E161-G161)</f>
        <v/>
      </c>
      <c r="I161" s="1"/>
      <c r="J161" s="1"/>
      <c r="K161" s="1"/>
    </row>
    <row r="162" customFormat="false" ht="21.75" hidden="false" customHeight="true" outlineLevel="0" collapsed="false">
      <c r="A162" s="1"/>
      <c r="B162" s="15"/>
      <c r="C162" s="16"/>
      <c r="D162" s="15"/>
      <c r="E162" s="17" t="str">
        <f aca="false">IF($B162="","",SUMIFS(Payments!$E$5:$E$1004,Payments!$C$5:$C$1004,$B162,Payments!$G$5:$G$1004,"Yes"))</f>
        <v/>
      </c>
      <c r="F162" s="18" t="str">
        <f aca="false">IF($B162="","",COUNTIF(Entries!$D$5:$D$2004,$B162))</f>
        <v/>
      </c>
      <c r="G162" s="17" t="str">
        <f aca="false">IF($B162="","",F162*Settings!$C$5)</f>
        <v/>
      </c>
      <c r="H162" s="19" t="str">
        <f aca="false">IF($B162="","",E162-G162)</f>
        <v/>
      </c>
      <c r="I162" s="1"/>
      <c r="J162" s="1"/>
      <c r="K162" s="1"/>
    </row>
    <row r="163" customFormat="false" ht="21.75" hidden="false" customHeight="true" outlineLevel="0" collapsed="false">
      <c r="A163" s="1"/>
      <c r="B163" s="15"/>
      <c r="C163" s="16"/>
      <c r="D163" s="15"/>
      <c r="E163" s="17" t="str">
        <f aca="false">IF($B163="","",SUMIFS(Payments!$E$5:$E$1004,Payments!$C$5:$C$1004,$B163,Payments!$G$5:$G$1004,"Yes"))</f>
        <v/>
      </c>
      <c r="F163" s="18" t="str">
        <f aca="false">IF($B163="","",COUNTIF(Entries!$D$5:$D$2004,$B163))</f>
        <v/>
      </c>
      <c r="G163" s="17" t="str">
        <f aca="false">IF($B163="","",F163*Settings!$C$5)</f>
        <v/>
      </c>
      <c r="H163" s="19" t="str">
        <f aca="false">IF($B163="","",E163-G163)</f>
        <v/>
      </c>
      <c r="I163" s="1"/>
      <c r="J163" s="1"/>
      <c r="K163" s="1"/>
    </row>
    <row r="164" customFormat="false" ht="21.75" hidden="false" customHeight="true" outlineLevel="0" collapsed="false">
      <c r="A164" s="1"/>
      <c r="B164" s="15"/>
      <c r="C164" s="16"/>
      <c r="D164" s="15"/>
      <c r="E164" s="17" t="str">
        <f aca="false">IF($B164="","",SUMIFS(Payments!$E$5:$E$1004,Payments!$C$5:$C$1004,$B164,Payments!$G$5:$G$1004,"Yes"))</f>
        <v/>
      </c>
      <c r="F164" s="18" t="str">
        <f aca="false">IF($B164="","",COUNTIF(Entries!$D$5:$D$2004,$B164))</f>
        <v/>
      </c>
      <c r="G164" s="17" t="str">
        <f aca="false">IF($B164="","",F164*Settings!$C$5)</f>
        <v/>
      </c>
      <c r="H164" s="19" t="str">
        <f aca="false">IF($B164="","",E164-G164)</f>
        <v/>
      </c>
      <c r="I164" s="1"/>
      <c r="J164" s="1"/>
      <c r="K164" s="1"/>
    </row>
    <row r="165" customFormat="false" ht="21.75" hidden="false" customHeight="true" outlineLevel="0" collapsed="false">
      <c r="A165" s="1"/>
      <c r="B165" s="15"/>
      <c r="C165" s="16"/>
      <c r="D165" s="15"/>
      <c r="E165" s="17" t="str">
        <f aca="false">IF($B165="","",SUMIFS(Payments!$E$5:$E$1004,Payments!$C$5:$C$1004,$B165,Payments!$G$5:$G$1004,"Yes"))</f>
        <v/>
      </c>
      <c r="F165" s="18" t="str">
        <f aca="false">IF($B165="","",COUNTIF(Entries!$D$5:$D$2004,$B165))</f>
        <v/>
      </c>
      <c r="G165" s="17" t="str">
        <f aca="false">IF($B165="","",F165*Settings!$C$5)</f>
        <v/>
      </c>
      <c r="H165" s="19" t="str">
        <f aca="false">IF($B165="","",E165-G165)</f>
        <v/>
      </c>
      <c r="I165" s="1"/>
      <c r="J165" s="1"/>
      <c r="K165" s="1"/>
    </row>
    <row r="166" customFormat="false" ht="21.75" hidden="false" customHeight="true" outlineLevel="0" collapsed="false">
      <c r="A166" s="1"/>
      <c r="B166" s="15"/>
      <c r="C166" s="16"/>
      <c r="D166" s="15"/>
      <c r="E166" s="17" t="str">
        <f aca="false">IF($B166="","",SUMIFS(Payments!$E$5:$E$1004,Payments!$C$5:$C$1004,$B166,Payments!$G$5:$G$1004,"Yes"))</f>
        <v/>
      </c>
      <c r="F166" s="18" t="str">
        <f aca="false">IF($B166="","",COUNTIF(Entries!$D$5:$D$2004,$B166))</f>
        <v/>
      </c>
      <c r="G166" s="17" t="str">
        <f aca="false">IF($B166="","",F166*Settings!$C$5)</f>
        <v/>
      </c>
      <c r="H166" s="19" t="str">
        <f aca="false">IF($B166="","",E166-G166)</f>
        <v/>
      </c>
      <c r="I166" s="1"/>
      <c r="J166" s="1"/>
      <c r="K166" s="1"/>
    </row>
    <row r="167" customFormat="false" ht="21.75" hidden="false" customHeight="true" outlineLevel="0" collapsed="false">
      <c r="A167" s="1"/>
      <c r="B167" s="15"/>
      <c r="C167" s="16"/>
      <c r="D167" s="15"/>
      <c r="E167" s="17" t="str">
        <f aca="false">IF($B167="","",SUMIFS(Payments!$E$5:$E$1004,Payments!$C$5:$C$1004,$B167,Payments!$G$5:$G$1004,"Yes"))</f>
        <v/>
      </c>
      <c r="F167" s="18" t="str">
        <f aca="false">IF($B167="","",COUNTIF(Entries!$D$5:$D$2004,$B167))</f>
        <v/>
      </c>
      <c r="G167" s="17" t="str">
        <f aca="false">IF($B167="","",F167*Settings!$C$5)</f>
        <v/>
      </c>
      <c r="H167" s="19" t="str">
        <f aca="false">IF($B167="","",E167-G167)</f>
        <v/>
      </c>
      <c r="I167" s="1"/>
      <c r="J167" s="1"/>
      <c r="K167" s="1"/>
    </row>
    <row r="168" customFormat="false" ht="21.75" hidden="false" customHeight="true" outlineLevel="0" collapsed="false">
      <c r="A168" s="1"/>
      <c r="B168" s="15"/>
      <c r="C168" s="16"/>
      <c r="D168" s="15"/>
      <c r="E168" s="17" t="str">
        <f aca="false">IF($B168="","",SUMIFS(Payments!$E$5:$E$1004,Payments!$C$5:$C$1004,$B168,Payments!$G$5:$G$1004,"Yes"))</f>
        <v/>
      </c>
      <c r="F168" s="18" t="str">
        <f aca="false">IF($B168="","",COUNTIF(Entries!$D$5:$D$2004,$B168))</f>
        <v/>
      </c>
      <c r="G168" s="17" t="str">
        <f aca="false">IF($B168="","",F168*Settings!$C$5)</f>
        <v/>
      </c>
      <c r="H168" s="19" t="str">
        <f aca="false">IF($B168="","",E168-G168)</f>
        <v/>
      </c>
      <c r="I168" s="1"/>
      <c r="J168" s="1"/>
      <c r="K168" s="1"/>
    </row>
    <row r="169" customFormat="false" ht="21.75" hidden="false" customHeight="true" outlineLevel="0" collapsed="false">
      <c r="A169" s="1"/>
      <c r="B169" s="15"/>
      <c r="C169" s="16"/>
      <c r="D169" s="15"/>
      <c r="E169" s="17" t="str">
        <f aca="false">IF($B169="","",SUMIFS(Payments!$E$5:$E$1004,Payments!$C$5:$C$1004,$B169,Payments!$G$5:$G$1004,"Yes"))</f>
        <v/>
      </c>
      <c r="F169" s="18" t="str">
        <f aca="false">IF($B169="","",COUNTIF(Entries!$D$5:$D$2004,$B169))</f>
        <v/>
      </c>
      <c r="G169" s="17" t="str">
        <f aca="false">IF($B169="","",F169*Settings!$C$5)</f>
        <v/>
      </c>
      <c r="H169" s="19" t="str">
        <f aca="false">IF($B169="","",E169-G169)</f>
        <v/>
      </c>
      <c r="I169" s="1"/>
      <c r="J169" s="1"/>
      <c r="K169" s="1"/>
    </row>
    <row r="170" customFormat="false" ht="21.75" hidden="false" customHeight="true" outlineLevel="0" collapsed="false">
      <c r="A170" s="1"/>
      <c r="B170" s="15"/>
      <c r="C170" s="16"/>
      <c r="D170" s="15"/>
      <c r="E170" s="17" t="str">
        <f aca="false">IF($B170="","",SUMIFS(Payments!$E$5:$E$1004,Payments!$C$5:$C$1004,$B170,Payments!$G$5:$G$1004,"Yes"))</f>
        <v/>
      </c>
      <c r="F170" s="18" t="str">
        <f aca="false">IF($B170="","",COUNTIF(Entries!$D$5:$D$2004,$B170))</f>
        <v/>
      </c>
      <c r="G170" s="17" t="str">
        <f aca="false">IF($B170="","",F170*Settings!$C$5)</f>
        <v/>
      </c>
      <c r="H170" s="19" t="str">
        <f aca="false">IF($B170="","",E170-G170)</f>
        <v/>
      </c>
      <c r="I170" s="1"/>
      <c r="J170" s="1"/>
      <c r="K170" s="1"/>
    </row>
    <row r="171" customFormat="false" ht="21.75" hidden="false" customHeight="true" outlineLevel="0" collapsed="false">
      <c r="A171" s="1"/>
      <c r="B171" s="15"/>
      <c r="C171" s="16"/>
      <c r="D171" s="15"/>
      <c r="E171" s="17" t="str">
        <f aca="false">IF($B171="","",SUMIFS(Payments!$E$5:$E$1004,Payments!$C$5:$C$1004,$B171,Payments!$G$5:$G$1004,"Yes"))</f>
        <v/>
      </c>
      <c r="F171" s="18" t="str">
        <f aca="false">IF($B171="","",COUNTIF(Entries!$D$5:$D$2004,$B171))</f>
        <v/>
      </c>
      <c r="G171" s="17" t="str">
        <f aca="false">IF($B171="","",F171*Settings!$C$5)</f>
        <v/>
      </c>
      <c r="H171" s="19" t="str">
        <f aca="false">IF($B171="","",E171-G171)</f>
        <v/>
      </c>
      <c r="I171" s="1"/>
      <c r="J171" s="1"/>
      <c r="K171" s="1"/>
    </row>
    <row r="172" customFormat="false" ht="21.75" hidden="false" customHeight="true" outlineLevel="0" collapsed="false">
      <c r="A172" s="1"/>
      <c r="B172" s="15"/>
      <c r="C172" s="16"/>
      <c r="D172" s="15"/>
      <c r="E172" s="17" t="str">
        <f aca="false">IF($B172="","",SUMIFS(Payments!$E$5:$E$1004,Payments!$C$5:$C$1004,$B172,Payments!$G$5:$G$1004,"Yes"))</f>
        <v/>
      </c>
      <c r="F172" s="18" t="str">
        <f aca="false">IF($B172="","",COUNTIF(Entries!$D$5:$D$2004,$B172))</f>
        <v/>
      </c>
      <c r="G172" s="17" t="str">
        <f aca="false">IF($B172="","",F172*Settings!$C$5)</f>
        <v/>
      </c>
      <c r="H172" s="19" t="str">
        <f aca="false">IF($B172="","",E172-G172)</f>
        <v/>
      </c>
      <c r="I172" s="1"/>
      <c r="J172" s="1"/>
      <c r="K172" s="1"/>
    </row>
    <row r="173" customFormat="false" ht="21.75" hidden="false" customHeight="true" outlineLevel="0" collapsed="false">
      <c r="A173" s="1"/>
      <c r="B173" s="15"/>
      <c r="C173" s="16"/>
      <c r="D173" s="15"/>
      <c r="E173" s="17" t="str">
        <f aca="false">IF($B173="","",SUMIFS(Payments!$E$5:$E$1004,Payments!$C$5:$C$1004,$B173,Payments!$G$5:$G$1004,"Yes"))</f>
        <v/>
      </c>
      <c r="F173" s="18" t="str">
        <f aca="false">IF($B173="","",COUNTIF(Entries!$D$5:$D$2004,$B173))</f>
        <v/>
      </c>
      <c r="G173" s="17" t="str">
        <f aca="false">IF($B173="","",F173*Settings!$C$5)</f>
        <v/>
      </c>
      <c r="H173" s="19" t="str">
        <f aca="false">IF($B173="","",E173-G173)</f>
        <v/>
      </c>
      <c r="I173" s="1"/>
      <c r="J173" s="1"/>
      <c r="K173" s="1"/>
    </row>
    <row r="174" customFormat="false" ht="21.75" hidden="false" customHeight="true" outlineLevel="0" collapsed="false">
      <c r="A174" s="1"/>
      <c r="B174" s="15"/>
      <c r="C174" s="16"/>
      <c r="D174" s="15"/>
      <c r="E174" s="17" t="str">
        <f aca="false">IF($B174="","",SUMIFS(Payments!$E$5:$E$1004,Payments!$C$5:$C$1004,$B174,Payments!$G$5:$G$1004,"Yes"))</f>
        <v/>
      </c>
      <c r="F174" s="18" t="str">
        <f aca="false">IF($B174="","",COUNTIF(Entries!$D$5:$D$2004,$B174))</f>
        <v/>
      </c>
      <c r="G174" s="17" t="str">
        <f aca="false">IF($B174="","",F174*Settings!$C$5)</f>
        <v/>
      </c>
      <c r="H174" s="19" t="str">
        <f aca="false">IF($B174="","",E174-G174)</f>
        <v/>
      </c>
      <c r="I174" s="1"/>
      <c r="J174" s="1"/>
      <c r="K174" s="1"/>
    </row>
    <row r="175" customFormat="false" ht="21.75" hidden="false" customHeight="true" outlineLevel="0" collapsed="false">
      <c r="A175" s="1"/>
      <c r="B175" s="15"/>
      <c r="C175" s="16"/>
      <c r="D175" s="15"/>
      <c r="E175" s="17" t="str">
        <f aca="false">IF($B175="","",SUMIFS(Payments!$E$5:$E$1004,Payments!$C$5:$C$1004,$B175,Payments!$G$5:$G$1004,"Yes"))</f>
        <v/>
      </c>
      <c r="F175" s="18" t="str">
        <f aca="false">IF($B175="","",COUNTIF(Entries!$D$5:$D$2004,$B175))</f>
        <v/>
      </c>
      <c r="G175" s="17" t="str">
        <f aca="false">IF($B175="","",F175*Settings!$C$5)</f>
        <v/>
      </c>
      <c r="H175" s="19" t="str">
        <f aca="false">IF($B175="","",E175-G175)</f>
        <v/>
      </c>
      <c r="I175" s="1"/>
      <c r="J175" s="1"/>
      <c r="K175" s="1"/>
    </row>
    <row r="176" customFormat="false" ht="21.75" hidden="false" customHeight="true" outlineLevel="0" collapsed="false">
      <c r="A176" s="1"/>
      <c r="B176" s="15"/>
      <c r="C176" s="16"/>
      <c r="D176" s="15"/>
      <c r="E176" s="17" t="str">
        <f aca="false">IF($B176="","",SUMIFS(Payments!$E$5:$E$1004,Payments!$C$5:$C$1004,$B176,Payments!$G$5:$G$1004,"Yes"))</f>
        <v/>
      </c>
      <c r="F176" s="18" t="str">
        <f aca="false">IF($B176="","",COUNTIF(Entries!$D$5:$D$2004,$B176))</f>
        <v/>
      </c>
      <c r="G176" s="17" t="str">
        <f aca="false">IF($B176="","",F176*Settings!$C$5)</f>
        <v/>
      </c>
      <c r="H176" s="19" t="str">
        <f aca="false">IF($B176="","",E176-G176)</f>
        <v/>
      </c>
      <c r="I176" s="1"/>
      <c r="J176" s="1"/>
      <c r="K176" s="1"/>
    </row>
    <row r="177" customFormat="false" ht="21.75" hidden="false" customHeight="true" outlineLevel="0" collapsed="false">
      <c r="A177" s="1"/>
      <c r="B177" s="15"/>
      <c r="C177" s="16"/>
      <c r="D177" s="15"/>
      <c r="E177" s="17" t="str">
        <f aca="false">IF($B177="","",SUMIFS(Payments!$E$5:$E$1004,Payments!$C$5:$C$1004,$B177,Payments!$G$5:$G$1004,"Yes"))</f>
        <v/>
      </c>
      <c r="F177" s="18" t="str">
        <f aca="false">IF($B177="","",COUNTIF(Entries!$D$5:$D$2004,$B177))</f>
        <v/>
      </c>
      <c r="G177" s="17" t="str">
        <f aca="false">IF($B177="","",F177*Settings!$C$5)</f>
        <v/>
      </c>
      <c r="H177" s="19" t="str">
        <f aca="false">IF($B177="","",E177-G177)</f>
        <v/>
      </c>
      <c r="I177" s="1"/>
      <c r="J177" s="1"/>
      <c r="K177" s="1"/>
    </row>
    <row r="178" customFormat="false" ht="21.75" hidden="false" customHeight="true" outlineLevel="0" collapsed="false">
      <c r="A178" s="1"/>
      <c r="B178" s="15"/>
      <c r="C178" s="16"/>
      <c r="D178" s="15"/>
      <c r="E178" s="17" t="str">
        <f aca="false">IF($B178="","",SUMIFS(Payments!$E$5:$E$1004,Payments!$C$5:$C$1004,$B178,Payments!$G$5:$G$1004,"Yes"))</f>
        <v/>
      </c>
      <c r="F178" s="18" t="str">
        <f aca="false">IF($B178="","",COUNTIF(Entries!$D$5:$D$2004,$B178))</f>
        <v/>
      </c>
      <c r="G178" s="17" t="str">
        <f aca="false">IF($B178="","",F178*Settings!$C$5)</f>
        <v/>
      </c>
      <c r="H178" s="19" t="str">
        <f aca="false">IF($B178="","",E178-G178)</f>
        <v/>
      </c>
      <c r="I178" s="1"/>
      <c r="J178" s="1"/>
      <c r="K178" s="1"/>
    </row>
    <row r="179" customFormat="false" ht="21.75" hidden="false" customHeight="true" outlineLevel="0" collapsed="false">
      <c r="A179" s="1"/>
      <c r="B179" s="15"/>
      <c r="C179" s="16"/>
      <c r="D179" s="15"/>
      <c r="E179" s="17" t="str">
        <f aca="false">IF($B179="","",SUMIFS(Payments!$E$5:$E$1004,Payments!$C$5:$C$1004,$B179,Payments!$G$5:$G$1004,"Yes"))</f>
        <v/>
      </c>
      <c r="F179" s="18" t="str">
        <f aca="false">IF($B179="","",COUNTIF(Entries!$D$5:$D$2004,$B179))</f>
        <v/>
      </c>
      <c r="G179" s="17" t="str">
        <f aca="false">IF($B179="","",F179*Settings!$C$5)</f>
        <v/>
      </c>
      <c r="H179" s="19" t="str">
        <f aca="false">IF($B179="","",E179-G179)</f>
        <v/>
      </c>
      <c r="I179" s="1"/>
      <c r="J179" s="1"/>
      <c r="K179" s="1"/>
    </row>
    <row r="180" customFormat="false" ht="21.75" hidden="false" customHeight="true" outlineLevel="0" collapsed="false">
      <c r="A180" s="1"/>
      <c r="B180" s="15"/>
      <c r="C180" s="16"/>
      <c r="D180" s="15"/>
      <c r="E180" s="17" t="str">
        <f aca="false">IF($B180="","",SUMIFS(Payments!$E$5:$E$1004,Payments!$C$5:$C$1004,$B180,Payments!$G$5:$G$1004,"Yes"))</f>
        <v/>
      </c>
      <c r="F180" s="18" t="str">
        <f aca="false">IF($B180="","",COUNTIF(Entries!$D$5:$D$2004,$B180))</f>
        <v/>
      </c>
      <c r="G180" s="17" t="str">
        <f aca="false">IF($B180="","",F180*Settings!$C$5)</f>
        <v/>
      </c>
      <c r="H180" s="19" t="str">
        <f aca="false">IF($B180="","",E180-G180)</f>
        <v/>
      </c>
      <c r="I180" s="1"/>
      <c r="J180" s="1"/>
      <c r="K180" s="1"/>
    </row>
    <row r="181" customFormat="false" ht="21.75" hidden="false" customHeight="true" outlineLevel="0" collapsed="false">
      <c r="A181" s="1"/>
      <c r="B181" s="15"/>
      <c r="C181" s="16"/>
      <c r="D181" s="15"/>
      <c r="E181" s="17" t="str">
        <f aca="false">IF($B181="","",SUMIFS(Payments!$E$5:$E$1004,Payments!$C$5:$C$1004,$B181,Payments!$G$5:$G$1004,"Yes"))</f>
        <v/>
      </c>
      <c r="F181" s="18" t="str">
        <f aca="false">IF($B181="","",COUNTIF(Entries!$D$5:$D$2004,$B181))</f>
        <v/>
      </c>
      <c r="G181" s="17" t="str">
        <f aca="false">IF($B181="","",F181*Settings!$C$5)</f>
        <v/>
      </c>
      <c r="H181" s="19" t="str">
        <f aca="false">IF($B181="","",E181-G181)</f>
        <v/>
      </c>
      <c r="I181" s="1"/>
      <c r="J181" s="1"/>
      <c r="K181" s="1"/>
    </row>
    <row r="182" customFormat="false" ht="21.75" hidden="false" customHeight="true" outlineLevel="0" collapsed="false">
      <c r="A182" s="1"/>
      <c r="B182" s="15"/>
      <c r="C182" s="16"/>
      <c r="D182" s="15"/>
      <c r="E182" s="17" t="str">
        <f aca="false">IF($B182="","",SUMIFS(Payments!$E$5:$E$1004,Payments!$C$5:$C$1004,$B182,Payments!$G$5:$G$1004,"Yes"))</f>
        <v/>
      </c>
      <c r="F182" s="18" t="str">
        <f aca="false">IF($B182="","",COUNTIF(Entries!$D$5:$D$2004,$B182))</f>
        <v/>
      </c>
      <c r="G182" s="17" t="str">
        <f aca="false">IF($B182="","",F182*Settings!$C$5)</f>
        <v/>
      </c>
      <c r="H182" s="19" t="str">
        <f aca="false">IF($B182="","",E182-G182)</f>
        <v/>
      </c>
      <c r="I182" s="1"/>
      <c r="J182" s="1"/>
      <c r="K182" s="1"/>
    </row>
    <row r="183" customFormat="false" ht="21.75" hidden="false" customHeight="true" outlineLevel="0" collapsed="false">
      <c r="A183" s="1"/>
      <c r="B183" s="15"/>
      <c r="C183" s="16"/>
      <c r="D183" s="15"/>
      <c r="E183" s="17" t="str">
        <f aca="false">IF($B183="","",SUMIFS(Payments!$E$5:$E$1004,Payments!$C$5:$C$1004,$B183,Payments!$G$5:$G$1004,"Yes"))</f>
        <v/>
      </c>
      <c r="F183" s="18" t="str">
        <f aca="false">IF($B183="","",COUNTIF(Entries!$D$5:$D$2004,$B183))</f>
        <v/>
      </c>
      <c r="G183" s="17" t="str">
        <f aca="false">IF($B183="","",F183*Settings!$C$5)</f>
        <v/>
      </c>
      <c r="H183" s="19" t="str">
        <f aca="false">IF($B183="","",E183-G183)</f>
        <v/>
      </c>
      <c r="I183" s="1"/>
      <c r="J183" s="1"/>
      <c r="K183" s="1"/>
    </row>
    <row r="184" customFormat="false" ht="21.75" hidden="false" customHeight="true" outlineLevel="0" collapsed="false">
      <c r="A184" s="1"/>
      <c r="B184" s="15"/>
      <c r="C184" s="16"/>
      <c r="D184" s="15"/>
      <c r="E184" s="17" t="str">
        <f aca="false">IF($B184="","",SUMIFS(Payments!$E$5:$E$1004,Payments!$C$5:$C$1004,$B184,Payments!$G$5:$G$1004,"Yes"))</f>
        <v/>
      </c>
      <c r="F184" s="18" t="str">
        <f aca="false">IF($B184="","",COUNTIF(Entries!$D$5:$D$2004,$B184))</f>
        <v/>
      </c>
      <c r="G184" s="17" t="str">
        <f aca="false">IF($B184="","",F184*Settings!$C$5)</f>
        <v/>
      </c>
      <c r="H184" s="19" t="str">
        <f aca="false">IF($B184="","",E184-G184)</f>
        <v/>
      </c>
      <c r="I184" s="1"/>
      <c r="J184" s="1"/>
      <c r="K184" s="1"/>
    </row>
    <row r="185" customFormat="false" ht="21.75" hidden="false" customHeight="true" outlineLevel="0" collapsed="false">
      <c r="A185" s="1"/>
      <c r="B185" s="15"/>
      <c r="C185" s="16"/>
      <c r="D185" s="15"/>
      <c r="E185" s="17" t="str">
        <f aca="false">IF($B185="","",SUMIFS(Payments!$E$5:$E$1004,Payments!$C$5:$C$1004,$B185,Payments!$G$5:$G$1004,"Yes"))</f>
        <v/>
      </c>
      <c r="F185" s="18" t="str">
        <f aca="false">IF($B185="","",COUNTIF(Entries!$D$5:$D$2004,$B185))</f>
        <v/>
      </c>
      <c r="G185" s="17" t="str">
        <f aca="false">IF($B185="","",F185*Settings!$C$5)</f>
        <v/>
      </c>
      <c r="H185" s="19" t="str">
        <f aca="false">IF($B185="","",E185-G185)</f>
        <v/>
      </c>
      <c r="I185" s="1"/>
      <c r="J185" s="1"/>
      <c r="K185" s="1"/>
    </row>
    <row r="186" customFormat="false" ht="21.75" hidden="false" customHeight="true" outlineLevel="0" collapsed="false">
      <c r="A186" s="1"/>
      <c r="B186" s="15"/>
      <c r="C186" s="16"/>
      <c r="D186" s="15"/>
      <c r="E186" s="17" t="str">
        <f aca="false">IF($B186="","",SUMIFS(Payments!$E$5:$E$1004,Payments!$C$5:$C$1004,$B186,Payments!$G$5:$G$1004,"Yes"))</f>
        <v/>
      </c>
      <c r="F186" s="18" t="str">
        <f aca="false">IF($B186="","",COUNTIF(Entries!$D$5:$D$2004,$B186))</f>
        <v/>
      </c>
      <c r="G186" s="17" t="str">
        <f aca="false">IF($B186="","",F186*Settings!$C$5)</f>
        <v/>
      </c>
      <c r="H186" s="19" t="str">
        <f aca="false">IF($B186="","",E186-G186)</f>
        <v/>
      </c>
      <c r="I186" s="1"/>
      <c r="J186" s="1"/>
      <c r="K186" s="1"/>
    </row>
    <row r="187" customFormat="false" ht="21.75" hidden="false" customHeight="true" outlineLevel="0" collapsed="false">
      <c r="A187" s="1"/>
      <c r="B187" s="15"/>
      <c r="C187" s="16"/>
      <c r="D187" s="15"/>
      <c r="E187" s="17" t="str">
        <f aca="false">IF($B187="","",SUMIFS(Payments!$E$5:$E$1004,Payments!$C$5:$C$1004,$B187,Payments!$G$5:$G$1004,"Yes"))</f>
        <v/>
      </c>
      <c r="F187" s="18" t="str">
        <f aca="false">IF($B187="","",COUNTIF(Entries!$D$5:$D$2004,$B187))</f>
        <v/>
      </c>
      <c r="G187" s="17" t="str">
        <f aca="false">IF($B187="","",F187*Settings!$C$5)</f>
        <v/>
      </c>
      <c r="H187" s="19" t="str">
        <f aca="false">IF($B187="","",E187-G187)</f>
        <v/>
      </c>
      <c r="I187" s="1"/>
      <c r="J187" s="1"/>
      <c r="K187" s="1"/>
    </row>
    <row r="188" customFormat="false" ht="21.75" hidden="false" customHeight="true" outlineLevel="0" collapsed="false">
      <c r="A188" s="1"/>
      <c r="B188" s="15"/>
      <c r="C188" s="16"/>
      <c r="D188" s="15"/>
      <c r="E188" s="17" t="str">
        <f aca="false">IF($B188="","",SUMIFS(Payments!$E$5:$E$1004,Payments!$C$5:$C$1004,$B188,Payments!$G$5:$G$1004,"Yes"))</f>
        <v/>
      </c>
      <c r="F188" s="18" t="str">
        <f aca="false">IF($B188="","",COUNTIF(Entries!$D$5:$D$2004,$B188))</f>
        <v/>
      </c>
      <c r="G188" s="17" t="str">
        <f aca="false">IF($B188="","",F188*Settings!$C$5)</f>
        <v/>
      </c>
      <c r="H188" s="19" t="str">
        <f aca="false">IF($B188="","",E188-G188)</f>
        <v/>
      </c>
      <c r="I188" s="1"/>
      <c r="J188" s="1"/>
      <c r="K188" s="1"/>
    </row>
    <row r="189" customFormat="false" ht="21.75" hidden="false" customHeight="true" outlineLevel="0" collapsed="false">
      <c r="A189" s="1"/>
      <c r="B189" s="15"/>
      <c r="C189" s="16"/>
      <c r="D189" s="15"/>
      <c r="E189" s="17" t="str">
        <f aca="false">IF($B189="","",SUMIFS(Payments!$E$5:$E$1004,Payments!$C$5:$C$1004,$B189,Payments!$G$5:$G$1004,"Yes"))</f>
        <v/>
      </c>
      <c r="F189" s="18" t="str">
        <f aca="false">IF($B189="","",COUNTIF(Entries!$D$5:$D$2004,$B189))</f>
        <v/>
      </c>
      <c r="G189" s="17" t="str">
        <f aca="false">IF($B189="","",F189*Settings!$C$5)</f>
        <v/>
      </c>
      <c r="H189" s="19" t="str">
        <f aca="false">IF($B189="","",E189-G189)</f>
        <v/>
      </c>
      <c r="I189" s="1"/>
      <c r="J189" s="1"/>
      <c r="K189" s="1"/>
    </row>
    <row r="190" customFormat="false" ht="21.75" hidden="false" customHeight="true" outlineLevel="0" collapsed="false">
      <c r="A190" s="1"/>
      <c r="B190" s="15"/>
      <c r="C190" s="16"/>
      <c r="D190" s="15"/>
      <c r="E190" s="17" t="str">
        <f aca="false">IF($B190="","",SUMIFS(Payments!$E$5:$E$1004,Payments!$C$5:$C$1004,$B190,Payments!$G$5:$G$1004,"Yes"))</f>
        <v/>
      </c>
      <c r="F190" s="18" t="str">
        <f aca="false">IF($B190="","",COUNTIF(Entries!$D$5:$D$2004,$B190))</f>
        <v/>
      </c>
      <c r="G190" s="17" t="str">
        <f aca="false">IF($B190="","",F190*Settings!$C$5)</f>
        <v/>
      </c>
      <c r="H190" s="19" t="str">
        <f aca="false">IF($B190="","",E190-G190)</f>
        <v/>
      </c>
      <c r="I190" s="1"/>
      <c r="J190" s="1"/>
      <c r="K190" s="1"/>
    </row>
    <row r="191" customFormat="false" ht="21.75" hidden="false" customHeight="true" outlineLevel="0" collapsed="false">
      <c r="A191" s="1"/>
      <c r="B191" s="15"/>
      <c r="C191" s="16"/>
      <c r="D191" s="15"/>
      <c r="E191" s="17" t="str">
        <f aca="false">IF($B191="","",SUMIFS(Payments!$E$5:$E$1004,Payments!$C$5:$C$1004,$B191,Payments!$G$5:$G$1004,"Yes"))</f>
        <v/>
      </c>
      <c r="F191" s="18" t="str">
        <f aca="false">IF($B191="","",COUNTIF(Entries!$D$5:$D$2004,$B191))</f>
        <v/>
      </c>
      <c r="G191" s="17" t="str">
        <f aca="false">IF($B191="","",F191*Settings!$C$5)</f>
        <v/>
      </c>
      <c r="H191" s="19" t="str">
        <f aca="false">IF($B191="","",E191-G191)</f>
        <v/>
      </c>
      <c r="I191" s="1"/>
      <c r="J191" s="1"/>
      <c r="K191" s="1"/>
    </row>
    <row r="192" customFormat="false" ht="21.75" hidden="false" customHeight="true" outlineLevel="0" collapsed="false">
      <c r="A192" s="1"/>
      <c r="B192" s="15"/>
      <c r="C192" s="16"/>
      <c r="D192" s="15"/>
      <c r="E192" s="17" t="str">
        <f aca="false">IF($B192="","",SUMIFS(Payments!$E$5:$E$1004,Payments!$C$5:$C$1004,$B192,Payments!$G$5:$G$1004,"Yes"))</f>
        <v/>
      </c>
      <c r="F192" s="18" t="str">
        <f aca="false">IF($B192="","",COUNTIF(Entries!$D$5:$D$2004,$B192))</f>
        <v/>
      </c>
      <c r="G192" s="17" t="str">
        <f aca="false">IF($B192="","",F192*Settings!$C$5)</f>
        <v/>
      </c>
      <c r="H192" s="19" t="str">
        <f aca="false">IF($B192="","",E192-G192)</f>
        <v/>
      </c>
      <c r="I192" s="1"/>
      <c r="J192" s="1"/>
      <c r="K192" s="1"/>
    </row>
    <row r="193" customFormat="false" ht="21.75" hidden="false" customHeight="true" outlineLevel="0" collapsed="false">
      <c r="A193" s="1"/>
      <c r="B193" s="15"/>
      <c r="C193" s="16"/>
      <c r="D193" s="15"/>
      <c r="E193" s="17" t="str">
        <f aca="false">IF($B193="","",SUMIFS(Payments!$E$5:$E$1004,Payments!$C$5:$C$1004,$B193,Payments!$G$5:$G$1004,"Yes"))</f>
        <v/>
      </c>
      <c r="F193" s="18" t="str">
        <f aca="false">IF($B193="","",COUNTIF(Entries!$D$5:$D$2004,$B193))</f>
        <v/>
      </c>
      <c r="G193" s="17" t="str">
        <f aca="false">IF($B193="","",F193*Settings!$C$5)</f>
        <v/>
      </c>
      <c r="H193" s="19" t="str">
        <f aca="false">IF($B193="","",E193-G193)</f>
        <v/>
      </c>
      <c r="I193" s="1"/>
      <c r="J193" s="1"/>
      <c r="K193" s="1"/>
    </row>
    <row r="194" customFormat="false" ht="21.75" hidden="false" customHeight="true" outlineLevel="0" collapsed="false">
      <c r="A194" s="1"/>
      <c r="B194" s="15"/>
      <c r="C194" s="16"/>
      <c r="D194" s="15"/>
      <c r="E194" s="17" t="str">
        <f aca="false">IF($B194="","",SUMIFS(Payments!$E$5:$E$1004,Payments!$C$5:$C$1004,$B194,Payments!$G$5:$G$1004,"Yes"))</f>
        <v/>
      </c>
      <c r="F194" s="18" t="str">
        <f aca="false">IF($B194="","",COUNTIF(Entries!$D$5:$D$2004,$B194))</f>
        <v/>
      </c>
      <c r="G194" s="17" t="str">
        <f aca="false">IF($B194="","",F194*Settings!$C$5)</f>
        <v/>
      </c>
      <c r="H194" s="19" t="str">
        <f aca="false">IF($B194="","",E194-G194)</f>
        <v/>
      </c>
      <c r="I194" s="1"/>
      <c r="J194" s="1"/>
      <c r="K194" s="1"/>
    </row>
    <row r="195" customFormat="false" ht="21.75" hidden="false" customHeight="true" outlineLevel="0" collapsed="false">
      <c r="A195" s="1"/>
      <c r="B195" s="15"/>
      <c r="C195" s="16"/>
      <c r="D195" s="15"/>
      <c r="E195" s="17" t="str">
        <f aca="false">IF($B195="","",SUMIFS(Payments!$E$5:$E$1004,Payments!$C$5:$C$1004,$B195,Payments!$G$5:$G$1004,"Yes"))</f>
        <v/>
      </c>
      <c r="F195" s="18" t="str">
        <f aca="false">IF($B195="","",COUNTIF(Entries!$D$5:$D$2004,$B195))</f>
        <v/>
      </c>
      <c r="G195" s="17" t="str">
        <f aca="false">IF($B195="","",F195*Settings!$C$5)</f>
        <v/>
      </c>
      <c r="H195" s="19" t="str">
        <f aca="false">IF($B195="","",E195-G195)</f>
        <v/>
      </c>
      <c r="I195" s="1"/>
      <c r="J195" s="1"/>
      <c r="K195" s="1"/>
    </row>
    <row r="196" customFormat="false" ht="21.75" hidden="false" customHeight="true" outlineLevel="0" collapsed="false">
      <c r="A196" s="1"/>
      <c r="B196" s="15"/>
      <c r="C196" s="16"/>
      <c r="D196" s="15"/>
      <c r="E196" s="17" t="str">
        <f aca="false">IF($B196="","",SUMIFS(Payments!$E$5:$E$1004,Payments!$C$5:$C$1004,$B196,Payments!$G$5:$G$1004,"Yes"))</f>
        <v/>
      </c>
      <c r="F196" s="18" t="str">
        <f aca="false">IF($B196="","",COUNTIF(Entries!$D$5:$D$2004,$B196))</f>
        <v/>
      </c>
      <c r="G196" s="17" t="str">
        <f aca="false">IF($B196="","",F196*Settings!$C$5)</f>
        <v/>
      </c>
      <c r="H196" s="19" t="str">
        <f aca="false">IF($B196="","",E196-G196)</f>
        <v/>
      </c>
      <c r="I196" s="1"/>
      <c r="J196" s="1"/>
      <c r="K196" s="1"/>
    </row>
    <row r="197" customFormat="false" ht="21.75" hidden="false" customHeight="true" outlineLevel="0" collapsed="false">
      <c r="A197" s="1"/>
      <c r="B197" s="15"/>
      <c r="C197" s="16"/>
      <c r="D197" s="15"/>
      <c r="E197" s="17" t="str">
        <f aca="false">IF($B197="","",SUMIFS(Payments!$E$5:$E$1004,Payments!$C$5:$C$1004,$B197,Payments!$G$5:$G$1004,"Yes"))</f>
        <v/>
      </c>
      <c r="F197" s="18" t="str">
        <f aca="false">IF($B197="","",COUNTIF(Entries!$D$5:$D$2004,$B197))</f>
        <v/>
      </c>
      <c r="G197" s="17" t="str">
        <f aca="false">IF($B197="","",F197*Settings!$C$5)</f>
        <v/>
      </c>
      <c r="H197" s="19" t="str">
        <f aca="false">IF($B197="","",E197-G197)</f>
        <v/>
      </c>
      <c r="I197" s="1"/>
      <c r="J197" s="1"/>
      <c r="K197" s="1"/>
    </row>
    <row r="198" customFormat="false" ht="21.75" hidden="false" customHeight="true" outlineLevel="0" collapsed="false">
      <c r="A198" s="1"/>
      <c r="B198" s="15"/>
      <c r="C198" s="16"/>
      <c r="D198" s="15"/>
      <c r="E198" s="17" t="str">
        <f aca="false">IF($B198="","",SUMIFS(Payments!$E$5:$E$1004,Payments!$C$5:$C$1004,$B198,Payments!$G$5:$G$1004,"Yes"))</f>
        <v/>
      </c>
      <c r="F198" s="18" t="str">
        <f aca="false">IF($B198="","",COUNTIF(Entries!$D$5:$D$2004,$B198))</f>
        <v/>
      </c>
      <c r="G198" s="17" t="str">
        <f aca="false">IF($B198="","",F198*Settings!$C$5)</f>
        <v/>
      </c>
      <c r="H198" s="19" t="str">
        <f aca="false">IF($B198="","",E198-G198)</f>
        <v/>
      </c>
      <c r="I198" s="1"/>
      <c r="J198" s="1"/>
      <c r="K198" s="1"/>
    </row>
    <row r="199" customFormat="false" ht="21.75" hidden="false" customHeight="true" outlineLevel="0" collapsed="false">
      <c r="A199" s="1"/>
      <c r="B199" s="15"/>
      <c r="C199" s="16"/>
      <c r="D199" s="15"/>
      <c r="E199" s="17" t="str">
        <f aca="false">IF($B199="","",SUMIFS(Payments!$E$5:$E$1004,Payments!$C$5:$C$1004,$B199,Payments!$G$5:$G$1004,"Yes"))</f>
        <v/>
      </c>
      <c r="F199" s="18" t="str">
        <f aca="false">IF($B199="","",COUNTIF(Entries!$D$5:$D$2004,$B199))</f>
        <v/>
      </c>
      <c r="G199" s="17" t="str">
        <f aca="false">IF($B199="","",F199*Settings!$C$5)</f>
        <v/>
      </c>
      <c r="H199" s="19" t="str">
        <f aca="false">IF($B199="","",E199-G199)</f>
        <v/>
      </c>
      <c r="I199" s="1"/>
      <c r="J199" s="1"/>
      <c r="K199" s="1"/>
    </row>
    <row r="200" customFormat="false" ht="21.75" hidden="false" customHeight="true" outlineLevel="0" collapsed="false">
      <c r="A200" s="1"/>
      <c r="B200" s="15"/>
      <c r="C200" s="16"/>
      <c r="D200" s="15"/>
      <c r="E200" s="17" t="str">
        <f aca="false">IF($B200="","",SUMIFS(Payments!$E$5:$E$1004,Payments!$C$5:$C$1004,$B200,Payments!$G$5:$G$1004,"Yes"))</f>
        <v/>
      </c>
      <c r="F200" s="18" t="str">
        <f aca="false">IF($B200="","",COUNTIF(Entries!$D$5:$D$2004,$B200))</f>
        <v/>
      </c>
      <c r="G200" s="17" t="str">
        <f aca="false">IF($B200="","",F200*Settings!$C$5)</f>
        <v/>
      </c>
      <c r="H200" s="19" t="str">
        <f aca="false">IF($B200="","",E200-G200)</f>
        <v/>
      </c>
      <c r="I200" s="1"/>
      <c r="J200" s="1"/>
      <c r="K200" s="1"/>
    </row>
    <row r="201" customFormat="false" ht="21.75" hidden="false" customHeight="true" outlineLevel="0" collapsed="false">
      <c r="A201" s="1"/>
      <c r="B201" s="15"/>
      <c r="C201" s="16"/>
      <c r="D201" s="15"/>
      <c r="E201" s="17" t="str">
        <f aca="false">IF($B201="","",SUMIFS(Payments!$E$5:$E$1004,Payments!$C$5:$C$1004,$B201,Payments!$G$5:$G$1004,"Yes"))</f>
        <v/>
      </c>
      <c r="F201" s="18" t="str">
        <f aca="false">IF($B201="","",COUNTIF(Entries!$D$5:$D$2004,$B201))</f>
        <v/>
      </c>
      <c r="G201" s="17" t="str">
        <f aca="false">IF($B201="","",F201*Settings!$C$5)</f>
        <v/>
      </c>
      <c r="H201" s="19" t="str">
        <f aca="false">IF($B201="","",E201-G201)</f>
        <v/>
      </c>
      <c r="I201" s="1"/>
      <c r="J201" s="1"/>
      <c r="K201" s="1"/>
    </row>
    <row r="202" customFormat="false" ht="21.75" hidden="false" customHeight="true" outlineLevel="0" collapsed="false">
      <c r="A202" s="1"/>
      <c r="B202" s="15"/>
      <c r="C202" s="16"/>
      <c r="D202" s="15"/>
      <c r="E202" s="17" t="str">
        <f aca="false">IF($B202="","",SUMIFS(Payments!$E$5:$E$1004,Payments!$C$5:$C$1004,$B202,Payments!$G$5:$G$1004,"Yes"))</f>
        <v/>
      </c>
      <c r="F202" s="18" t="str">
        <f aca="false">IF($B202="","",COUNTIF(Entries!$D$5:$D$2004,$B202))</f>
        <v/>
      </c>
      <c r="G202" s="17" t="str">
        <f aca="false">IF($B202="","",F202*Settings!$C$5)</f>
        <v/>
      </c>
      <c r="H202" s="19" t="str">
        <f aca="false">IF($B202="","",E202-G202)</f>
        <v/>
      </c>
      <c r="I202" s="1"/>
      <c r="J202" s="1"/>
      <c r="K202" s="1"/>
    </row>
    <row r="203" customFormat="false" ht="21.75" hidden="false" customHeight="true" outlineLevel="0" collapsed="false">
      <c r="A203" s="1"/>
      <c r="B203" s="15"/>
      <c r="C203" s="16"/>
      <c r="D203" s="15"/>
      <c r="E203" s="17" t="str">
        <f aca="false">IF($B203="","",SUMIFS(Payments!$E$5:$E$1004,Payments!$C$5:$C$1004,$B203,Payments!$G$5:$G$1004,"Yes"))</f>
        <v/>
      </c>
      <c r="F203" s="18" t="str">
        <f aca="false">IF($B203="","",COUNTIF(Entries!$D$5:$D$2004,$B203))</f>
        <v/>
      </c>
      <c r="G203" s="17" t="str">
        <f aca="false">IF($B203="","",F203*Settings!$C$5)</f>
        <v/>
      </c>
      <c r="H203" s="19" t="str">
        <f aca="false">IF($B203="","",E203-G203)</f>
        <v/>
      </c>
      <c r="I203" s="1"/>
      <c r="J203" s="1"/>
      <c r="K203" s="1"/>
    </row>
    <row r="204" customFormat="false" ht="21.75" hidden="false" customHeight="true" outlineLevel="0" collapsed="false">
      <c r="A204" s="1"/>
      <c r="B204" s="15"/>
      <c r="C204" s="16"/>
      <c r="D204" s="15"/>
      <c r="E204" s="17" t="str">
        <f aca="false">IF($B204="","",SUMIFS(Payments!$E$5:$E$1004,Payments!$C$5:$C$1004,$B204,Payments!$G$5:$G$1004,"Yes"))</f>
        <v/>
      </c>
      <c r="F204" s="18" t="str">
        <f aca="false">IF($B204="","",COUNTIF(Entries!$D$5:$D$2004,$B204))</f>
        <v/>
      </c>
      <c r="G204" s="17" t="str">
        <f aca="false">IF($B204="","",F204*Settings!$C$5)</f>
        <v/>
      </c>
      <c r="H204" s="19" t="str">
        <f aca="false">IF($B204="","",E204-G204)</f>
        <v/>
      </c>
      <c r="I204" s="1"/>
      <c r="J204" s="1"/>
      <c r="K204" s="1"/>
    </row>
    <row r="205" customFormat="false" ht="21.75" hidden="false" customHeight="true" outlineLevel="0" collapsed="false">
      <c r="A205" s="1"/>
      <c r="B205" s="15"/>
      <c r="C205" s="16"/>
      <c r="D205" s="15"/>
      <c r="E205" s="17" t="str">
        <f aca="false">IF($B205="","",SUMIFS(Payments!$E$5:$E$1004,Payments!$C$5:$C$1004,$B205,Payments!$G$5:$G$1004,"Yes"))</f>
        <v/>
      </c>
      <c r="F205" s="18" t="str">
        <f aca="false">IF($B205="","",COUNTIF(Entries!$D$5:$D$2004,$B205))</f>
        <v/>
      </c>
      <c r="G205" s="17" t="str">
        <f aca="false">IF($B205="","",F205*Settings!$C$5)</f>
        <v/>
      </c>
      <c r="H205" s="19" t="str">
        <f aca="false">IF($B205="","",E205-G205)</f>
        <v/>
      </c>
      <c r="I205" s="1"/>
      <c r="J205" s="1"/>
      <c r="K205" s="1"/>
    </row>
    <row r="206" customFormat="false" ht="21.75" hidden="false" customHeight="true" outlineLevel="0" collapsed="false">
      <c r="A206" s="1"/>
      <c r="B206" s="15"/>
      <c r="C206" s="16"/>
      <c r="D206" s="15"/>
      <c r="E206" s="17" t="str">
        <f aca="false">IF($B206="","",SUMIFS(Payments!$E$5:$E$1004,Payments!$C$5:$C$1004,$B206,Payments!$G$5:$G$1004,"Yes"))</f>
        <v/>
      </c>
      <c r="F206" s="18" t="str">
        <f aca="false">IF($B206="","",COUNTIF(Entries!$D$5:$D$2004,$B206))</f>
        <v/>
      </c>
      <c r="G206" s="17" t="str">
        <f aca="false">IF($B206="","",F206*Settings!$C$5)</f>
        <v/>
      </c>
      <c r="H206" s="19" t="str">
        <f aca="false">IF($B206="","",E206-G206)</f>
        <v/>
      </c>
      <c r="I206" s="1"/>
      <c r="J206" s="1"/>
      <c r="K206" s="1"/>
    </row>
    <row r="207" customFormat="false" ht="21.75" hidden="false" customHeight="true" outlineLevel="0" collapsed="false">
      <c r="A207" s="1"/>
      <c r="B207" s="15"/>
      <c r="C207" s="16"/>
      <c r="D207" s="15"/>
      <c r="E207" s="17" t="str">
        <f aca="false">IF($B207="","",SUMIFS(Payments!$E$5:$E$1004,Payments!$C$5:$C$1004,$B207,Payments!$G$5:$G$1004,"Yes"))</f>
        <v/>
      </c>
      <c r="F207" s="18" t="str">
        <f aca="false">IF($B207="","",COUNTIF(Entries!$D$5:$D$2004,$B207))</f>
        <v/>
      </c>
      <c r="G207" s="17" t="str">
        <f aca="false">IF($B207="","",F207*Settings!$C$5)</f>
        <v/>
      </c>
      <c r="H207" s="19" t="str">
        <f aca="false">IF($B207="","",E207-G207)</f>
        <v/>
      </c>
      <c r="I207" s="1"/>
      <c r="J207" s="1"/>
      <c r="K207" s="1"/>
    </row>
    <row r="208" customFormat="false" ht="21.75" hidden="false" customHeight="true" outlineLevel="0" collapsed="false">
      <c r="A208" s="1"/>
      <c r="B208" s="15"/>
      <c r="C208" s="16"/>
      <c r="D208" s="15"/>
      <c r="E208" s="17" t="str">
        <f aca="false">IF($B208="","",SUMIFS(Payments!$E$5:$E$1004,Payments!$C$5:$C$1004,$B208,Payments!$G$5:$G$1004,"Yes"))</f>
        <v/>
      </c>
      <c r="F208" s="18" t="str">
        <f aca="false">IF($B208="","",COUNTIF(Entries!$D$5:$D$2004,$B208))</f>
        <v/>
      </c>
      <c r="G208" s="17" t="str">
        <f aca="false">IF($B208="","",F208*Settings!$C$5)</f>
        <v/>
      </c>
      <c r="H208" s="19" t="str">
        <f aca="false">IF($B208="","",E208-G208)</f>
        <v/>
      </c>
      <c r="I208" s="1"/>
      <c r="J208" s="1"/>
      <c r="K208" s="1"/>
    </row>
    <row r="209" customFormat="false" ht="21.75" hidden="false" customHeight="true" outlineLevel="0" collapsed="false">
      <c r="A209" s="1"/>
      <c r="B209" s="15"/>
      <c r="C209" s="16"/>
      <c r="D209" s="15"/>
      <c r="E209" s="17" t="str">
        <f aca="false">IF($B209="","",SUMIFS(Payments!$E$5:$E$1004,Payments!$C$5:$C$1004,$B209,Payments!$G$5:$G$1004,"Yes"))</f>
        <v/>
      </c>
      <c r="F209" s="18" t="str">
        <f aca="false">IF($B209="","",COUNTIF(Entries!$D$5:$D$2004,$B209))</f>
        <v/>
      </c>
      <c r="G209" s="17" t="str">
        <f aca="false">IF($B209="","",F209*Settings!$C$5)</f>
        <v/>
      </c>
      <c r="H209" s="19" t="str">
        <f aca="false">IF($B209="","",E209-G209)</f>
        <v/>
      </c>
      <c r="I209" s="1"/>
      <c r="J209" s="1"/>
      <c r="K209" s="1"/>
    </row>
    <row r="210" customFormat="false" ht="21.75" hidden="false" customHeight="true" outlineLevel="0" collapsed="false">
      <c r="A210" s="1"/>
      <c r="B210" s="15"/>
      <c r="C210" s="16"/>
      <c r="D210" s="15"/>
      <c r="E210" s="17" t="str">
        <f aca="false">IF($B210="","",SUMIFS(Payments!$E$5:$E$1004,Payments!$C$5:$C$1004,$B210,Payments!$G$5:$G$1004,"Yes"))</f>
        <v/>
      </c>
      <c r="F210" s="18" t="str">
        <f aca="false">IF($B210="","",COUNTIF(Entries!$D$5:$D$2004,$B210))</f>
        <v/>
      </c>
      <c r="G210" s="17" t="str">
        <f aca="false">IF($B210="","",F210*Settings!$C$5)</f>
        <v/>
      </c>
      <c r="H210" s="19" t="str">
        <f aca="false">IF($B210="","",E210-G210)</f>
        <v/>
      </c>
      <c r="I210" s="1"/>
      <c r="J210" s="1"/>
      <c r="K210" s="1"/>
    </row>
    <row r="211" customFormat="false" ht="21.75" hidden="false" customHeight="true" outlineLevel="0" collapsed="false">
      <c r="A211" s="1"/>
      <c r="B211" s="15"/>
      <c r="C211" s="16"/>
      <c r="D211" s="15"/>
      <c r="E211" s="17" t="str">
        <f aca="false">IF($B211="","",SUMIFS(Payments!$E$5:$E$1004,Payments!$C$5:$C$1004,$B211,Payments!$G$5:$G$1004,"Yes"))</f>
        <v/>
      </c>
      <c r="F211" s="18" t="str">
        <f aca="false">IF($B211="","",COUNTIF(Entries!$D$5:$D$2004,$B211))</f>
        <v/>
      </c>
      <c r="G211" s="17" t="str">
        <f aca="false">IF($B211="","",F211*Settings!$C$5)</f>
        <v/>
      </c>
      <c r="H211" s="19" t="str">
        <f aca="false">IF($B211="","",E211-G211)</f>
        <v/>
      </c>
      <c r="I211" s="1"/>
      <c r="J211" s="1"/>
      <c r="K211" s="1"/>
    </row>
    <row r="212" customFormat="false" ht="21.75" hidden="false" customHeight="true" outlineLevel="0" collapsed="false">
      <c r="A212" s="1"/>
      <c r="B212" s="15"/>
      <c r="C212" s="16"/>
      <c r="D212" s="15"/>
      <c r="E212" s="17" t="str">
        <f aca="false">IF($B212="","",SUMIFS(Payments!$E$5:$E$1004,Payments!$C$5:$C$1004,$B212,Payments!$G$5:$G$1004,"Yes"))</f>
        <v/>
      </c>
      <c r="F212" s="18" t="str">
        <f aca="false">IF($B212="","",COUNTIF(Entries!$D$5:$D$2004,$B212))</f>
        <v/>
      </c>
      <c r="G212" s="17" t="str">
        <f aca="false">IF($B212="","",F212*Settings!$C$5)</f>
        <v/>
      </c>
      <c r="H212" s="19" t="str">
        <f aca="false">IF($B212="","",E212-G212)</f>
        <v/>
      </c>
      <c r="I212" s="1"/>
      <c r="J212" s="1"/>
      <c r="K212" s="1"/>
    </row>
    <row r="213" customFormat="false" ht="21.75" hidden="false" customHeight="true" outlineLevel="0" collapsed="false">
      <c r="A213" s="1"/>
      <c r="B213" s="15"/>
      <c r="C213" s="16"/>
      <c r="D213" s="15"/>
      <c r="E213" s="17" t="str">
        <f aca="false">IF($B213="","",SUMIFS(Payments!$E$5:$E$1004,Payments!$C$5:$C$1004,$B213,Payments!$G$5:$G$1004,"Yes"))</f>
        <v/>
      </c>
      <c r="F213" s="18" t="str">
        <f aca="false">IF($B213="","",COUNTIF(Entries!$D$5:$D$2004,$B213))</f>
        <v/>
      </c>
      <c r="G213" s="17" t="str">
        <f aca="false">IF($B213="","",F213*Settings!$C$5)</f>
        <v/>
      </c>
      <c r="H213" s="19" t="str">
        <f aca="false">IF($B213="","",E213-G213)</f>
        <v/>
      </c>
      <c r="I213" s="1"/>
      <c r="J213" s="1"/>
      <c r="K213" s="1"/>
    </row>
    <row r="214" customFormat="false" ht="21.75" hidden="false" customHeight="true" outlineLevel="0" collapsed="false">
      <c r="A214" s="1"/>
      <c r="B214" s="15"/>
      <c r="C214" s="16"/>
      <c r="D214" s="15"/>
      <c r="E214" s="17" t="str">
        <f aca="false">IF($B214="","",SUMIFS(Payments!$E$5:$E$1004,Payments!$C$5:$C$1004,$B214,Payments!$G$5:$G$1004,"Yes"))</f>
        <v/>
      </c>
      <c r="F214" s="18" t="str">
        <f aca="false">IF($B214="","",COUNTIF(Entries!$D$5:$D$2004,$B214))</f>
        <v/>
      </c>
      <c r="G214" s="17" t="str">
        <f aca="false">IF($B214="","",F214*Settings!$C$5)</f>
        <v/>
      </c>
      <c r="H214" s="19" t="str">
        <f aca="false">IF($B214="","",E214-G214)</f>
        <v/>
      </c>
      <c r="I214" s="1"/>
      <c r="J214" s="1"/>
      <c r="K214" s="1"/>
    </row>
    <row r="215" customFormat="false" ht="21.75" hidden="false" customHeight="true" outlineLevel="0" collapsed="false">
      <c r="A215" s="1"/>
      <c r="B215" s="15"/>
      <c r="C215" s="16"/>
      <c r="D215" s="15"/>
      <c r="E215" s="17" t="str">
        <f aca="false">IF($B215="","",SUMIFS(Payments!$E$5:$E$1004,Payments!$C$5:$C$1004,$B215,Payments!$G$5:$G$1004,"Yes"))</f>
        <v/>
      </c>
      <c r="F215" s="18" t="str">
        <f aca="false">IF($B215="","",COUNTIF(Entries!$D$5:$D$2004,$B215))</f>
        <v/>
      </c>
      <c r="G215" s="17" t="str">
        <f aca="false">IF($B215="","",F215*Settings!$C$5)</f>
        <v/>
      </c>
      <c r="H215" s="19" t="str">
        <f aca="false">IF($B215="","",E215-G215)</f>
        <v/>
      </c>
      <c r="I215" s="1"/>
      <c r="J215" s="1"/>
      <c r="K215" s="1"/>
    </row>
    <row r="216" customFormat="false" ht="21.75" hidden="false" customHeight="true" outlineLevel="0" collapsed="false">
      <c r="A216" s="1"/>
      <c r="B216" s="15"/>
      <c r="C216" s="16"/>
      <c r="D216" s="15"/>
      <c r="E216" s="17" t="str">
        <f aca="false">IF($B216="","",SUMIFS(Payments!$E$5:$E$1004,Payments!$C$5:$C$1004,$B216,Payments!$G$5:$G$1004,"Yes"))</f>
        <v/>
      </c>
      <c r="F216" s="18" t="str">
        <f aca="false">IF($B216="","",COUNTIF(Entries!$D$5:$D$2004,$B216))</f>
        <v/>
      </c>
      <c r="G216" s="17" t="str">
        <f aca="false">IF($B216="","",F216*Settings!$C$5)</f>
        <v/>
      </c>
      <c r="H216" s="19" t="str">
        <f aca="false">IF($B216="","",E216-G216)</f>
        <v/>
      </c>
      <c r="I216" s="1"/>
      <c r="J216" s="1"/>
      <c r="K216" s="1"/>
    </row>
    <row r="217" customFormat="false" ht="21.75" hidden="false" customHeight="true" outlineLevel="0" collapsed="false">
      <c r="A217" s="1"/>
      <c r="B217" s="15"/>
      <c r="C217" s="16"/>
      <c r="D217" s="15"/>
      <c r="E217" s="17" t="str">
        <f aca="false">IF($B217="","",SUMIFS(Payments!$E$5:$E$1004,Payments!$C$5:$C$1004,$B217,Payments!$G$5:$G$1004,"Yes"))</f>
        <v/>
      </c>
      <c r="F217" s="18" t="str">
        <f aca="false">IF($B217="","",COUNTIF(Entries!$D$5:$D$2004,$B217))</f>
        <v/>
      </c>
      <c r="G217" s="17" t="str">
        <f aca="false">IF($B217="","",F217*Settings!$C$5)</f>
        <v/>
      </c>
      <c r="H217" s="19" t="str">
        <f aca="false">IF($B217="","",E217-G217)</f>
        <v/>
      </c>
      <c r="I217" s="1"/>
      <c r="J217" s="1"/>
      <c r="K217" s="1"/>
    </row>
    <row r="218" customFormat="false" ht="21.75" hidden="false" customHeight="true" outlineLevel="0" collapsed="false">
      <c r="A218" s="1"/>
      <c r="B218" s="15"/>
      <c r="C218" s="16"/>
      <c r="D218" s="15"/>
      <c r="E218" s="17" t="str">
        <f aca="false">IF($B218="","",SUMIFS(Payments!$E$5:$E$1004,Payments!$C$5:$C$1004,$B218,Payments!$G$5:$G$1004,"Yes"))</f>
        <v/>
      </c>
      <c r="F218" s="18" t="str">
        <f aca="false">IF($B218="","",COUNTIF(Entries!$D$5:$D$2004,$B218))</f>
        <v/>
      </c>
      <c r="G218" s="17" t="str">
        <f aca="false">IF($B218="","",F218*Settings!$C$5)</f>
        <v/>
      </c>
      <c r="H218" s="19" t="str">
        <f aca="false">IF($B218="","",E218-G218)</f>
        <v/>
      </c>
      <c r="I218" s="1"/>
      <c r="J218" s="1"/>
      <c r="K218" s="1"/>
    </row>
    <row r="219" customFormat="false" ht="21.75" hidden="false" customHeight="true" outlineLevel="0" collapsed="false">
      <c r="A219" s="1"/>
      <c r="B219" s="15"/>
      <c r="C219" s="16"/>
      <c r="D219" s="15"/>
      <c r="E219" s="17" t="str">
        <f aca="false">IF($B219="","",SUMIFS(Payments!$E$5:$E$1004,Payments!$C$5:$C$1004,$B219,Payments!$G$5:$G$1004,"Yes"))</f>
        <v/>
      </c>
      <c r="F219" s="18" t="str">
        <f aca="false">IF($B219="","",COUNTIF(Entries!$D$5:$D$2004,$B219))</f>
        <v/>
      </c>
      <c r="G219" s="17" t="str">
        <f aca="false">IF($B219="","",F219*Settings!$C$5)</f>
        <v/>
      </c>
      <c r="H219" s="19" t="str">
        <f aca="false">IF($B219="","",E219-G219)</f>
        <v/>
      </c>
      <c r="I219" s="1"/>
      <c r="J219" s="1"/>
      <c r="K219" s="1"/>
    </row>
    <row r="220" customFormat="false" ht="21.75" hidden="false" customHeight="true" outlineLevel="0" collapsed="false">
      <c r="A220" s="1"/>
      <c r="B220" s="15"/>
      <c r="C220" s="16"/>
      <c r="D220" s="15"/>
      <c r="E220" s="17" t="str">
        <f aca="false">IF($B220="","",SUMIFS(Payments!$E$5:$E$1004,Payments!$C$5:$C$1004,$B220,Payments!$G$5:$G$1004,"Yes"))</f>
        <v/>
      </c>
      <c r="F220" s="18" t="str">
        <f aca="false">IF($B220="","",COUNTIF(Entries!$D$5:$D$2004,$B220))</f>
        <v/>
      </c>
      <c r="G220" s="17" t="str">
        <f aca="false">IF($B220="","",F220*Settings!$C$5)</f>
        <v/>
      </c>
      <c r="H220" s="19" t="str">
        <f aca="false">IF($B220="","",E220-G220)</f>
        <v/>
      </c>
      <c r="I220" s="1"/>
      <c r="J220" s="1"/>
      <c r="K220" s="1"/>
    </row>
    <row r="221" customFormat="false" ht="21.75" hidden="false" customHeight="true" outlineLevel="0" collapsed="false">
      <c r="A221" s="1"/>
      <c r="B221" s="15"/>
      <c r="C221" s="16"/>
      <c r="D221" s="15"/>
      <c r="E221" s="17" t="str">
        <f aca="false">IF($B221="","",SUMIFS(Payments!$E$5:$E$1004,Payments!$C$5:$C$1004,$B221,Payments!$G$5:$G$1004,"Yes"))</f>
        <v/>
      </c>
      <c r="F221" s="18" t="str">
        <f aca="false">IF($B221="","",COUNTIF(Entries!$D$5:$D$2004,$B221))</f>
        <v/>
      </c>
      <c r="G221" s="17" t="str">
        <f aca="false">IF($B221="","",F221*Settings!$C$5)</f>
        <v/>
      </c>
      <c r="H221" s="19" t="str">
        <f aca="false">IF($B221="","",E221-G221)</f>
        <v/>
      </c>
      <c r="I221" s="1"/>
      <c r="J221" s="1"/>
      <c r="K221" s="1"/>
    </row>
    <row r="222" customFormat="false" ht="21.75" hidden="false" customHeight="true" outlineLevel="0" collapsed="false">
      <c r="A222" s="1"/>
      <c r="B222" s="15"/>
      <c r="C222" s="16"/>
      <c r="D222" s="15"/>
      <c r="E222" s="17" t="str">
        <f aca="false">IF($B222="","",SUMIFS(Payments!$E$5:$E$1004,Payments!$C$5:$C$1004,$B222,Payments!$G$5:$G$1004,"Yes"))</f>
        <v/>
      </c>
      <c r="F222" s="18" t="str">
        <f aca="false">IF($B222="","",COUNTIF(Entries!$D$5:$D$2004,$B222))</f>
        <v/>
      </c>
      <c r="G222" s="17" t="str">
        <f aca="false">IF($B222="","",F222*Settings!$C$5)</f>
        <v/>
      </c>
      <c r="H222" s="19" t="str">
        <f aca="false">IF($B222="","",E222-G222)</f>
        <v/>
      </c>
      <c r="I222" s="1"/>
      <c r="J222" s="1"/>
      <c r="K222" s="1"/>
    </row>
    <row r="223" customFormat="false" ht="21.75" hidden="false" customHeight="true" outlineLevel="0" collapsed="false">
      <c r="A223" s="1"/>
      <c r="B223" s="15"/>
      <c r="C223" s="16"/>
      <c r="D223" s="15"/>
      <c r="E223" s="17" t="str">
        <f aca="false">IF($B223="","",SUMIFS(Payments!$E$5:$E$1004,Payments!$C$5:$C$1004,$B223,Payments!$G$5:$G$1004,"Yes"))</f>
        <v/>
      </c>
      <c r="F223" s="18" t="str">
        <f aca="false">IF($B223="","",COUNTIF(Entries!$D$5:$D$2004,$B223))</f>
        <v/>
      </c>
      <c r="G223" s="17" t="str">
        <f aca="false">IF($B223="","",F223*Settings!$C$5)</f>
        <v/>
      </c>
      <c r="H223" s="19" t="str">
        <f aca="false">IF($B223="","",E223-G223)</f>
        <v/>
      </c>
      <c r="I223" s="1"/>
      <c r="J223" s="1"/>
      <c r="K223" s="1"/>
    </row>
    <row r="224" customFormat="false" ht="21.75" hidden="false" customHeight="true" outlineLevel="0" collapsed="false">
      <c r="A224" s="1"/>
      <c r="B224" s="15"/>
      <c r="C224" s="16"/>
      <c r="D224" s="15"/>
      <c r="E224" s="17" t="str">
        <f aca="false">IF($B224="","",SUMIFS(Payments!$E$5:$E$1004,Payments!$C$5:$C$1004,$B224,Payments!$G$5:$G$1004,"Yes"))</f>
        <v/>
      </c>
      <c r="F224" s="18" t="str">
        <f aca="false">IF($B224="","",COUNTIF(Entries!$D$5:$D$2004,$B224))</f>
        <v/>
      </c>
      <c r="G224" s="17" t="str">
        <f aca="false">IF($B224="","",F224*Settings!$C$5)</f>
        <v/>
      </c>
      <c r="H224" s="19" t="str">
        <f aca="false">IF($B224="","",E224-G224)</f>
        <v/>
      </c>
      <c r="I224" s="1"/>
      <c r="J224" s="1"/>
      <c r="K224" s="1"/>
    </row>
    <row r="225" customFormat="false" ht="21.75" hidden="false" customHeight="true" outlineLevel="0" collapsed="false">
      <c r="A225" s="1"/>
      <c r="B225" s="15"/>
      <c r="C225" s="16"/>
      <c r="D225" s="15"/>
      <c r="E225" s="17" t="str">
        <f aca="false">IF($B225="","",SUMIFS(Payments!$E$5:$E$1004,Payments!$C$5:$C$1004,$B225,Payments!$G$5:$G$1004,"Yes"))</f>
        <v/>
      </c>
      <c r="F225" s="18" t="str">
        <f aca="false">IF($B225="","",COUNTIF(Entries!$D$5:$D$2004,$B225))</f>
        <v/>
      </c>
      <c r="G225" s="17" t="str">
        <f aca="false">IF($B225="","",F225*Settings!$C$5)</f>
        <v/>
      </c>
      <c r="H225" s="19" t="str">
        <f aca="false">IF($B225="","",E225-G225)</f>
        <v/>
      </c>
      <c r="I225" s="1"/>
      <c r="J225" s="1"/>
      <c r="K225" s="1"/>
    </row>
    <row r="226" customFormat="false" ht="21.75" hidden="false" customHeight="true" outlineLevel="0" collapsed="false">
      <c r="A226" s="1"/>
      <c r="B226" s="15"/>
      <c r="C226" s="16"/>
      <c r="D226" s="15"/>
      <c r="E226" s="17" t="str">
        <f aca="false">IF($B226="","",SUMIFS(Payments!$E$5:$E$1004,Payments!$C$5:$C$1004,$B226,Payments!$G$5:$G$1004,"Yes"))</f>
        <v/>
      </c>
      <c r="F226" s="18" t="str">
        <f aca="false">IF($B226="","",COUNTIF(Entries!$D$5:$D$2004,$B226))</f>
        <v/>
      </c>
      <c r="G226" s="17" t="str">
        <f aca="false">IF($B226="","",F226*Settings!$C$5)</f>
        <v/>
      </c>
      <c r="H226" s="19" t="str">
        <f aca="false">IF($B226="","",E226-G226)</f>
        <v/>
      </c>
      <c r="I226" s="1"/>
      <c r="J226" s="1"/>
      <c r="K226" s="1"/>
    </row>
    <row r="227" customFormat="false" ht="21.75" hidden="false" customHeight="true" outlineLevel="0" collapsed="false">
      <c r="A227" s="1"/>
      <c r="B227" s="15"/>
      <c r="C227" s="16"/>
      <c r="D227" s="15"/>
      <c r="E227" s="17" t="str">
        <f aca="false">IF($B227="","",SUMIFS(Payments!$E$5:$E$1004,Payments!$C$5:$C$1004,$B227,Payments!$G$5:$G$1004,"Yes"))</f>
        <v/>
      </c>
      <c r="F227" s="18" t="str">
        <f aca="false">IF($B227="","",COUNTIF(Entries!$D$5:$D$2004,$B227))</f>
        <v/>
      </c>
      <c r="G227" s="17" t="str">
        <f aca="false">IF($B227="","",F227*Settings!$C$5)</f>
        <v/>
      </c>
      <c r="H227" s="19" t="str">
        <f aca="false">IF($B227="","",E227-G227)</f>
        <v/>
      </c>
      <c r="I227" s="1"/>
      <c r="J227" s="1"/>
      <c r="K227" s="1"/>
    </row>
    <row r="228" customFormat="false" ht="21.75" hidden="false" customHeight="true" outlineLevel="0" collapsed="false">
      <c r="A228" s="1"/>
      <c r="B228" s="15"/>
      <c r="C228" s="16"/>
      <c r="D228" s="15"/>
      <c r="E228" s="17" t="str">
        <f aca="false">IF($B228="","",SUMIFS(Payments!$E$5:$E$1004,Payments!$C$5:$C$1004,$B228,Payments!$G$5:$G$1004,"Yes"))</f>
        <v/>
      </c>
      <c r="F228" s="18" t="str">
        <f aca="false">IF($B228="","",COUNTIF(Entries!$D$5:$D$2004,$B228))</f>
        <v/>
      </c>
      <c r="G228" s="17" t="str">
        <f aca="false">IF($B228="","",F228*Settings!$C$5)</f>
        <v/>
      </c>
      <c r="H228" s="19" t="str">
        <f aca="false">IF($B228="","",E228-G228)</f>
        <v/>
      </c>
      <c r="I228" s="1"/>
      <c r="J228" s="1"/>
      <c r="K228" s="1"/>
    </row>
    <row r="229" customFormat="false" ht="21.75" hidden="false" customHeight="true" outlineLevel="0" collapsed="false">
      <c r="A229" s="1"/>
      <c r="B229" s="15"/>
      <c r="C229" s="16"/>
      <c r="D229" s="15"/>
      <c r="E229" s="17" t="str">
        <f aca="false">IF($B229="","",SUMIFS(Payments!$E$5:$E$1004,Payments!$C$5:$C$1004,$B229,Payments!$G$5:$G$1004,"Yes"))</f>
        <v/>
      </c>
      <c r="F229" s="18" t="str">
        <f aca="false">IF($B229="","",COUNTIF(Entries!$D$5:$D$2004,$B229))</f>
        <v/>
      </c>
      <c r="G229" s="17" t="str">
        <f aca="false">IF($B229="","",F229*Settings!$C$5)</f>
        <v/>
      </c>
      <c r="H229" s="19" t="str">
        <f aca="false">IF($B229="","",E229-G229)</f>
        <v/>
      </c>
      <c r="I229" s="1"/>
      <c r="J229" s="1"/>
      <c r="K229" s="1"/>
    </row>
    <row r="230" customFormat="false" ht="21.75" hidden="false" customHeight="true" outlineLevel="0" collapsed="false">
      <c r="A230" s="1"/>
      <c r="B230" s="15"/>
      <c r="C230" s="16"/>
      <c r="D230" s="15"/>
      <c r="E230" s="17" t="str">
        <f aca="false">IF($B230="","",SUMIFS(Payments!$E$5:$E$1004,Payments!$C$5:$C$1004,$B230,Payments!$G$5:$G$1004,"Yes"))</f>
        <v/>
      </c>
      <c r="F230" s="18" t="str">
        <f aca="false">IF($B230="","",COUNTIF(Entries!$D$5:$D$2004,$B230))</f>
        <v/>
      </c>
      <c r="G230" s="17" t="str">
        <f aca="false">IF($B230="","",F230*Settings!$C$5)</f>
        <v/>
      </c>
      <c r="H230" s="19" t="str">
        <f aca="false">IF($B230="","",E230-G230)</f>
        <v/>
      </c>
      <c r="I230" s="1"/>
      <c r="J230" s="1"/>
      <c r="K230" s="1"/>
    </row>
    <row r="231" customFormat="false" ht="21.75" hidden="false" customHeight="true" outlineLevel="0" collapsed="false">
      <c r="A231" s="1"/>
      <c r="B231" s="15"/>
      <c r="C231" s="16"/>
      <c r="D231" s="15"/>
      <c r="E231" s="17" t="str">
        <f aca="false">IF($B231="","",SUMIFS(Payments!$E$5:$E$1004,Payments!$C$5:$C$1004,$B231,Payments!$G$5:$G$1004,"Yes"))</f>
        <v/>
      </c>
      <c r="F231" s="18" t="str">
        <f aca="false">IF($B231="","",COUNTIF(Entries!$D$5:$D$2004,$B231))</f>
        <v/>
      </c>
      <c r="G231" s="17" t="str">
        <f aca="false">IF($B231="","",F231*Settings!$C$5)</f>
        <v/>
      </c>
      <c r="H231" s="19" t="str">
        <f aca="false">IF($B231="","",E231-G231)</f>
        <v/>
      </c>
      <c r="I231" s="1"/>
      <c r="J231" s="1"/>
      <c r="K231" s="1"/>
    </row>
    <row r="232" customFormat="false" ht="21.75" hidden="false" customHeight="true" outlineLevel="0" collapsed="false">
      <c r="A232" s="1"/>
      <c r="B232" s="15"/>
      <c r="C232" s="16"/>
      <c r="D232" s="15"/>
      <c r="E232" s="17" t="str">
        <f aca="false">IF($B232="","",SUMIFS(Payments!$E$5:$E$1004,Payments!$C$5:$C$1004,$B232,Payments!$G$5:$G$1004,"Yes"))</f>
        <v/>
      </c>
      <c r="F232" s="18" t="str">
        <f aca="false">IF($B232="","",COUNTIF(Entries!$D$5:$D$2004,$B232))</f>
        <v/>
      </c>
      <c r="G232" s="17" t="str">
        <f aca="false">IF($B232="","",F232*Settings!$C$5)</f>
        <v/>
      </c>
      <c r="H232" s="19" t="str">
        <f aca="false">IF($B232="","",E232-G232)</f>
        <v/>
      </c>
      <c r="I232" s="1"/>
      <c r="J232" s="1"/>
      <c r="K232" s="1"/>
    </row>
    <row r="233" customFormat="false" ht="21.75" hidden="false" customHeight="true" outlineLevel="0" collapsed="false">
      <c r="A233" s="1"/>
      <c r="B233" s="15"/>
      <c r="C233" s="16"/>
      <c r="D233" s="15"/>
      <c r="E233" s="17" t="str">
        <f aca="false">IF($B233="","",SUMIFS(Payments!$E$5:$E$1004,Payments!$C$5:$C$1004,$B233,Payments!$G$5:$G$1004,"Yes"))</f>
        <v/>
      </c>
      <c r="F233" s="18" t="str">
        <f aca="false">IF($B233="","",COUNTIF(Entries!$D$5:$D$2004,$B233))</f>
        <v/>
      </c>
      <c r="G233" s="17" t="str">
        <f aca="false">IF($B233="","",F233*Settings!$C$5)</f>
        <v/>
      </c>
      <c r="H233" s="19" t="str">
        <f aca="false">IF($B233="","",E233-G233)</f>
        <v/>
      </c>
      <c r="I233" s="1"/>
      <c r="J233" s="1"/>
      <c r="K233" s="1"/>
    </row>
    <row r="234" customFormat="false" ht="21.75" hidden="false" customHeight="true" outlineLevel="0" collapsed="false">
      <c r="A234" s="1"/>
      <c r="B234" s="15"/>
      <c r="C234" s="16"/>
      <c r="D234" s="15"/>
      <c r="E234" s="17" t="str">
        <f aca="false">IF($B234="","",SUMIFS(Payments!$E$5:$E$1004,Payments!$C$5:$C$1004,$B234,Payments!$G$5:$G$1004,"Yes"))</f>
        <v/>
      </c>
      <c r="F234" s="18" t="str">
        <f aca="false">IF($B234="","",COUNTIF(Entries!$D$5:$D$2004,$B234))</f>
        <v/>
      </c>
      <c r="G234" s="17" t="str">
        <f aca="false">IF($B234="","",F234*Settings!$C$5)</f>
        <v/>
      </c>
      <c r="H234" s="19" t="str">
        <f aca="false">IF($B234="","",E234-G234)</f>
        <v/>
      </c>
      <c r="I234" s="1"/>
      <c r="J234" s="1"/>
      <c r="K234" s="1"/>
    </row>
    <row r="235" customFormat="false" ht="21.75" hidden="false" customHeight="true" outlineLevel="0" collapsed="false">
      <c r="A235" s="1"/>
      <c r="B235" s="15"/>
      <c r="C235" s="16"/>
      <c r="D235" s="15"/>
      <c r="E235" s="17" t="str">
        <f aca="false">IF($B235="","",SUMIFS(Payments!$E$5:$E$1004,Payments!$C$5:$C$1004,$B235,Payments!$G$5:$G$1004,"Yes"))</f>
        <v/>
      </c>
      <c r="F235" s="18" t="str">
        <f aca="false">IF($B235="","",COUNTIF(Entries!$D$5:$D$2004,$B235))</f>
        <v/>
      </c>
      <c r="G235" s="17" t="str">
        <f aca="false">IF($B235="","",F235*Settings!$C$5)</f>
        <v/>
      </c>
      <c r="H235" s="19" t="str">
        <f aca="false">IF($B235="","",E235-G235)</f>
        <v/>
      </c>
      <c r="I235" s="1"/>
      <c r="J235" s="1"/>
      <c r="K235" s="1"/>
    </row>
    <row r="236" customFormat="false" ht="21.75" hidden="false" customHeight="true" outlineLevel="0" collapsed="false">
      <c r="A236" s="1"/>
      <c r="B236" s="15"/>
      <c r="C236" s="16"/>
      <c r="D236" s="15"/>
      <c r="E236" s="17" t="str">
        <f aca="false">IF($B236="","",SUMIFS(Payments!$E$5:$E$1004,Payments!$C$5:$C$1004,$B236,Payments!$G$5:$G$1004,"Yes"))</f>
        <v/>
      </c>
      <c r="F236" s="18" t="str">
        <f aca="false">IF($B236="","",COUNTIF(Entries!$D$5:$D$2004,$B236))</f>
        <v/>
      </c>
      <c r="G236" s="17" t="str">
        <f aca="false">IF($B236="","",F236*Settings!$C$5)</f>
        <v/>
      </c>
      <c r="H236" s="19" t="str">
        <f aca="false">IF($B236="","",E236-G236)</f>
        <v/>
      </c>
      <c r="I236" s="1"/>
      <c r="J236" s="1"/>
      <c r="K236" s="1"/>
    </row>
    <row r="237" customFormat="false" ht="21.75" hidden="false" customHeight="true" outlineLevel="0" collapsed="false">
      <c r="A237" s="1"/>
      <c r="B237" s="15"/>
      <c r="C237" s="16"/>
      <c r="D237" s="15"/>
      <c r="E237" s="17" t="str">
        <f aca="false">IF($B237="","",SUMIFS(Payments!$E$5:$E$1004,Payments!$C$5:$C$1004,$B237,Payments!$G$5:$G$1004,"Yes"))</f>
        <v/>
      </c>
      <c r="F237" s="18" t="str">
        <f aca="false">IF($B237="","",COUNTIF(Entries!$D$5:$D$2004,$B237))</f>
        <v/>
      </c>
      <c r="G237" s="17" t="str">
        <f aca="false">IF($B237="","",F237*Settings!$C$5)</f>
        <v/>
      </c>
      <c r="H237" s="19" t="str">
        <f aca="false">IF($B237="","",E237-G237)</f>
        <v/>
      </c>
      <c r="I237" s="1"/>
      <c r="J237" s="1"/>
      <c r="K237" s="1"/>
    </row>
    <row r="238" customFormat="false" ht="21.75" hidden="false" customHeight="true" outlineLevel="0" collapsed="false">
      <c r="A238" s="1"/>
      <c r="B238" s="15"/>
      <c r="C238" s="16"/>
      <c r="D238" s="15"/>
      <c r="E238" s="17" t="str">
        <f aca="false">IF($B238="","",SUMIFS(Payments!$E$5:$E$1004,Payments!$C$5:$C$1004,$B238,Payments!$G$5:$G$1004,"Yes"))</f>
        <v/>
      </c>
      <c r="F238" s="18" t="str">
        <f aca="false">IF($B238="","",COUNTIF(Entries!$D$5:$D$2004,$B238))</f>
        <v/>
      </c>
      <c r="G238" s="17" t="str">
        <f aca="false">IF($B238="","",F238*Settings!$C$5)</f>
        <v/>
      </c>
      <c r="H238" s="19" t="str">
        <f aca="false">IF($B238="","",E238-G238)</f>
        <v/>
      </c>
      <c r="I238" s="1"/>
      <c r="J238" s="1"/>
      <c r="K238" s="1"/>
    </row>
    <row r="239" customFormat="false" ht="21.75" hidden="false" customHeight="true" outlineLevel="0" collapsed="false">
      <c r="A239" s="1"/>
      <c r="B239" s="15"/>
      <c r="C239" s="16"/>
      <c r="D239" s="15"/>
      <c r="E239" s="17" t="str">
        <f aca="false">IF($B239="","",SUMIFS(Payments!$E$5:$E$1004,Payments!$C$5:$C$1004,$B239,Payments!$G$5:$G$1004,"Yes"))</f>
        <v/>
      </c>
      <c r="F239" s="18" t="str">
        <f aca="false">IF($B239="","",COUNTIF(Entries!$D$5:$D$2004,$B239))</f>
        <v/>
      </c>
      <c r="G239" s="17" t="str">
        <f aca="false">IF($B239="","",F239*Settings!$C$5)</f>
        <v/>
      </c>
      <c r="H239" s="19" t="str">
        <f aca="false">IF($B239="","",E239-G239)</f>
        <v/>
      </c>
      <c r="I239" s="1"/>
      <c r="J239" s="1"/>
      <c r="K239" s="1"/>
    </row>
    <row r="240" customFormat="false" ht="21.75" hidden="false" customHeight="true" outlineLevel="0" collapsed="false">
      <c r="A240" s="1"/>
      <c r="B240" s="15"/>
      <c r="C240" s="16"/>
      <c r="D240" s="15"/>
      <c r="E240" s="17" t="str">
        <f aca="false">IF($B240="","",SUMIFS(Payments!$E$5:$E$1004,Payments!$C$5:$C$1004,$B240,Payments!$G$5:$G$1004,"Yes"))</f>
        <v/>
      </c>
      <c r="F240" s="18" t="str">
        <f aca="false">IF($B240="","",COUNTIF(Entries!$D$5:$D$2004,$B240))</f>
        <v/>
      </c>
      <c r="G240" s="17" t="str">
        <f aca="false">IF($B240="","",F240*Settings!$C$5)</f>
        <v/>
      </c>
      <c r="H240" s="19" t="str">
        <f aca="false">IF($B240="","",E240-G240)</f>
        <v/>
      </c>
      <c r="I240" s="1"/>
      <c r="J240" s="1"/>
      <c r="K240" s="1"/>
    </row>
    <row r="241" customFormat="false" ht="21.75" hidden="false" customHeight="true" outlineLevel="0" collapsed="false">
      <c r="A241" s="1"/>
      <c r="B241" s="15"/>
      <c r="C241" s="16"/>
      <c r="D241" s="15"/>
      <c r="E241" s="17" t="str">
        <f aca="false">IF($B241="","",SUMIFS(Payments!$E$5:$E$1004,Payments!$C$5:$C$1004,$B241,Payments!$G$5:$G$1004,"Yes"))</f>
        <v/>
      </c>
      <c r="F241" s="18" t="str">
        <f aca="false">IF($B241="","",COUNTIF(Entries!$D$5:$D$2004,$B241))</f>
        <v/>
      </c>
      <c r="G241" s="17" t="str">
        <f aca="false">IF($B241="","",F241*Settings!$C$5)</f>
        <v/>
      </c>
      <c r="H241" s="19" t="str">
        <f aca="false">IF($B241="","",E241-G241)</f>
        <v/>
      </c>
      <c r="I241" s="1"/>
      <c r="J241" s="1"/>
      <c r="K241" s="1"/>
    </row>
    <row r="242" customFormat="false" ht="21.75" hidden="false" customHeight="true" outlineLevel="0" collapsed="false">
      <c r="A242" s="1"/>
      <c r="B242" s="15"/>
      <c r="C242" s="16"/>
      <c r="D242" s="15"/>
      <c r="E242" s="17" t="str">
        <f aca="false">IF($B242="","",SUMIFS(Payments!$E$5:$E$1004,Payments!$C$5:$C$1004,$B242,Payments!$G$5:$G$1004,"Yes"))</f>
        <v/>
      </c>
      <c r="F242" s="18" t="str">
        <f aca="false">IF($B242="","",COUNTIF(Entries!$D$5:$D$2004,$B242))</f>
        <v/>
      </c>
      <c r="G242" s="17" t="str">
        <f aca="false">IF($B242="","",F242*Settings!$C$5)</f>
        <v/>
      </c>
      <c r="H242" s="19" t="str">
        <f aca="false">IF($B242="","",E242-G242)</f>
        <v/>
      </c>
      <c r="I242" s="1"/>
      <c r="J242" s="1"/>
      <c r="K242" s="1"/>
    </row>
    <row r="243" customFormat="false" ht="21.75" hidden="false" customHeight="true" outlineLevel="0" collapsed="false">
      <c r="A243" s="1"/>
      <c r="B243" s="15"/>
      <c r="C243" s="16"/>
      <c r="D243" s="15"/>
      <c r="E243" s="17" t="str">
        <f aca="false">IF($B243="","",SUMIFS(Payments!$E$5:$E$1004,Payments!$C$5:$C$1004,$B243,Payments!$G$5:$G$1004,"Yes"))</f>
        <v/>
      </c>
      <c r="F243" s="18" t="str">
        <f aca="false">IF($B243="","",COUNTIF(Entries!$D$5:$D$2004,$B243))</f>
        <v/>
      </c>
      <c r="G243" s="17" t="str">
        <f aca="false">IF($B243="","",F243*Settings!$C$5)</f>
        <v/>
      </c>
      <c r="H243" s="19" t="str">
        <f aca="false">IF($B243="","",E243-G243)</f>
        <v/>
      </c>
      <c r="I243" s="1"/>
      <c r="J243" s="1"/>
      <c r="K243" s="1"/>
    </row>
    <row r="244" customFormat="false" ht="21.75" hidden="false" customHeight="true" outlineLevel="0" collapsed="false">
      <c r="A244" s="1"/>
      <c r="B244" s="15"/>
      <c r="C244" s="16"/>
      <c r="D244" s="15"/>
      <c r="E244" s="17" t="str">
        <f aca="false">IF($B244="","",SUMIFS(Payments!$E$5:$E$1004,Payments!$C$5:$C$1004,$B244,Payments!$G$5:$G$1004,"Yes"))</f>
        <v/>
      </c>
      <c r="F244" s="18" t="str">
        <f aca="false">IF($B244="","",COUNTIF(Entries!$D$5:$D$2004,$B244))</f>
        <v/>
      </c>
      <c r="G244" s="17" t="str">
        <f aca="false">IF($B244="","",F244*Settings!$C$5)</f>
        <v/>
      </c>
      <c r="H244" s="19" t="str">
        <f aca="false">IF($B244="","",E244-G244)</f>
        <v/>
      </c>
      <c r="I244" s="1"/>
      <c r="J244" s="1"/>
      <c r="K244" s="1"/>
    </row>
    <row r="245" customFormat="false" ht="21.75" hidden="false" customHeight="true" outlineLevel="0" collapsed="false">
      <c r="A245" s="1"/>
      <c r="B245" s="15"/>
      <c r="C245" s="16"/>
      <c r="D245" s="15"/>
      <c r="E245" s="17" t="str">
        <f aca="false">IF($B245="","",SUMIFS(Payments!$E$5:$E$1004,Payments!$C$5:$C$1004,$B245,Payments!$G$5:$G$1004,"Yes"))</f>
        <v/>
      </c>
      <c r="F245" s="18" t="str">
        <f aca="false">IF($B245="","",COUNTIF(Entries!$D$5:$D$2004,$B245))</f>
        <v/>
      </c>
      <c r="G245" s="17" t="str">
        <f aca="false">IF($B245="","",F245*Settings!$C$5)</f>
        <v/>
      </c>
      <c r="H245" s="19" t="str">
        <f aca="false">IF($B245="","",E245-G245)</f>
        <v/>
      </c>
      <c r="I245" s="1"/>
      <c r="J245" s="1"/>
      <c r="K245" s="1"/>
    </row>
    <row r="246" customFormat="false" ht="21.75" hidden="false" customHeight="true" outlineLevel="0" collapsed="false">
      <c r="A246" s="1"/>
      <c r="B246" s="15"/>
      <c r="C246" s="16"/>
      <c r="D246" s="15"/>
      <c r="E246" s="17" t="str">
        <f aca="false">IF($B246="","",SUMIFS(Payments!$E$5:$E$1004,Payments!$C$5:$C$1004,$B246,Payments!$G$5:$G$1004,"Yes"))</f>
        <v/>
      </c>
      <c r="F246" s="18" t="str">
        <f aca="false">IF($B246="","",COUNTIF(Entries!$D$5:$D$2004,$B246))</f>
        <v/>
      </c>
      <c r="G246" s="17" t="str">
        <f aca="false">IF($B246="","",F246*Settings!$C$5)</f>
        <v/>
      </c>
      <c r="H246" s="19" t="str">
        <f aca="false">IF($B246="","",E246-G246)</f>
        <v/>
      </c>
      <c r="I246" s="1"/>
      <c r="J246" s="1"/>
      <c r="K246" s="1"/>
    </row>
    <row r="247" customFormat="false" ht="21.75" hidden="false" customHeight="true" outlineLevel="0" collapsed="false">
      <c r="A247" s="1"/>
      <c r="B247" s="15"/>
      <c r="C247" s="16"/>
      <c r="D247" s="15"/>
      <c r="E247" s="17" t="str">
        <f aca="false">IF($B247="","",SUMIFS(Payments!$E$5:$E$1004,Payments!$C$5:$C$1004,$B247,Payments!$G$5:$G$1004,"Yes"))</f>
        <v/>
      </c>
      <c r="F247" s="18" t="str">
        <f aca="false">IF($B247="","",COUNTIF(Entries!$D$5:$D$2004,$B247))</f>
        <v/>
      </c>
      <c r="G247" s="17" t="str">
        <f aca="false">IF($B247="","",F247*Settings!$C$5)</f>
        <v/>
      </c>
      <c r="H247" s="19" t="str">
        <f aca="false">IF($B247="","",E247-G247)</f>
        <v/>
      </c>
      <c r="I247" s="1"/>
      <c r="J247" s="1"/>
      <c r="K247" s="1"/>
    </row>
    <row r="248" customFormat="false" ht="21.75" hidden="false" customHeight="true" outlineLevel="0" collapsed="false">
      <c r="A248" s="1"/>
      <c r="B248" s="15"/>
      <c r="C248" s="16"/>
      <c r="D248" s="15"/>
      <c r="E248" s="17" t="str">
        <f aca="false">IF($B248="","",SUMIFS(Payments!$E$5:$E$1004,Payments!$C$5:$C$1004,$B248,Payments!$G$5:$G$1004,"Yes"))</f>
        <v/>
      </c>
      <c r="F248" s="18" t="str">
        <f aca="false">IF($B248="","",COUNTIF(Entries!$D$5:$D$2004,$B248))</f>
        <v/>
      </c>
      <c r="G248" s="17" t="str">
        <f aca="false">IF($B248="","",F248*Settings!$C$5)</f>
        <v/>
      </c>
      <c r="H248" s="19" t="str">
        <f aca="false">IF($B248="","",E248-G248)</f>
        <v/>
      </c>
      <c r="I248" s="1"/>
      <c r="J248" s="1"/>
      <c r="K248" s="1"/>
    </row>
    <row r="249" customFormat="false" ht="21.75" hidden="false" customHeight="true" outlineLevel="0" collapsed="false">
      <c r="A249" s="1"/>
      <c r="B249" s="15"/>
      <c r="C249" s="16"/>
      <c r="D249" s="15"/>
      <c r="E249" s="17" t="str">
        <f aca="false">IF($B249="","",SUMIFS(Payments!$E$5:$E$1004,Payments!$C$5:$C$1004,$B249,Payments!$G$5:$G$1004,"Yes"))</f>
        <v/>
      </c>
      <c r="F249" s="18" t="str">
        <f aca="false">IF($B249="","",COUNTIF(Entries!$D$5:$D$2004,$B249))</f>
        <v/>
      </c>
      <c r="G249" s="17" t="str">
        <f aca="false">IF($B249="","",F249*Settings!$C$5)</f>
        <v/>
      </c>
      <c r="H249" s="19" t="str">
        <f aca="false">IF($B249="","",E249-G249)</f>
        <v/>
      </c>
      <c r="I249" s="1"/>
      <c r="J249" s="1"/>
      <c r="K249" s="1"/>
    </row>
    <row r="250" customFormat="false" ht="21.75" hidden="false" customHeight="true" outlineLevel="0" collapsed="false">
      <c r="A250" s="1"/>
      <c r="B250" s="15"/>
      <c r="C250" s="16"/>
      <c r="D250" s="15"/>
      <c r="E250" s="17" t="str">
        <f aca="false">IF($B250="","",SUMIFS(Payments!$E$5:$E$1004,Payments!$C$5:$C$1004,$B250,Payments!$G$5:$G$1004,"Yes"))</f>
        <v/>
      </c>
      <c r="F250" s="18" t="str">
        <f aca="false">IF($B250="","",COUNTIF(Entries!$D$5:$D$2004,$B250))</f>
        <v/>
      </c>
      <c r="G250" s="17" t="str">
        <f aca="false">IF($B250="","",F250*Settings!$C$5)</f>
        <v/>
      </c>
      <c r="H250" s="19" t="str">
        <f aca="false">IF($B250="","",E250-G250)</f>
        <v/>
      </c>
      <c r="I250" s="1"/>
      <c r="J250" s="1"/>
      <c r="K250" s="1"/>
    </row>
    <row r="251" customFormat="false" ht="21.75" hidden="false" customHeight="true" outlineLevel="0" collapsed="false">
      <c r="A251" s="1"/>
      <c r="B251" s="15"/>
      <c r="C251" s="16"/>
      <c r="D251" s="15"/>
      <c r="E251" s="17" t="str">
        <f aca="false">IF($B251="","",SUMIFS(Payments!$E$5:$E$1004,Payments!$C$5:$C$1004,$B251,Payments!$G$5:$G$1004,"Yes"))</f>
        <v/>
      </c>
      <c r="F251" s="18" t="str">
        <f aca="false">IF($B251="","",COUNTIF(Entries!$D$5:$D$2004,$B251))</f>
        <v/>
      </c>
      <c r="G251" s="17" t="str">
        <f aca="false">IF($B251="","",F251*Settings!$C$5)</f>
        <v/>
      </c>
      <c r="H251" s="19" t="str">
        <f aca="false">IF($B251="","",E251-G251)</f>
        <v/>
      </c>
      <c r="I251" s="1"/>
      <c r="J251" s="1"/>
      <c r="K251" s="1"/>
    </row>
    <row r="252" customFormat="false" ht="21.75" hidden="false" customHeight="true" outlineLevel="0" collapsed="false">
      <c r="A252" s="1"/>
      <c r="B252" s="15"/>
      <c r="C252" s="16"/>
      <c r="D252" s="15"/>
      <c r="E252" s="17" t="str">
        <f aca="false">IF($B252="","",SUMIFS(Payments!$E$5:$E$1004,Payments!$C$5:$C$1004,$B252,Payments!$G$5:$G$1004,"Yes"))</f>
        <v/>
      </c>
      <c r="F252" s="18" t="str">
        <f aca="false">IF($B252="","",COUNTIF(Entries!$D$5:$D$2004,$B252))</f>
        <v/>
      </c>
      <c r="G252" s="17" t="str">
        <f aca="false">IF($B252="","",F252*Settings!$C$5)</f>
        <v/>
      </c>
      <c r="H252" s="19" t="str">
        <f aca="false">IF($B252="","",E252-G252)</f>
        <v/>
      </c>
      <c r="I252" s="1"/>
      <c r="J252" s="1"/>
      <c r="K252" s="1"/>
    </row>
    <row r="253" customFormat="false" ht="21.75" hidden="false" customHeight="true" outlineLevel="0" collapsed="false">
      <c r="A253" s="1"/>
      <c r="B253" s="15"/>
      <c r="C253" s="16"/>
      <c r="D253" s="15"/>
      <c r="E253" s="17" t="str">
        <f aca="false">IF($B253="","",SUMIFS(Payments!$E$5:$E$1004,Payments!$C$5:$C$1004,$B253,Payments!$G$5:$G$1004,"Yes"))</f>
        <v/>
      </c>
      <c r="F253" s="18" t="str">
        <f aca="false">IF($B253="","",COUNTIF(Entries!$D$5:$D$2004,$B253))</f>
        <v/>
      </c>
      <c r="G253" s="17" t="str">
        <f aca="false">IF($B253="","",F253*Settings!$C$5)</f>
        <v/>
      </c>
      <c r="H253" s="19" t="str">
        <f aca="false">IF($B253="","",E253-G253)</f>
        <v/>
      </c>
      <c r="I253" s="1"/>
      <c r="J253" s="1"/>
      <c r="K253" s="1"/>
    </row>
    <row r="254" customFormat="false" ht="21.75" hidden="false" customHeight="true" outlineLevel="0" collapsed="false">
      <c r="A254" s="1"/>
      <c r="B254" s="15"/>
      <c r="C254" s="16"/>
      <c r="D254" s="15"/>
      <c r="E254" s="17" t="str">
        <f aca="false">IF($B254="","",SUMIFS(Payments!$E$5:$E$1004,Payments!$C$5:$C$1004,$B254,Payments!$G$5:$G$1004,"Yes"))</f>
        <v/>
      </c>
      <c r="F254" s="18" t="str">
        <f aca="false">IF($B254="","",COUNTIF(Entries!$D$5:$D$2004,$B254))</f>
        <v/>
      </c>
      <c r="G254" s="17" t="str">
        <f aca="false">IF($B254="","",F254*Settings!$C$5)</f>
        <v/>
      </c>
      <c r="H254" s="19" t="str">
        <f aca="false">IF($B254="","",E254-G254)</f>
        <v/>
      </c>
      <c r="I254" s="1"/>
      <c r="J254" s="1"/>
      <c r="K254" s="1"/>
    </row>
    <row r="255" customFormat="false" ht="21.75" hidden="false" customHeight="true" outlineLevel="0" collapsed="false">
      <c r="A255" s="1"/>
      <c r="B255" s="15"/>
      <c r="C255" s="16"/>
      <c r="D255" s="15"/>
      <c r="E255" s="17" t="str">
        <f aca="false">IF($B255="","",SUMIFS(Payments!$E$5:$E$1004,Payments!$C$5:$C$1004,$B255,Payments!$G$5:$G$1004,"Yes"))</f>
        <v/>
      </c>
      <c r="F255" s="18" t="str">
        <f aca="false">IF($B255="","",COUNTIF(Entries!$D$5:$D$2004,$B255))</f>
        <v/>
      </c>
      <c r="G255" s="17" t="str">
        <f aca="false">IF($B255="","",F255*Settings!$C$5)</f>
        <v/>
      </c>
      <c r="H255" s="19" t="str">
        <f aca="false">IF($B255="","",E255-G255)</f>
        <v/>
      </c>
      <c r="I255" s="1"/>
      <c r="J255" s="1"/>
      <c r="K255" s="1"/>
    </row>
    <row r="256" customFormat="false" ht="21.75" hidden="false" customHeight="true" outlineLevel="0" collapsed="false">
      <c r="A256" s="1"/>
      <c r="B256" s="15"/>
      <c r="C256" s="16"/>
      <c r="D256" s="15"/>
      <c r="E256" s="17" t="str">
        <f aca="false">IF($B256="","",SUMIFS(Payments!$E$5:$E$1004,Payments!$C$5:$C$1004,$B256,Payments!$G$5:$G$1004,"Yes"))</f>
        <v/>
      </c>
      <c r="F256" s="18" t="str">
        <f aca="false">IF($B256="","",COUNTIF(Entries!$D$5:$D$2004,$B256))</f>
        <v/>
      </c>
      <c r="G256" s="17" t="str">
        <f aca="false">IF($B256="","",F256*Settings!$C$5)</f>
        <v/>
      </c>
      <c r="H256" s="19" t="str">
        <f aca="false">IF($B256="","",E256-G256)</f>
        <v/>
      </c>
      <c r="I256" s="1"/>
      <c r="J256" s="1"/>
      <c r="K256" s="1"/>
    </row>
    <row r="257" customFormat="false" ht="21.75" hidden="false" customHeight="true" outlineLevel="0" collapsed="false">
      <c r="A257" s="1"/>
      <c r="B257" s="15"/>
      <c r="C257" s="16"/>
      <c r="D257" s="15"/>
      <c r="E257" s="17" t="str">
        <f aca="false">IF($B257="","",SUMIFS(Payments!$E$5:$E$1004,Payments!$C$5:$C$1004,$B257,Payments!$G$5:$G$1004,"Yes"))</f>
        <v/>
      </c>
      <c r="F257" s="18" t="str">
        <f aca="false">IF($B257="","",COUNTIF(Entries!$D$5:$D$2004,$B257))</f>
        <v/>
      </c>
      <c r="G257" s="17" t="str">
        <f aca="false">IF($B257="","",F257*Settings!$C$5)</f>
        <v/>
      </c>
      <c r="H257" s="19" t="str">
        <f aca="false">IF($B257="","",E257-G257)</f>
        <v/>
      </c>
      <c r="I257" s="1"/>
      <c r="J257" s="1"/>
      <c r="K257" s="1"/>
    </row>
    <row r="258" customFormat="false" ht="21.75" hidden="false" customHeight="true" outlineLevel="0" collapsed="false">
      <c r="A258" s="1"/>
      <c r="B258" s="15"/>
      <c r="C258" s="16"/>
      <c r="D258" s="15"/>
      <c r="E258" s="17" t="str">
        <f aca="false">IF($B258="","",SUMIFS(Payments!$E$5:$E$1004,Payments!$C$5:$C$1004,$B258,Payments!$G$5:$G$1004,"Yes"))</f>
        <v/>
      </c>
      <c r="F258" s="18" t="str">
        <f aca="false">IF($B258="","",COUNTIF(Entries!$D$5:$D$2004,$B258))</f>
        <v/>
      </c>
      <c r="G258" s="17" t="str">
        <f aca="false">IF($B258="","",F258*Settings!$C$5)</f>
        <v/>
      </c>
      <c r="H258" s="19" t="str">
        <f aca="false">IF($B258="","",E258-G258)</f>
        <v/>
      </c>
      <c r="I258" s="1"/>
      <c r="J258" s="1"/>
      <c r="K258" s="1"/>
    </row>
    <row r="259" customFormat="false" ht="21.75" hidden="false" customHeight="true" outlineLevel="0" collapsed="false">
      <c r="A259" s="1"/>
      <c r="B259" s="15"/>
      <c r="C259" s="16"/>
      <c r="D259" s="15"/>
      <c r="E259" s="17" t="str">
        <f aca="false">IF($B259="","",SUMIFS(Payments!$E$5:$E$1004,Payments!$C$5:$C$1004,$B259,Payments!$G$5:$G$1004,"Yes"))</f>
        <v/>
      </c>
      <c r="F259" s="18" t="str">
        <f aca="false">IF($B259="","",COUNTIF(Entries!$D$5:$D$2004,$B259))</f>
        <v/>
      </c>
      <c r="G259" s="17" t="str">
        <f aca="false">IF($B259="","",F259*Settings!$C$5)</f>
        <v/>
      </c>
      <c r="H259" s="19" t="str">
        <f aca="false">IF($B259="","",E259-G259)</f>
        <v/>
      </c>
      <c r="I259" s="1"/>
      <c r="J259" s="1"/>
      <c r="K259" s="1"/>
    </row>
    <row r="260" customFormat="false" ht="21.75" hidden="false" customHeight="true" outlineLevel="0" collapsed="false">
      <c r="A260" s="1"/>
      <c r="B260" s="15"/>
      <c r="C260" s="16"/>
      <c r="D260" s="15"/>
      <c r="E260" s="17" t="str">
        <f aca="false">IF($B260="","",SUMIFS(Payments!$E$5:$E$1004,Payments!$C$5:$C$1004,$B260,Payments!$G$5:$G$1004,"Yes"))</f>
        <v/>
      </c>
      <c r="F260" s="18" t="str">
        <f aca="false">IF($B260="","",COUNTIF(Entries!$D$5:$D$2004,$B260))</f>
        <v/>
      </c>
      <c r="G260" s="17" t="str">
        <f aca="false">IF($B260="","",F260*Settings!$C$5)</f>
        <v/>
      </c>
      <c r="H260" s="19" t="str">
        <f aca="false">IF($B260="","",E260-G260)</f>
        <v/>
      </c>
      <c r="I260" s="1"/>
      <c r="J260" s="1"/>
      <c r="K260" s="1"/>
    </row>
    <row r="261" customFormat="false" ht="21.75" hidden="false" customHeight="true" outlineLevel="0" collapsed="false">
      <c r="A261" s="1"/>
      <c r="B261" s="15"/>
      <c r="C261" s="16"/>
      <c r="D261" s="15"/>
      <c r="E261" s="17" t="str">
        <f aca="false">IF($B261="","",SUMIFS(Payments!$E$5:$E$1004,Payments!$C$5:$C$1004,$B261,Payments!$G$5:$G$1004,"Yes"))</f>
        <v/>
      </c>
      <c r="F261" s="18" t="str">
        <f aca="false">IF($B261="","",COUNTIF(Entries!$D$5:$D$2004,$B261))</f>
        <v/>
      </c>
      <c r="G261" s="17" t="str">
        <f aca="false">IF($B261="","",F261*Settings!$C$5)</f>
        <v/>
      </c>
      <c r="H261" s="19" t="str">
        <f aca="false">IF($B261="","",E261-G261)</f>
        <v/>
      </c>
      <c r="I261" s="1"/>
      <c r="J261" s="1"/>
      <c r="K261" s="1"/>
    </row>
    <row r="262" customFormat="false" ht="21.75" hidden="false" customHeight="true" outlineLevel="0" collapsed="false">
      <c r="A262" s="1"/>
      <c r="B262" s="15"/>
      <c r="C262" s="16"/>
      <c r="D262" s="15"/>
      <c r="E262" s="17" t="str">
        <f aca="false">IF($B262="","",SUMIFS(Payments!$E$5:$E$1004,Payments!$C$5:$C$1004,$B262,Payments!$G$5:$G$1004,"Yes"))</f>
        <v/>
      </c>
      <c r="F262" s="18" t="str">
        <f aca="false">IF($B262="","",COUNTIF(Entries!$D$5:$D$2004,$B262))</f>
        <v/>
      </c>
      <c r="G262" s="17" t="str">
        <f aca="false">IF($B262="","",F262*Settings!$C$5)</f>
        <v/>
      </c>
      <c r="H262" s="19" t="str">
        <f aca="false">IF($B262="","",E262-G262)</f>
        <v/>
      </c>
      <c r="I262" s="1"/>
      <c r="J262" s="1"/>
      <c r="K262" s="1"/>
    </row>
    <row r="263" customFormat="false" ht="21.75" hidden="false" customHeight="true" outlineLevel="0" collapsed="false">
      <c r="A263" s="1"/>
      <c r="B263" s="15"/>
      <c r="C263" s="16"/>
      <c r="D263" s="15"/>
      <c r="E263" s="17" t="str">
        <f aca="false">IF($B263="","",SUMIFS(Payments!$E$5:$E$1004,Payments!$C$5:$C$1004,$B263,Payments!$G$5:$G$1004,"Yes"))</f>
        <v/>
      </c>
      <c r="F263" s="18" t="str">
        <f aca="false">IF($B263="","",COUNTIF(Entries!$D$5:$D$2004,$B263))</f>
        <v/>
      </c>
      <c r="G263" s="17" t="str">
        <f aca="false">IF($B263="","",F263*Settings!$C$5)</f>
        <v/>
      </c>
      <c r="H263" s="19" t="str">
        <f aca="false">IF($B263="","",E263-G263)</f>
        <v/>
      </c>
      <c r="I263" s="1"/>
      <c r="J263" s="1"/>
      <c r="K263" s="1"/>
    </row>
    <row r="264" customFormat="false" ht="21.75" hidden="false" customHeight="true" outlineLevel="0" collapsed="false">
      <c r="A264" s="1"/>
      <c r="B264" s="15"/>
      <c r="C264" s="16"/>
      <c r="D264" s="15"/>
      <c r="E264" s="17" t="str">
        <f aca="false">IF($B264="","",SUMIFS(Payments!$E$5:$E$1004,Payments!$C$5:$C$1004,$B264,Payments!$G$5:$G$1004,"Yes"))</f>
        <v/>
      </c>
      <c r="F264" s="18" t="str">
        <f aca="false">IF($B264="","",COUNTIF(Entries!$D$5:$D$2004,$B264))</f>
        <v/>
      </c>
      <c r="G264" s="17" t="str">
        <f aca="false">IF($B264="","",F264*Settings!$C$5)</f>
        <v/>
      </c>
      <c r="H264" s="19" t="str">
        <f aca="false">IF($B264="","",E264-G264)</f>
        <v/>
      </c>
      <c r="I264" s="1"/>
      <c r="J264" s="1"/>
      <c r="K264" s="1"/>
    </row>
    <row r="265" customFormat="false" ht="21.75" hidden="false" customHeight="true" outlineLevel="0" collapsed="false">
      <c r="A265" s="1"/>
      <c r="B265" s="15"/>
      <c r="C265" s="16"/>
      <c r="D265" s="15"/>
      <c r="E265" s="17" t="str">
        <f aca="false">IF($B265="","",SUMIFS(Payments!$E$5:$E$1004,Payments!$C$5:$C$1004,$B265,Payments!$G$5:$G$1004,"Yes"))</f>
        <v/>
      </c>
      <c r="F265" s="18" t="str">
        <f aca="false">IF($B265="","",COUNTIF(Entries!$D$5:$D$2004,$B265))</f>
        <v/>
      </c>
      <c r="G265" s="17" t="str">
        <f aca="false">IF($B265="","",F265*Settings!$C$5)</f>
        <v/>
      </c>
      <c r="H265" s="19" t="str">
        <f aca="false">IF($B265="","",E265-G265)</f>
        <v/>
      </c>
      <c r="I265" s="1"/>
      <c r="J265" s="1"/>
      <c r="K265" s="1"/>
    </row>
    <row r="266" customFormat="false" ht="21.75" hidden="false" customHeight="true" outlineLevel="0" collapsed="false">
      <c r="A266" s="1"/>
      <c r="B266" s="15"/>
      <c r="C266" s="16"/>
      <c r="D266" s="15"/>
      <c r="E266" s="17" t="str">
        <f aca="false">IF($B266="","",SUMIFS(Payments!$E$5:$E$1004,Payments!$C$5:$C$1004,$B266,Payments!$G$5:$G$1004,"Yes"))</f>
        <v/>
      </c>
      <c r="F266" s="18" t="str">
        <f aca="false">IF($B266="","",COUNTIF(Entries!$D$5:$D$2004,$B266))</f>
        <v/>
      </c>
      <c r="G266" s="17" t="str">
        <f aca="false">IF($B266="","",F266*Settings!$C$5)</f>
        <v/>
      </c>
      <c r="H266" s="19" t="str">
        <f aca="false">IF($B266="","",E266-G266)</f>
        <v/>
      </c>
      <c r="I266" s="1"/>
      <c r="J266" s="1"/>
      <c r="K266" s="1"/>
    </row>
    <row r="267" customFormat="false" ht="21.75" hidden="false" customHeight="true" outlineLevel="0" collapsed="false">
      <c r="A267" s="1"/>
      <c r="B267" s="15"/>
      <c r="C267" s="16"/>
      <c r="D267" s="15"/>
      <c r="E267" s="17" t="str">
        <f aca="false">IF($B267="","",SUMIFS(Payments!$E$5:$E$1004,Payments!$C$5:$C$1004,$B267,Payments!$G$5:$G$1004,"Yes"))</f>
        <v/>
      </c>
      <c r="F267" s="18" t="str">
        <f aca="false">IF($B267="","",COUNTIF(Entries!$D$5:$D$2004,$B267))</f>
        <v/>
      </c>
      <c r="G267" s="17" t="str">
        <f aca="false">IF($B267="","",F267*Settings!$C$5)</f>
        <v/>
      </c>
      <c r="H267" s="19" t="str">
        <f aca="false">IF($B267="","",E267-G267)</f>
        <v/>
      </c>
      <c r="I267" s="1"/>
      <c r="J267" s="1"/>
      <c r="K267" s="1"/>
    </row>
    <row r="268" customFormat="false" ht="21.75" hidden="false" customHeight="true" outlineLevel="0" collapsed="false">
      <c r="A268" s="1"/>
      <c r="B268" s="15"/>
      <c r="C268" s="16"/>
      <c r="D268" s="15"/>
      <c r="E268" s="17" t="str">
        <f aca="false">IF($B268="","",SUMIFS(Payments!$E$5:$E$1004,Payments!$C$5:$C$1004,$B268,Payments!$G$5:$G$1004,"Yes"))</f>
        <v/>
      </c>
      <c r="F268" s="18" t="str">
        <f aca="false">IF($B268="","",COUNTIF(Entries!$D$5:$D$2004,$B268))</f>
        <v/>
      </c>
      <c r="G268" s="17" t="str">
        <f aca="false">IF($B268="","",F268*Settings!$C$5)</f>
        <v/>
      </c>
      <c r="H268" s="19" t="str">
        <f aca="false">IF($B268="","",E268-G268)</f>
        <v/>
      </c>
      <c r="I268" s="1"/>
      <c r="J268" s="1"/>
      <c r="K268" s="1"/>
    </row>
    <row r="269" customFormat="false" ht="21.75" hidden="false" customHeight="true" outlineLevel="0" collapsed="false">
      <c r="A269" s="1"/>
      <c r="B269" s="15"/>
      <c r="C269" s="16"/>
      <c r="D269" s="15"/>
      <c r="E269" s="17" t="str">
        <f aca="false">IF($B269="","",SUMIFS(Payments!$E$5:$E$1004,Payments!$C$5:$C$1004,$B269,Payments!$G$5:$G$1004,"Yes"))</f>
        <v/>
      </c>
      <c r="F269" s="18" t="str">
        <f aca="false">IF($B269="","",COUNTIF(Entries!$D$5:$D$2004,$B269))</f>
        <v/>
      </c>
      <c r="G269" s="17" t="str">
        <f aca="false">IF($B269="","",F269*Settings!$C$5)</f>
        <v/>
      </c>
      <c r="H269" s="19" t="str">
        <f aca="false">IF($B269="","",E269-G269)</f>
        <v/>
      </c>
      <c r="I269" s="1"/>
      <c r="J269" s="1"/>
      <c r="K269" s="1"/>
    </row>
    <row r="270" customFormat="false" ht="21.75" hidden="false" customHeight="true" outlineLevel="0" collapsed="false">
      <c r="A270" s="1"/>
      <c r="B270" s="15"/>
      <c r="C270" s="16"/>
      <c r="D270" s="15"/>
      <c r="E270" s="17" t="str">
        <f aca="false">IF($B270="","",SUMIFS(Payments!$E$5:$E$1004,Payments!$C$5:$C$1004,$B270,Payments!$G$5:$G$1004,"Yes"))</f>
        <v/>
      </c>
      <c r="F270" s="18" t="str">
        <f aca="false">IF($B270="","",COUNTIF(Entries!$D$5:$D$2004,$B270))</f>
        <v/>
      </c>
      <c r="G270" s="17" t="str">
        <f aca="false">IF($B270="","",F270*Settings!$C$5)</f>
        <v/>
      </c>
      <c r="H270" s="19" t="str">
        <f aca="false">IF($B270="","",E270-G270)</f>
        <v/>
      </c>
      <c r="I270" s="1"/>
      <c r="J270" s="1"/>
      <c r="K270" s="1"/>
    </row>
    <row r="271" customFormat="false" ht="21.75" hidden="false" customHeight="true" outlineLevel="0" collapsed="false">
      <c r="A271" s="1"/>
      <c r="B271" s="15"/>
      <c r="C271" s="16"/>
      <c r="D271" s="15"/>
      <c r="E271" s="17" t="str">
        <f aca="false">IF($B271="","",SUMIFS(Payments!$E$5:$E$1004,Payments!$C$5:$C$1004,$B271,Payments!$G$5:$G$1004,"Yes"))</f>
        <v/>
      </c>
      <c r="F271" s="18" t="str">
        <f aca="false">IF($B271="","",COUNTIF(Entries!$D$5:$D$2004,$B271))</f>
        <v/>
      </c>
      <c r="G271" s="17" t="str">
        <f aca="false">IF($B271="","",F271*Settings!$C$5)</f>
        <v/>
      </c>
      <c r="H271" s="19" t="str">
        <f aca="false">IF($B271="","",E271-G271)</f>
        <v/>
      </c>
      <c r="I271" s="1"/>
      <c r="J271" s="1"/>
      <c r="K271" s="1"/>
    </row>
    <row r="272" customFormat="false" ht="21.75" hidden="false" customHeight="true" outlineLevel="0" collapsed="false">
      <c r="A272" s="1"/>
      <c r="B272" s="15"/>
      <c r="C272" s="16"/>
      <c r="D272" s="15"/>
      <c r="E272" s="17" t="str">
        <f aca="false">IF($B272="","",SUMIFS(Payments!$E$5:$E$1004,Payments!$C$5:$C$1004,$B272,Payments!$G$5:$G$1004,"Yes"))</f>
        <v/>
      </c>
      <c r="F272" s="18" t="str">
        <f aca="false">IF($B272="","",COUNTIF(Entries!$D$5:$D$2004,$B272))</f>
        <v/>
      </c>
      <c r="G272" s="17" t="str">
        <f aca="false">IF($B272="","",F272*Settings!$C$5)</f>
        <v/>
      </c>
      <c r="H272" s="19" t="str">
        <f aca="false">IF($B272="","",E272-G272)</f>
        <v/>
      </c>
      <c r="I272" s="1"/>
      <c r="J272" s="1"/>
      <c r="K272" s="1"/>
    </row>
    <row r="273" customFormat="false" ht="21.75" hidden="false" customHeight="true" outlineLevel="0" collapsed="false">
      <c r="A273" s="1"/>
      <c r="B273" s="15"/>
      <c r="C273" s="16"/>
      <c r="D273" s="15"/>
      <c r="E273" s="17" t="str">
        <f aca="false">IF($B273="","",SUMIFS(Payments!$E$5:$E$1004,Payments!$C$5:$C$1004,$B273,Payments!$G$5:$G$1004,"Yes"))</f>
        <v/>
      </c>
      <c r="F273" s="18" t="str">
        <f aca="false">IF($B273="","",COUNTIF(Entries!$D$5:$D$2004,$B273))</f>
        <v/>
      </c>
      <c r="G273" s="17" t="str">
        <f aca="false">IF($B273="","",F273*Settings!$C$5)</f>
        <v/>
      </c>
      <c r="H273" s="19" t="str">
        <f aca="false">IF($B273="","",E273-G273)</f>
        <v/>
      </c>
      <c r="I273" s="1"/>
      <c r="J273" s="1"/>
      <c r="K273" s="1"/>
    </row>
    <row r="274" customFormat="false" ht="21.75" hidden="false" customHeight="true" outlineLevel="0" collapsed="false">
      <c r="A274" s="1"/>
      <c r="B274" s="15"/>
      <c r="C274" s="16"/>
      <c r="D274" s="15"/>
      <c r="E274" s="17" t="str">
        <f aca="false">IF($B274="","",SUMIFS(Payments!$E$5:$E$1004,Payments!$C$5:$C$1004,$B274,Payments!$G$5:$G$1004,"Yes"))</f>
        <v/>
      </c>
      <c r="F274" s="18" t="str">
        <f aca="false">IF($B274="","",COUNTIF(Entries!$D$5:$D$2004,$B274))</f>
        <v/>
      </c>
      <c r="G274" s="17" t="str">
        <f aca="false">IF($B274="","",F274*Settings!$C$5)</f>
        <v/>
      </c>
      <c r="H274" s="19" t="str">
        <f aca="false">IF($B274="","",E274-G274)</f>
        <v/>
      </c>
      <c r="I274" s="1"/>
      <c r="J274" s="1"/>
      <c r="K274" s="1"/>
    </row>
    <row r="275" customFormat="false" ht="21.75" hidden="false" customHeight="true" outlineLevel="0" collapsed="false">
      <c r="A275" s="1"/>
      <c r="B275" s="15"/>
      <c r="C275" s="16"/>
      <c r="D275" s="15"/>
      <c r="E275" s="17" t="str">
        <f aca="false">IF($B275="","",SUMIFS(Payments!$E$5:$E$1004,Payments!$C$5:$C$1004,$B275,Payments!$G$5:$G$1004,"Yes"))</f>
        <v/>
      </c>
      <c r="F275" s="18" t="str">
        <f aca="false">IF($B275="","",COUNTIF(Entries!$D$5:$D$2004,$B275))</f>
        <v/>
      </c>
      <c r="G275" s="17" t="str">
        <f aca="false">IF($B275="","",F275*Settings!$C$5)</f>
        <v/>
      </c>
      <c r="H275" s="19" t="str">
        <f aca="false">IF($B275="","",E275-G275)</f>
        <v/>
      </c>
      <c r="I275" s="1"/>
      <c r="J275" s="1"/>
      <c r="K275" s="1"/>
    </row>
    <row r="276" customFormat="false" ht="21.75" hidden="false" customHeight="true" outlineLevel="0" collapsed="false">
      <c r="A276" s="1"/>
      <c r="B276" s="15"/>
      <c r="C276" s="16"/>
      <c r="D276" s="15"/>
      <c r="E276" s="17" t="str">
        <f aca="false">IF($B276="","",SUMIFS(Payments!$E$5:$E$1004,Payments!$C$5:$C$1004,$B276,Payments!$G$5:$G$1004,"Yes"))</f>
        <v/>
      </c>
      <c r="F276" s="18" t="str">
        <f aca="false">IF($B276="","",COUNTIF(Entries!$D$5:$D$2004,$B276))</f>
        <v/>
      </c>
      <c r="G276" s="17" t="str">
        <f aca="false">IF($B276="","",F276*Settings!$C$5)</f>
        <v/>
      </c>
      <c r="H276" s="19" t="str">
        <f aca="false">IF($B276="","",E276-G276)</f>
        <v/>
      </c>
      <c r="I276" s="1"/>
      <c r="J276" s="1"/>
      <c r="K276" s="1"/>
    </row>
    <row r="277" customFormat="false" ht="21.75" hidden="false" customHeight="true" outlineLevel="0" collapsed="false">
      <c r="A277" s="1"/>
      <c r="B277" s="15"/>
      <c r="C277" s="16"/>
      <c r="D277" s="15"/>
      <c r="E277" s="17" t="str">
        <f aca="false">IF($B277="","",SUMIFS(Payments!$E$5:$E$1004,Payments!$C$5:$C$1004,$B277,Payments!$G$5:$G$1004,"Yes"))</f>
        <v/>
      </c>
      <c r="F277" s="18" t="str">
        <f aca="false">IF($B277="","",COUNTIF(Entries!$D$5:$D$2004,$B277))</f>
        <v/>
      </c>
      <c r="G277" s="17" t="str">
        <f aca="false">IF($B277="","",F277*Settings!$C$5)</f>
        <v/>
      </c>
      <c r="H277" s="19" t="str">
        <f aca="false">IF($B277="","",E277-G277)</f>
        <v/>
      </c>
      <c r="I277" s="1"/>
      <c r="J277" s="1"/>
      <c r="K277" s="1"/>
    </row>
    <row r="278" customFormat="false" ht="21.75" hidden="false" customHeight="true" outlineLevel="0" collapsed="false">
      <c r="A278" s="1"/>
      <c r="B278" s="15"/>
      <c r="C278" s="16"/>
      <c r="D278" s="15"/>
      <c r="E278" s="17" t="str">
        <f aca="false">IF($B278="","",SUMIFS(Payments!$E$5:$E$1004,Payments!$C$5:$C$1004,$B278,Payments!$G$5:$G$1004,"Yes"))</f>
        <v/>
      </c>
      <c r="F278" s="18" t="str">
        <f aca="false">IF($B278="","",COUNTIF(Entries!$D$5:$D$2004,$B278))</f>
        <v/>
      </c>
      <c r="G278" s="17" t="str">
        <f aca="false">IF($B278="","",F278*Settings!$C$5)</f>
        <v/>
      </c>
      <c r="H278" s="19" t="str">
        <f aca="false">IF($B278="","",E278-G278)</f>
        <v/>
      </c>
      <c r="I278" s="1"/>
      <c r="J278" s="1"/>
      <c r="K278" s="1"/>
    </row>
    <row r="279" customFormat="false" ht="21.75" hidden="false" customHeight="true" outlineLevel="0" collapsed="false">
      <c r="A279" s="1"/>
      <c r="B279" s="15"/>
      <c r="C279" s="16"/>
      <c r="D279" s="15"/>
      <c r="E279" s="17" t="str">
        <f aca="false">IF($B279="","",SUMIFS(Payments!$E$5:$E$1004,Payments!$C$5:$C$1004,$B279,Payments!$G$5:$G$1004,"Yes"))</f>
        <v/>
      </c>
      <c r="F279" s="18" t="str">
        <f aca="false">IF($B279="","",COUNTIF(Entries!$D$5:$D$2004,$B279))</f>
        <v/>
      </c>
      <c r="G279" s="17" t="str">
        <f aca="false">IF($B279="","",F279*Settings!$C$5)</f>
        <v/>
      </c>
      <c r="H279" s="19" t="str">
        <f aca="false">IF($B279="","",E279-G279)</f>
        <v/>
      </c>
      <c r="I279" s="1"/>
      <c r="J279" s="1"/>
      <c r="K279" s="1"/>
    </row>
    <row r="280" customFormat="false" ht="21.75" hidden="false" customHeight="true" outlineLevel="0" collapsed="false">
      <c r="A280" s="1"/>
      <c r="B280" s="15"/>
      <c r="C280" s="16"/>
      <c r="D280" s="15"/>
      <c r="E280" s="17" t="str">
        <f aca="false">IF($B280="","",SUMIFS(Payments!$E$5:$E$1004,Payments!$C$5:$C$1004,$B280,Payments!$G$5:$G$1004,"Yes"))</f>
        <v/>
      </c>
      <c r="F280" s="18" t="str">
        <f aca="false">IF($B280="","",COUNTIF(Entries!$D$5:$D$2004,$B280))</f>
        <v/>
      </c>
      <c r="G280" s="17" t="str">
        <f aca="false">IF($B280="","",F280*Settings!$C$5)</f>
        <v/>
      </c>
      <c r="H280" s="19" t="str">
        <f aca="false">IF($B280="","",E280-G280)</f>
        <v/>
      </c>
      <c r="I280" s="1"/>
      <c r="J280" s="1"/>
      <c r="K280" s="1"/>
    </row>
    <row r="281" customFormat="false" ht="21.75" hidden="false" customHeight="true" outlineLevel="0" collapsed="false">
      <c r="A281" s="1"/>
      <c r="B281" s="15"/>
      <c r="C281" s="16"/>
      <c r="D281" s="15"/>
      <c r="E281" s="17" t="str">
        <f aca="false">IF($B281="","",SUMIFS(Payments!$E$5:$E$1004,Payments!$C$5:$C$1004,$B281,Payments!$G$5:$G$1004,"Yes"))</f>
        <v/>
      </c>
      <c r="F281" s="18" t="str">
        <f aca="false">IF($B281="","",COUNTIF(Entries!$D$5:$D$2004,$B281))</f>
        <v/>
      </c>
      <c r="G281" s="17" t="str">
        <f aca="false">IF($B281="","",F281*Settings!$C$5)</f>
        <v/>
      </c>
      <c r="H281" s="19" t="str">
        <f aca="false">IF($B281="","",E281-G281)</f>
        <v/>
      </c>
      <c r="I281" s="1"/>
      <c r="J281" s="1"/>
      <c r="K281" s="1"/>
    </row>
    <row r="282" customFormat="false" ht="21.75" hidden="false" customHeight="true" outlineLevel="0" collapsed="false">
      <c r="A282" s="1"/>
      <c r="B282" s="15"/>
      <c r="C282" s="16"/>
      <c r="D282" s="15"/>
      <c r="E282" s="17" t="str">
        <f aca="false">IF($B282="","",SUMIFS(Payments!$E$5:$E$1004,Payments!$C$5:$C$1004,$B282,Payments!$G$5:$G$1004,"Yes"))</f>
        <v/>
      </c>
      <c r="F282" s="18" t="str">
        <f aca="false">IF($B282="","",COUNTIF(Entries!$D$5:$D$2004,$B282))</f>
        <v/>
      </c>
      <c r="G282" s="17" t="str">
        <f aca="false">IF($B282="","",F282*Settings!$C$5)</f>
        <v/>
      </c>
      <c r="H282" s="19" t="str">
        <f aca="false">IF($B282="","",E282-G282)</f>
        <v/>
      </c>
      <c r="I282" s="1"/>
      <c r="J282" s="1"/>
      <c r="K282" s="1"/>
    </row>
    <row r="283" customFormat="false" ht="21.75" hidden="false" customHeight="true" outlineLevel="0" collapsed="false">
      <c r="A283" s="1"/>
      <c r="B283" s="15"/>
      <c r="C283" s="16"/>
      <c r="D283" s="15"/>
      <c r="E283" s="17" t="str">
        <f aca="false">IF($B283="","",SUMIFS(Payments!$E$5:$E$1004,Payments!$C$5:$C$1004,$B283,Payments!$G$5:$G$1004,"Yes"))</f>
        <v/>
      </c>
      <c r="F283" s="18" t="str">
        <f aca="false">IF($B283="","",COUNTIF(Entries!$D$5:$D$2004,$B283))</f>
        <v/>
      </c>
      <c r="G283" s="17" t="str">
        <f aca="false">IF($B283="","",F283*Settings!$C$5)</f>
        <v/>
      </c>
      <c r="H283" s="19" t="str">
        <f aca="false">IF($B283="","",E283-G283)</f>
        <v/>
      </c>
      <c r="I283" s="1"/>
      <c r="J283" s="1"/>
      <c r="K283" s="1"/>
    </row>
    <row r="284" customFormat="false" ht="21.75" hidden="false" customHeight="true" outlineLevel="0" collapsed="false">
      <c r="A284" s="1"/>
      <c r="B284" s="15"/>
      <c r="C284" s="16"/>
      <c r="D284" s="15"/>
      <c r="E284" s="17" t="str">
        <f aca="false">IF($B284="","",SUMIFS(Payments!$E$5:$E$1004,Payments!$C$5:$C$1004,$B284,Payments!$G$5:$G$1004,"Yes"))</f>
        <v/>
      </c>
      <c r="F284" s="18" t="str">
        <f aca="false">IF($B284="","",COUNTIF(Entries!$D$5:$D$2004,$B284))</f>
        <v/>
      </c>
      <c r="G284" s="17" t="str">
        <f aca="false">IF($B284="","",F284*Settings!$C$5)</f>
        <v/>
      </c>
      <c r="H284" s="19" t="str">
        <f aca="false">IF($B284="","",E284-G284)</f>
        <v/>
      </c>
      <c r="I284" s="1"/>
      <c r="J284" s="1"/>
      <c r="K284" s="1"/>
    </row>
    <row r="285" customFormat="false" ht="21.75" hidden="false" customHeight="true" outlineLevel="0" collapsed="false">
      <c r="A285" s="1"/>
      <c r="B285" s="15"/>
      <c r="C285" s="16"/>
      <c r="D285" s="15"/>
      <c r="E285" s="17" t="str">
        <f aca="false">IF($B285="","",SUMIFS(Payments!$E$5:$E$1004,Payments!$C$5:$C$1004,$B285,Payments!$G$5:$G$1004,"Yes"))</f>
        <v/>
      </c>
      <c r="F285" s="18" t="str">
        <f aca="false">IF($B285="","",COUNTIF(Entries!$D$5:$D$2004,$B285))</f>
        <v/>
      </c>
      <c r="G285" s="17" t="str">
        <f aca="false">IF($B285="","",F285*Settings!$C$5)</f>
        <v/>
      </c>
      <c r="H285" s="19" t="str">
        <f aca="false">IF($B285="","",E285-G285)</f>
        <v/>
      </c>
      <c r="I285" s="1"/>
      <c r="J285" s="1"/>
      <c r="K285" s="1"/>
    </row>
    <row r="286" customFormat="false" ht="21.75" hidden="false" customHeight="true" outlineLevel="0" collapsed="false">
      <c r="A286" s="1"/>
      <c r="B286" s="15"/>
      <c r="C286" s="16"/>
      <c r="D286" s="15"/>
      <c r="E286" s="17" t="str">
        <f aca="false">IF($B286="","",SUMIFS(Payments!$E$5:$E$1004,Payments!$C$5:$C$1004,$B286,Payments!$G$5:$G$1004,"Yes"))</f>
        <v/>
      </c>
      <c r="F286" s="18" t="str">
        <f aca="false">IF($B286="","",COUNTIF(Entries!$D$5:$D$2004,$B286))</f>
        <v/>
      </c>
      <c r="G286" s="17" t="str">
        <f aca="false">IF($B286="","",F286*Settings!$C$5)</f>
        <v/>
      </c>
      <c r="H286" s="19" t="str">
        <f aca="false">IF($B286="","",E286-G286)</f>
        <v/>
      </c>
      <c r="I286" s="1"/>
      <c r="J286" s="1"/>
      <c r="K286" s="1"/>
    </row>
    <row r="287" customFormat="false" ht="21.75" hidden="false" customHeight="true" outlineLevel="0" collapsed="false">
      <c r="A287" s="1"/>
      <c r="B287" s="15"/>
      <c r="C287" s="16"/>
      <c r="D287" s="15"/>
      <c r="E287" s="17" t="str">
        <f aca="false">IF($B287="","",SUMIFS(Payments!$E$5:$E$1004,Payments!$C$5:$C$1004,$B287,Payments!$G$5:$G$1004,"Yes"))</f>
        <v/>
      </c>
      <c r="F287" s="18" t="str">
        <f aca="false">IF($B287="","",COUNTIF(Entries!$D$5:$D$2004,$B287))</f>
        <v/>
      </c>
      <c r="G287" s="17" t="str">
        <f aca="false">IF($B287="","",F287*Settings!$C$5)</f>
        <v/>
      </c>
      <c r="H287" s="19" t="str">
        <f aca="false">IF($B287="","",E287-G287)</f>
        <v/>
      </c>
      <c r="I287" s="1"/>
      <c r="J287" s="1"/>
      <c r="K287" s="1"/>
    </row>
    <row r="288" customFormat="false" ht="21.75" hidden="false" customHeight="true" outlineLevel="0" collapsed="false">
      <c r="A288" s="1"/>
      <c r="B288" s="15"/>
      <c r="C288" s="16"/>
      <c r="D288" s="15"/>
      <c r="E288" s="17" t="str">
        <f aca="false">IF($B288="","",SUMIFS(Payments!$E$5:$E$1004,Payments!$C$5:$C$1004,$B288,Payments!$G$5:$G$1004,"Yes"))</f>
        <v/>
      </c>
      <c r="F288" s="18" t="str">
        <f aca="false">IF($B288="","",COUNTIF(Entries!$D$5:$D$2004,$B288))</f>
        <v/>
      </c>
      <c r="G288" s="17" t="str">
        <f aca="false">IF($B288="","",F288*Settings!$C$5)</f>
        <v/>
      </c>
      <c r="H288" s="19" t="str">
        <f aca="false">IF($B288="","",E288-G288)</f>
        <v/>
      </c>
      <c r="I288" s="1"/>
      <c r="J288" s="1"/>
      <c r="K288" s="1"/>
    </row>
    <row r="289" customFormat="false" ht="21.75" hidden="false" customHeight="true" outlineLevel="0" collapsed="false">
      <c r="A289" s="1"/>
      <c r="B289" s="15"/>
      <c r="C289" s="16"/>
      <c r="D289" s="15"/>
      <c r="E289" s="17" t="str">
        <f aca="false">IF($B289="","",SUMIFS(Payments!$E$5:$E$1004,Payments!$C$5:$C$1004,$B289,Payments!$G$5:$G$1004,"Yes"))</f>
        <v/>
      </c>
      <c r="F289" s="18" t="str">
        <f aca="false">IF($B289="","",COUNTIF(Entries!$D$5:$D$2004,$B289))</f>
        <v/>
      </c>
      <c r="G289" s="17" t="str">
        <f aca="false">IF($B289="","",F289*Settings!$C$5)</f>
        <v/>
      </c>
      <c r="H289" s="19" t="str">
        <f aca="false">IF($B289="","",E289-G289)</f>
        <v/>
      </c>
      <c r="I289" s="1"/>
      <c r="J289" s="1"/>
      <c r="K289" s="1"/>
    </row>
    <row r="290" customFormat="false" ht="21.75" hidden="false" customHeight="true" outlineLevel="0" collapsed="false">
      <c r="A290" s="1"/>
      <c r="B290" s="15"/>
      <c r="C290" s="16"/>
      <c r="D290" s="15"/>
      <c r="E290" s="17" t="str">
        <f aca="false">IF($B290="","",SUMIFS(Payments!$E$5:$E$1004,Payments!$C$5:$C$1004,$B290,Payments!$G$5:$G$1004,"Yes"))</f>
        <v/>
      </c>
      <c r="F290" s="18" t="str">
        <f aca="false">IF($B290="","",COUNTIF(Entries!$D$5:$D$2004,$B290))</f>
        <v/>
      </c>
      <c r="G290" s="17" t="str">
        <f aca="false">IF($B290="","",F290*Settings!$C$5)</f>
        <v/>
      </c>
      <c r="H290" s="19" t="str">
        <f aca="false">IF($B290="","",E290-G290)</f>
        <v/>
      </c>
      <c r="I290" s="1"/>
      <c r="J290" s="1"/>
      <c r="K290" s="1"/>
    </row>
    <row r="291" customFormat="false" ht="21.75" hidden="false" customHeight="true" outlineLevel="0" collapsed="false">
      <c r="A291" s="1"/>
      <c r="B291" s="15"/>
      <c r="C291" s="16"/>
      <c r="D291" s="15"/>
      <c r="E291" s="17" t="str">
        <f aca="false">IF($B291="","",SUMIFS(Payments!$E$5:$E$1004,Payments!$C$5:$C$1004,$B291,Payments!$G$5:$G$1004,"Yes"))</f>
        <v/>
      </c>
      <c r="F291" s="18" t="str">
        <f aca="false">IF($B291="","",COUNTIF(Entries!$D$5:$D$2004,$B291))</f>
        <v/>
      </c>
      <c r="G291" s="17" t="str">
        <f aca="false">IF($B291="","",F291*Settings!$C$5)</f>
        <v/>
      </c>
      <c r="H291" s="19" t="str">
        <f aca="false">IF($B291="","",E291-G291)</f>
        <v/>
      </c>
      <c r="I291" s="1"/>
      <c r="J291" s="1"/>
      <c r="K291" s="1"/>
    </row>
    <row r="292" customFormat="false" ht="21.75" hidden="false" customHeight="true" outlineLevel="0" collapsed="false">
      <c r="A292" s="1"/>
      <c r="B292" s="15"/>
      <c r="C292" s="16"/>
      <c r="D292" s="15"/>
      <c r="E292" s="17" t="str">
        <f aca="false">IF($B292="","",SUMIFS(Payments!$E$5:$E$1004,Payments!$C$5:$C$1004,$B292,Payments!$G$5:$G$1004,"Yes"))</f>
        <v/>
      </c>
      <c r="F292" s="18" t="str">
        <f aca="false">IF($B292="","",COUNTIF(Entries!$D$5:$D$2004,$B292))</f>
        <v/>
      </c>
      <c r="G292" s="17" t="str">
        <f aca="false">IF($B292="","",F292*Settings!$C$5)</f>
        <v/>
      </c>
      <c r="H292" s="19" t="str">
        <f aca="false">IF($B292="","",E292-G292)</f>
        <v/>
      </c>
      <c r="I292" s="1"/>
      <c r="J292" s="1"/>
      <c r="K292" s="1"/>
    </row>
    <row r="293" customFormat="false" ht="21.75" hidden="false" customHeight="true" outlineLevel="0" collapsed="false">
      <c r="A293" s="1"/>
      <c r="B293" s="15"/>
      <c r="C293" s="16"/>
      <c r="D293" s="15"/>
      <c r="E293" s="17" t="str">
        <f aca="false">IF($B293="","",SUMIFS(Payments!$E$5:$E$1004,Payments!$C$5:$C$1004,$B293,Payments!$G$5:$G$1004,"Yes"))</f>
        <v/>
      </c>
      <c r="F293" s="18" t="str">
        <f aca="false">IF($B293="","",COUNTIF(Entries!$D$5:$D$2004,$B293))</f>
        <v/>
      </c>
      <c r="G293" s="17" t="str">
        <f aca="false">IF($B293="","",F293*Settings!$C$5)</f>
        <v/>
      </c>
      <c r="H293" s="19" t="str">
        <f aca="false">IF($B293="","",E293-G293)</f>
        <v/>
      </c>
      <c r="I293" s="1"/>
      <c r="J293" s="1"/>
      <c r="K293" s="1"/>
    </row>
    <row r="294" customFormat="false" ht="21.75" hidden="false" customHeight="true" outlineLevel="0" collapsed="false">
      <c r="A294" s="1"/>
      <c r="B294" s="15"/>
      <c r="C294" s="16"/>
      <c r="D294" s="15"/>
      <c r="E294" s="17" t="str">
        <f aca="false">IF($B294="","",SUMIFS(Payments!$E$5:$E$1004,Payments!$C$5:$C$1004,$B294,Payments!$G$5:$G$1004,"Yes"))</f>
        <v/>
      </c>
      <c r="F294" s="18" t="str">
        <f aca="false">IF($B294="","",COUNTIF(Entries!$D$5:$D$2004,$B294))</f>
        <v/>
      </c>
      <c r="G294" s="17" t="str">
        <f aca="false">IF($B294="","",F294*Settings!$C$5)</f>
        <v/>
      </c>
      <c r="H294" s="19" t="str">
        <f aca="false">IF($B294="","",E294-G294)</f>
        <v/>
      </c>
      <c r="I294" s="1"/>
      <c r="J294" s="1"/>
      <c r="K294" s="1"/>
    </row>
    <row r="295" customFormat="false" ht="21.75" hidden="false" customHeight="true" outlineLevel="0" collapsed="false">
      <c r="A295" s="1"/>
      <c r="B295" s="15"/>
      <c r="C295" s="16"/>
      <c r="D295" s="15"/>
      <c r="E295" s="17" t="str">
        <f aca="false">IF($B295="","",SUMIFS(Payments!$E$5:$E$1004,Payments!$C$5:$C$1004,$B295,Payments!$G$5:$G$1004,"Yes"))</f>
        <v/>
      </c>
      <c r="F295" s="18" t="str">
        <f aca="false">IF($B295="","",COUNTIF(Entries!$D$5:$D$2004,$B295))</f>
        <v/>
      </c>
      <c r="G295" s="17" t="str">
        <f aca="false">IF($B295="","",F295*Settings!$C$5)</f>
        <v/>
      </c>
      <c r="H295" s="19" t="str">
        <f aca="false">IF($B295="","",E295-G295)</f>
        <v/>
      </c>
      <c r="I295" s="1"/>
      <c r="J295" s="1"/>
      <c r="K295" s="1"/>
    </row>
    <row r="296" customFormat="false" ht="21.75" hidden="false" customHeight="true" outlineLevel="0" collapsed="false">
      <c r="A296" s="1"/>
      <c r="B296" s="15"/>
      <c r="C296" s="16"/>
      <c r="D296" s="15"/>
      <c r="E296" s="17" t="str">
        <f aca="false">IF($B296="","",SUMIFS(Payments!$E$5:$E$1004,Payments!$C$5:$C$1004,$B296,Payments!$G$5:$G$1004,"Yes"))</f>
        <v/>
      </c>
      <c r="F296" s="18" t="str">
        <f aca="false">IF($B296="","",COUNTIF(Entries!$D$5:$D$2004,$B296))</f>
        <v/>
      </c>
      <c r="G296" s="17" t="str">
        <f aca="false">IF($B296="","",F296*Settings!$C$5)</f>
        <v/>
      </c>
      <c r="H296" s="19" t="str">
        <f aca="false">IF($B296="","",E296-G296)</f>
        <v/>
      </c>
      <c r="I296" s="1"/>
      <c r="J296" s="1"/>
      <c r="K296" s="1"/>
    </row>
    <row r="297" customFormat="false" ht="21.75" hidden="false" customHeight="true" outlineLevel="0" collapsed="false">
      <c r="A297" s="1"/>
      <c r="B297" s="15"/>
      <c r="C297" s="16"/>
      <c r="D297" s="15"/>
      <c r="E297" s="17" t="str">
        <f aca="false">IF($B297="","",SUMIFS(Payments!$E$5:$E$1004,Payments!$C$5:$C$1004,$B297,Payments!$G$5:$G$1004,"Yes"))</f>
        <v/>
      </c>
      <c r="F297" s="18" t="str">
        <f aca="false">IF($B297="","",COUNTIF(Entries!$D$5:$D$2004,$B297))</f>
        <v/>
      </c>
      <c r="G297" s="17" t="str">
        <f aca="false">IF($B297="","",F297*Settings!$C$5)</f>
        <v/>
      </c>
      <c r="H297" s="19" t="str">
        <f aca="false">IF($B297="","",E297-G297)</f>
        <v/>
      </c>
      <c r="I297" s="1"/>
      <c r="J297" s="1"/>
      <c r="K297" s="1"/>
    </row>
    <row r="298" customFormat="false" ht="21.75" hidden="false" customHeight="true" outlineLevel="0" collapsed="false">
      <c r="A298" s="1"/>
      <c r="B298" s="15"/>
      <c r="C298" s="16"/>
      <c r="D298" s="15"/>
      <c r="E298" s="17" t="str">
        <f aca="false">IF($B298="","",SUMIFS(Payments!$E$5:$E$1004,Payments!$C$5:$C$1004,$B298,Payments!$G$5:$G$1004,"Yes"))</f>
        <v/>
      </c>
      <c r="F298" s="18" t="str">
        <f aca="false">IF($B298="","",COUNTIF(Entries!$D$5:$D$2004,$B298))</f>
        <v/>
      </c>
      <c r="G298" s="17" t="str">
        <f aca="false">IF($B298="","",F298*Settings!$C$5)</f>
        <v/>
      </c>
      <c r="H298" s="19" t="str">
        <f aca="false">IF($B298="","",E298-G298)</f>
        <v/>
      </c>
      <c r="I298" s="1"/>
      <c r="J298" s="1"/>
      <c r="K298" s="1"/>
    </row>
    <row r="299" customFormat="false" ht="21.75" hidden="false" customHeight="true" outlineLevel="0" collapsed="false">
      <c r="A299" s="1"/>
      <c r="B299" s="15"/>
      <c r="C299" s="16"/>
      <c r="D299" s="15"/>
      <c r="E299" s="17" t="str">
        <f aca="false">IF($B299="","",SUMIFS(Payments!$E$5:$E$1004,Payments!$C$5:$C$1004,$B299,Payments!$G$5:$G$1004,"Yes"))</f>
        <v/>
      </c>
      <c r="F299" s="18" t="str">
        <f aca="false">IF($B299="","",COUNTIF(Entries!$D$5:$D$2004,$B299))</f>
        <v/>
      </c>
      <c r="G299" s="17" t="str">
        <f aca="false">IF($B299="","",F299*Settings!$C$5)</f>
        <v/>
      </c>
      <c r="H299" s="19" t="str">
        <f aca="false">IF($B299="","",E299-G299)</f>
        <v/>
      </c>
      <c r="I299" s="1"/>
      <c r="J299" s="1"/>
      <c r="K299" s="1"/>
    </row>
    <row r="300" customFormat="false" ht="21.75" hidden="false" customHeight="true" outlineLevel="0" collapsed="false">
      <c r="A300" s="1"/>
      <c r="B300" s="15"/>
      <c r="C300" s="16"/>
      <c r="D300" s="15"/>
      <c r="E300" s="17" t="str">
        <f aca="false">IF($B300="","",SUMIFS(Payments!$E$5:$E$1004,Payments!$C$5:$C$1004,$B300,Payments!$G$5:$G$1004,"Yes"))</f>
        <v/>
      </c>
      <c r="F300" s="18" t="str">
        <f aca="false">IF($B300="","",COUNTIF(Entries!$D$5:$D$2004,$B300))</f>
        <v/>
      </c>
      <c r="G300" s="17" t="str">
        <f aca="false">IF($B300="","",F300*Settings!$C$5)</f>
        <v/>
      </c>
      <c r="H300" s="19" t="str">
        <f aca="false">IF($B300="","",E300-G300)</f>
        <v/>
      </c>
      <c r="I300" s="1"/>
      <c r="J300" s="1"/>
      <c r="K300" s="1"/>
    </row>
    <row r="301" customFormat="false" ht="21.75" hidden="false" customHeight="true" outlineLevel="0" collapsed="false">
      <c r="A301" s="1"/>
      <c r="B301" s="15"/>
      <c r="C301" s="16"/>
      <c r="D301" s="15"/>
      <c r="E301" s="17" t="str">
        <f aca="false">IF($B301="","",SUMIFS(Payments!$E$5:$E$1004,Payments!$C$5:$C$1004,$B301,Payments!$G$5:$G$1004,"Yes"))</f>
        <v/>
      </c>
      <c r="F301" s="18" t="str">
        <f aca="false">IF($B301="","",COUNTIF(Entries!$D$5:$D$2004,$B301))</f>
        <v/>
      </c>
      <c r="G301" s="17" t="str">
        <f aca="false">IF($B301="","",F301*Settings!$C$5)</f>
        <v/>
      </c>
      <c r="H301" s="19" t="str">
        <f aca="false">IF($B301="","",E301-G301)</f>
        <v/>
      </c>
      <c r="I301" s="1"/>
      <c r="J301" s="1"/>
      <c r="K301" s="1"/>
    </row>
    <row r="302" customFormat="false" ht="21.75" hidden="false" customHeight="true" outlineLevel="0" collapsed="false">
      <c r="A302" s="1"/>
      <c r="B302" s="15"/>
      <c r="C302" s="16"/>
      <c r="D302" s="15"/>
      <c r="E302" s="17" t="str">
        <f aca="false">IF($B302="","",SUMIFS(Payments!$E$5:$E$1004,Payments!$C$5:$C$1004,$B302,Payments!$G$5:$G$1004,"Yes"))</f>
        <v/>
      </c>
      <c r="F302" s="18" t="str">
        <f aca="false">IF($B302="","",COUNTIF(Entries!$D$5:$D$2004,$B302))</f>
        <v/>
      </c>
      <c r="G302" s="17" t="str">
        <f aca="false">IF($B302="","",F302*Settings!$C$5)</f>
        <v/>
      </c>
      <c r="H302" s="19" t="str">
        <f aca="false">IF($B302="","",E302-G302)</f>
        <v/>
      </c>
      <c r="I302" s="1"/>
      <c r="J302" s="1"/>
      <c r="K302" s="1"/>
    </row>
    <row r="303" customFormat="false" ht="21.75" hidden="false" customHeight="true" outlineLevel="0" collapsed="false">
      <c r="A303" s="1"/>
      <c r="B303" s="15"/>
      <c r="C303" s="16"/>
      <c r="D303" s="15"/>
      <c r="E303" s="17" t="str">
        <f aca="false">IF($B303="","",SUMIFS(Payments!$E$5:$E$1004,Payments!$C$5:$C$1004,$B303,Payments!$G$5:$G$1004,"Yes"))</f>
        <v/>
      </c>
      <c r="F303" s="18" t="str">
        <f aca="false">IF($B303="","",COUNTIF(Entries!$D$5:$D$2004,$B303))</f>
        <v/>
      </c>
      <c r="G303" s="17" t="str">
        <f aca="false">IF($B303="","",F303*Settings!$C$5)</f>
        <v/>
      </c>
      <c r="H303" s="19" t="str">
        <f aca="false">IF($B303="","",E303-G303)</f>
        <v/>
      </c>
      <c r="I303" s="1"/>
      <c r="J303" s="1"/>
      <c r="K303" s="1"/>
    </row>
    <row r="304" customFormat="false" ht="21.75" hidden="false" customHeight="true" outlineLevel="0" collapsed="false">
      <c r="A304" s="1"/>
      <c r="B304" s="15"/>
      <c r="C304" s="16"/>
      <c r="D304" s="15"/>
      <c r="E304" s="17" t="str">
        <f aca="false">IF($B304="","",SUMIFS(Payments!$E$5:$E$1004,Payments!$C$5:$C$1004,$B304,Payments!$G$5:$G$1004,"Yes"))</f>
        <v/>
      </c>
      <c r="F304" s="18" t="str">
        <f aca="false">IF($B304="","",COUNTIF(Entries!$D$5:$D$2004,$B304))</f>
        <v/>
      </c>
      <c r="G304" s="17" t="str">
        <f aca="false">IF($B304="","",F304*Settings!$C$5)</f>
        <v/>
      </c>
      <c r="H304" s="19" t="str">
        <f aca="false">IF($B304="","",E304-G304)</f>
        <v/>
      </c>
      <c r="I304" s="1"/>
      <c r="J304" s="1"/>
      <c r="K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</sheetData>
  <autoFilter ref="B4:H304"/>
  <conditionalFormatting sqref="H5:H304">
    <cfRule type="expression" priority="2" aboveAverage="0" equalAverage="0" bottom="0" percent="0" rank="0" text="" dxfId="7">
      <formula>AND(H5&lt;&gt;"",H5&lt;0)</formula>
    </cfRule>
    <cfRule type="expression" priority="3" aboveAverage="0" equalAverage="0" bottom="0" percent="0" rank="0" text="" dxfId="8">
      <formula>AND(H5&lt;&gt;"",H5&gt;0)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00"/>
    <pageSetUpPr fitToPage="false"/>
  </sheetPr>
  <dimension ref="A1:J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9" min="9" style="0" width="44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7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1"/>
      <c r="B3" s="3" t="s">
        <v>50</v>
      </c>
      <c r="C3" s="1"/>
      <c r="D3" s="1"/>
      <c r="E3" s="1"/>
      <c r="F3" s="1"/>
      <c r="G3" s="1"/>
      <c r="H3" s="1"/>
      <c r="I3" s="1"/>
      <c r="J3" s="1"/>
    </row>
    <row r="4" customFormat="false" ht="30" hidden="false" customHeight="true" outlineLevel="0" collapsed="false">
      <c r="A4" s="1"/>
      <c r="B4" s="10" t="s">
        <v>51</v>
      </c>
      <c r="C4" s="10" t="s">
        <v>34</v>
      </c>
      <c r="D4" s="10" t="s">
        <v>52</v>
      </c>
      <c r="E4" s="10" t="s">
        <v>53</v>
      </c>
      <c r="F4" s="10" t="s">
        <v>54</v>
      </c>
      <c r="G4" s="10" t="s">
        <v>55</v>
      </c>
      <c r="H4" s="1"/>
      <c r="I4" s="10" t="s">
        <v>41</v>
      </c>
      <c r="J4" s="1"/>
    </row>
    <row r="5" customFormat="false" ht="21.75" hidden="false" customHeight="true" outlineLevel="0" collapsed="false">
      <c r="A5" s="1"/>
      <c r="B5" s="20" t="n">
        <v>46310</v>
      </c>
      <c r="C5" s="15" t="s">
        <v>42</v>
      </c>
      <c r="D5" s="11" t="str">
        <f aca="false">IF(C5="","",IFERROR(INDEX(Players!$C$5:$C$304,MATCH(C5,Players!$B$5:$B$304,0)),"UID not in Players sheet"))</f>
        <v>Rahul</v>
      </c>
      <c r="E5" s="12" t="n">
        <v>100</v>
      </c>
      <c r="F5" s="15" t="s">
        <v>56</v>
      </c>
      <c r="G5" s="21" t="s">
        <v>57</v>
      </c>
      <c r="H5" s="1"/>
      <c r="I5" s="13" t="s">
        <v>45</v>
      </c>
      <c r="J5" s="1"/>
    </row>
    <row r="6" customFormat="false" ht="21.75" hidden="false" customHeight="true" outlineLevel="0" collapsed="false">
      <c r="A6" s="1"/>
      <c r="B6" s="20"/>
      <c r="C6" s="15"/>
      <c r="D6" s="11" t="str">
        <f aca="false">IF(C6="","",IFERROR(INDEX(Players!$C$5:$C$304,MATCH(C6,Players!$B$5:$B$304,0)),"UID not in Players sheet"))</f>
        <v/>
      </c>
      <c r="E6" s="12"/>
      <c r="F6" s="15"/>
      <c r="G6" s="21"/>
      <c r="H6" s="1"/>
      <c r="I6" s="13" t="s">
        <v>58</v>
      </c>
      <c r="J6" s="1"/>
    </row>
    <row r="7" customFormat="false" ht="21.75" hidden="false" customHeight="true" outlineLevel="0" collapsed="false">
      <c r="A7" s="1"/>
      <c r="B7" s="20"/>
      <c r="C7" s="15"/>
      <c r="D7" s="11" t="str">
        <f aca="false">IF(C7="","",IFERROR(INDEX(Players!$C$5:$C$304,MATCH(C7,Players!$B$5:$B$304,0)),"UID not in Players sheet"))</f>
        <v/>
      </c>
      <c r="E7" s="12"/>
      <c r="F7" s="15"/>
      <c r="G7" s="21"/>
      <c r="H7" s="1"/>
      <c r="I7" s="13" t="s">
        <v>59</v>
      </c>
      <c r="J7" s="1"/>
    </row>
    <row r="8" customFormat="false" ht="21.75" hidden="false" customHeight="true" outlineLevel="0" collapsed="false">
      <c r="A8" s="1"/>
      <c r="B8" s="20"/>
      <c r="C8" s="15"/>
      <c r="D8" s="11" t="str">
        <f aca="false">IF(C8="","",IFERROR(INDEX(Players!$C$5:$C$304,MATCH(C8,Players!$B$5:$B$304,0)),"UID not in Players sheet"))</f>
        <v/>
      </c>
      <c r="E8" s="12"/>
      <c r="F8" s="15"/>
      <c r="G8" s="21"/>
      <c r="H8" s="1"/>
      <c r="I8" s="13" t="s">
        <v>60</v>
      </c>
      <c r="J8" s="1"/>
    </row>
    <row r="9" customFormat="false" ht="21.75" hidden="false" customHeight="true" outlineLevel="0" collapsed="false">
      <c r="A9" s="1"/>
      <c r="B9" s="20"/>
      <c r="C9" s="15"/>
      <c r="D9" s="11" t="str">
        <f aca="false">IF(C9="","",IFERROR(INDEX(Players!$C$5:$C$304,MATCH(C9,Players!$B$5:$B$304,0)),"UID not in Players sheet"))</f>
        <v/>
      </c>
      <c r="E9" s="12"/>
      <c r="F9" s="15"/>
      <c r="G9" s="21"/>
      <c r="H9" s="1"/>
      <c r="I9" s="13" t="s">
        <v>61</v>
      </c>
      <c r="J9" s="1"/>
    </row>
    <row r="10" customFormat="false" ht="21.75" hidden="false" customHeight="true" outlineLevel="0" collapsed="false">
      <c r="A10" s="1"/>
      <c r="B10" s="20"/>
      <c r="C10" s="15"/>
      <c r="D10" s="11" t="str">
        <f aca="false">IF(C10="","",IFERROR(INDEX(Players!$C$5:$C$304,MATCH(C10,Players!$B$5:$B$304,0)),"UID not in Players sheet"))</f>
        <v/>
      </c>
      <c r="E10" s="12"/>
      <c r="F10" s="15"/>
      <c r="G10" s="21"/>
      <c r="H10" s="1"/>
      <c r="I10" s="1"/>
      <c r="J10" s="1"/>
    </row>
    <row r="11" customFormat="false" ht="21.75" hidden="false" customHeight="true" outlineLevel="0" collapsed="false">
      <c r="A11" s="1"/>
      <c r="B11" s="20"/>
      <c r="C11" s="15"/>
      <c r="D11" s="11" t="str">
        <f aca="false">IF(C11="","",IFERROR(INDEX(Players!$C$5:$C$304,MATCH(C11,Players!$B$5:$B$304,0)),"UID not in Players sheet"))</f>
        <v/>
      </c>
      <c r="E11" s="12"/>
      <c r="F11" s="15"/>
      <c r="G11" s="21"/>
      <c r="H11" s="1"/>
      <c r="I11" s="1"/>
      <c r="J11" s="1"/>
    </row>
    <row r="12" customFormat="false" ht="21.75" hidden="false" customHeight="true" outlineLevel="0" collapsed="false">
      <c r="A12" s="1"/>
      <c r="B12" s="20"/>
      <c r="C12" s="15"/>
      <c r="D12" s="11" t="str">
        <f aca="false">IF(C12="","",IFERROR(INDEX(Players!$C$5:$C$304,MATCH(C12,Players!$B$5:$B$304,0)),"UID not in Players sheet"))</f>
        <v/>
      </c>
      <c r="E12" s="12"/>
      <c r="F12" s="15"/>
      <c r="G12" s="21"/>
      <c r="H12" s="1"/>
      <c r="I12" s="1"/>
      <c r="J12" s="1"/>
    </row>
    <row r="13" customFormat="false" ht="21.75" hidden="false" customHeight="true" outlineLevel="0" collapsed="false">
      <c r="A13" s="1"/>
      <c r="B13" s="20"/>
      <c r="C13" s="15"/>
      <c r="D13" s="11" t="str">
        <f aca="false">IF(C13="","",IFERROR(INDEX(Players!$C$5:$C$304,MATCH(C13,Players!$B$5:$B$304,0)),"UID not in Players sheet"))</f>
        <v/>
      </c>
      <c r="E13" s="12"/>
      <c r="F13" s="15"/>
      <c r="G13" s="21"/>
      <c r="H13" s="1"/>
      <c r="I13" s="1"/>
      <c r="J13" s="1"/>
    </row>
    <row r="14" customFormat="false" ht="21.75" hidden="false" customHeight="true" outlineLevel="0" collapsed="false">
      <c r="A14" s="1"/>
      <c r="B14" s="20"/>
      <c r="C14" s="15"/>
      <c r="D14" s="11" t="str">
        <f aca="false">IF(C14="","",IFERROR(INDEX(Players!$C$5:$C$304,MATCH(C14,Players!$B$5:$B$304,0)),"UID not in Players sheet"))</f>
        <v/>
      </c>
      <c r="E14" s="12"/>
      <c r="F14" s="15"/>
      <c r="G14" s="21"/>
      <c r="H14" s="1"/>
      <c r="I14" s="1"/>
      <c r="J14" s="1"/>
    </row>
    <row r="15" customFormat="false" ht="21.75" hidden="false" customHeight="true" outlineLevel="0" collapsed="false">
      <c r="A15" s="1"/>
      <c r="B15" s="20"/>
      <c r="C15" s="15"/>
      <c r="D15" s="11" t="str">
        <f aca="false">IF(C15="","",IFERROR(INDEX(Players!$C$5:$C$304,MATCH(C15,Players!$B$5:$B$304,0)),"UID not in Players sheet"))</f>
        <v/>
      </c>
      <c r="E15" s="12"/>
      <c r="F15" s="15"/>
      <c r="G15" s="21"/>
      <c r="H15" s="1"/>
      <c r="I15" s="1"/>
      <c r="J15" s="1"/>
    </row>
    <row r="16" customFormat="false" ht="21.75" hidden="false" customHeight="true" outlineLevel="0" collapsed="false">
      <c r="A16" s="1"/>
      <c r="B16" s="20"/>
      <c r="C16" s="15"/>
      <c r="D16" s="11" t="str">
        <f aca="false">IF(C16="","",IFERROR(INDEX(Players!$C$5:$C$304,MATCH(C16,Players!$B$5:$B$304,0)),"UID not in Players sheet"))</f>
        <v/>
      </c>
      <c r="E16" s="12"/>
      <c r="F16" s="15"/>
      <c r="G16" s="21"/>
      <c r="H16" s="1"/>
      <c r="I16" s="1"/>
      <c r="J16" s="1"/>
    </row>
    <row r="17" customFormat="false" ht="21.75" hidden="false" customHeight="true" outlineLevel="0" collapsed="false">
      <c r="A17" s="1"/>
      <c r="B17" s="20"/>
      <c r="C17" s="15"/>
      <c r="D17" s="11" t="str">
        <f aca="false">IF(C17="","",IFERROR(INDEX(Players!$C$5:$C$304,MATCH(C17,Players!$B$5:$B$304,0)),"UID not in Players sheet"))</f>
        <v/>
      </c>
      <c r="E17" s="12"/>
      <c r="F17" s="15"/>
      <c r="G17" s="21"/>
      <c r="H17" s="1"/>
      <c r="I17" s="1"/>
      <c r="J17" s="1"/>
    </row>
    <row r="18" customFormat="false" ht="21.75" hidden="false" customHeight="true" outlineLevel="0" collapsed="false">
      <c r="A18" s="1"/>
      <c r="B18" s="20"/>
      <c r="C18" s="15"/>
      <c r="D18" s="11" t="str">
        <f aca="false">IF(C18="","",IFERROR(INDEX(Players!$C$5:$C$304,MATCH(C18,Players!$B$5:$B$304,0)),"UID not in Players sheet"))</f>
        <v/>
      </c>
      <c r="E18" s="12"/>
      <c r="F18" s="15"/>
      <c r="G18" s="21"/>
      <c r="H18" s="1"/>
      <c r="I18" s="1"/>
      <c r="J18" s="1"/>
    </row>
    <row r="19" customFormat="false" ht="21.75" hidden="false" customHeight="true" outlineLevel="0" collapsed="false">
      <c r="A19" s="1"/>
      <c r="B19" s="20"/>
      <c r="C19" s="15"/>
      <c r="D19" s="11" t="str">
        <f aca="false">IF(C19="","",IFERROR(INDEX(Players!$C$5:$C$304,MATCH(C19,Players!$B$5:$B$304,0)),"UID not in Players sheet"))</f>
        <v/>
      </c>
      <c r="E19" s="12"/>
      <c r="F19" s="15"/>
      <c r="G19" s="21"/>
      <c r="H19" s="1"/>
      <c r="I19" s="1"/>
      <c r="J19" s="1"/>
    </row>
    <row r="20" customFormat="false" ht="21.75" hidden="false" customHeight="true" outlineLevel="0" collapsed="false">
      <c r="A20" s="1"/>
      <c r="B20" s="20"/>
      <c r="C20" s="15"/>
      <c r="D20" s="11" t="str">
        <f aca="false">IF(C20="","",IFERROR(INDEX(Players!$C$5:$C$304,MATCH(C20,Players!$B$5:$B$304,0)),"UID not in Players sheet"))</f>
        <v/>
      </c>
      <c r="E20" s="12"/>
      <c r="F20" s="15"/>
      <c r="G20" s="21"/>
      <c r="H20" s="1"/>
      <c r="I20" s="1"/>
      <c r="J20" s="1"/>
    </row>
    <row r="21" customFormat="false" ht="21.75" hidden="false" customHeight="true" outlineLevel="0" collapsed="false">
      <c r="A21" s="1"/>
      <c r="B21" s="20"/>
      <c r="C21" s="15"/>
      <c r="D21" s="11" t="str">
        <f aca="false">IF(C21="","",IFERROR(INDEX(Players!$C$5:$C$304,MATCH(C21,Players!$B$5:$B$304,0)),"UID not in Players sheet"))</f>
        <v/>
      </c>
      <c r="E21" s="12"/>
      <c r="F21" s="15"/>
      <c r="G21" s="21"/>
      <c r="H21" s="1"/>
      <c r="I21" s="1"/>
      <c r="J21" s="1"/>
    </row>
    <row r="22" customFormat="false" ht="21.75" hidden="false" customHeight="true" outlineLevel="0" collapsed="false">
      <c r="A22" s="1"/>
      <c r="B22" s="20"/>
      <c r="C22" s="15"/>
      <c r="D22" s="11" t="str">
        <f aca="false">IF(C22="","",IFERROR(INDEX(Players!$C$5:$C$304,MATCH(C22,Players!$B$5:$B$304,0)),"UID not in Players sheet"))</f>
        <v/>
      </c>
      <c r="E22" s="12"/>
      <c r="F22" s="15"/>
      <c r="G22" s="21"/>
      <c r="H22" s="1"/>
      <c r="I22" s="1"/>
      <c r="J22" s="1"/>
    </row>
    <row r="23" customFormat="false" ht="21.75" hidden="false" customHeight="true" outlineLevel="0" collapsed="false">
      <c r="A23" s="1"/>
      <c r="B23" s="20"/>
      <c r="C23" s="15"/>
      <c r="D23" s="11" t="str">
        <f aca="false">IF(C23="","",IFERROR(INDEX(Players!$C$5:$C$304,MATCH(C23,Players!$B$5:$B$304,0)),"UID not in Players sheet"))</f>
        <v/>
      </c>
      <c r="E23" s="12"/>
      <c r="F23" s="15"/>
      <c r="G23" s="21"/>
      <c r="H23" s="1"/>
      <c r="I23" s="1"/>
      <c r="J23" s="1"/>
    </row>
    <row r="24" customFormat="false" ht="21.75" hidden="false" customHeight="true" outlineLevel="0" collapsed="false">
      <c r="A24" s="1"/>
      <c r="B24" s="20"/>
      <c r="C24" s="15"/>
      <c r="D24" s="11" t="str">
        <f aca="false">IF(C24="","",IFERROR(INDEX(Players!$C$5:$C$304,MATCH(C24,Players!$B$5:$B$304,0)),"UID not in Players sheet"))</f>
        <v/>
      </c>
      <c r="E24" s="12"/>
      <c r="F24" s="15"/>
      <c r="G24" s="21"/>
      <c r="H24" s="1"/>
      <c r="I24" s="1"/>
      <c r="J24" s="1"/>
    </row>
    <row r="25" customFormat="false" ht="21.75" hidden="false" customHeight="true" outlineLevel="0" collapsed="false">
      <c r="A25" s="1"/>
      <c r="B25" s="20"/>
      <c r="C25" s="15"/>
      <c r="D25" s="11" t="str">
        <f aca="false">IF(C25="","",IFERROR(INDEX(Players!$C$5:$C$304,MATCH(C25,Players!$B$5:$B$304,0)),"UID not in Players sheet"))</f>
        <v/>
      </c>
      <c r="E25" s="12"/>
      <c r="F25" s="15"/>
      <c r="G25" s="21"/>
      <c r="H25" s="1"/>
      <c r="I25" s="1"/>
      <c r="J25" s="1"/>
    </row>
    <row r="26" customFormat="false" ht="21.75" hidden="false" customHeight="true" outlineLevel="0" collapsed="false">
      <c r="A26" s="1"/>
      <c r="B26" s="20"/>
      <c r="C26" s="15"/>
      <c r="D26" s="11" t="str">
        <f aca="false">IF(C26="","",IFERROR(INDEX(Players!$C$5:$C$304,MATCH(C26,Players!$B$5:$B$304,0)),"UID not in Players sheet"))</f>
        <v/>
      </c>
      <c r="E26" s="12"/>
      <c r="F26" s="15"/>
      <c r="G26" s="21"/>
      <c r="H26" s="1"/>
      <c r="I26" s="1"/>
      <c r="J26" s="1"/>
    </row>
    <row r="27" customFormat="false" ht="21.75" hidden="false" customHeight="true" outlineLevel="0" collapsed="false">
      <c r="A27" s="1"/>
      <c r="B27" s="20"/>
      <c r="C27" s="15"/>
      <c r="D27" s="11" t="str">
        <f aca="false">IF(C27="","",IFERROR(INDEX(Players!$C$5:$C$304,MATCH(C27,Players!$B$5:$B$304,0)),"UID not in Players sheet"))</f>
        <v/>
      </c>
      <c r="E27" s="12"/>
      <c r="F27" s="15"/>
      <c r="G27" s="21"/>
      <c r="H27" s="1"/>
      <c r="I27" s="1"/>
      <c r="J27" s="1"/>
    </row>
    <row r="28" customFormat="false" ht="21.75" hidden="false" customHeight="true" outlineLevel="0" collapsed="false">
      <c r="A28" s="1"/>
      <c r="B28" s="20"/>
      <c r="C28" s="15"/>
      <c r="D28" s="11" t="str">
        <f aca="false">IF(C28="","",IFERROR(INDEX(Players!$C$5:$C$304,MATCH(C28,Players!$B$5:$B$304,0)),"UID not in Players sheet"))</f>
        <v/>
      </c>
      <c r="E28" s="12"/>
      <c r="F28" s="15"/>
      <c r="G28" s="21"/>
      <c r="H28" s="1"/>
      <c r="I28" s="1"/>
      <c r="J28" s="1"/>
    </row>
    <row r="29" customFormat="false" ht="21.75" hidden="false" customHeight="true" outlineLevel="0" collapsed="false">
      <c r="A29" s="1"/>
      <c r="B29" s="20"/>
      <c r="C29" s="15"/>
      <c r="D29" s="11" t="str">
        <f aca="false">IF(C29="","",IFERROR(INDEX(Players!$C$5:$C$304,MATCH(C29,Players!$B$5:$B$304,0)),"UID not in Players sheet"))</f>
        <v/>
      </c>
      <c r="E29" s="12"/>
      <c r="F29" s="15"/>
      <c r="G29" s="21"/>
      <c r="H29" s="1"/>
      <c r="I29" s="1"/>
      <c r="J29" s="1"/>
    </row>
    <row r="30" customFormat="false" ht="21.75" hidden="false" customHeight="true" outlineLevel="0" collapsed="false">
      <c r="A30" s="1"/>
      <c r="B30" s="20"/>
      <c r="C30" s="15"/>
      <c r="D30" s="11" t="str">
        <f aca="false">IF(C30="","",IFERROR(INDEX(Players!$C$5:$C$304,MATCH(C30,Players!$B$5:$B$304,0)),"UID not in Players sheet"))</f>
        <v/>
      </c>
      <c r="E30" s="12"/>
      <c r="F30" s="15"/>
      <c r="G30" s="21"/>
      <c r="H30" s="1"/>
      <c r="I30" s="1"/>
      <c r="J30" s="1"/>
    </row>
    <row r="31" customFormat="false" ht="21.75" hidden="false" customHeight="true" outlineLevel="0" collapsed="false">
      <c r="A31" s="1"/>
      <c r="B31" s="20"/>
      <c r="C31" s="15"/>
      <c r="D31" s="11" t="str">
        <f aca="false">IF(C31="","",IFERROR(INDEX(Players!$C$5:$C$304,MATCH(C31,Players!$B$5:$B$304,0)),"UID not in Players sheet"))</f>
        <v/>
      </c>
      <c r="E31" s="12"/>
      <c r="F31" s="15"/>
      <c r="G31" s="21"/>
      <c r="H31" s="1"/>
      <c r="I31" s="1"/>
      <c r="J31" s="1"/>
    </row>
    <row r="32" customFormat="false" ht="21.75" hidden="false" customHeight="true" outlineLevel="0" collapsed="false">
      <c r="A32" s="1"/>
      <c r="B32" s="20"/>
      <c r="C32" s="15"/>
      <c r="D32" s="11" t="str">
        <f aca="false">IF(C32="","",IFERROR(INDEX(Players!$C$5:$C$304,MATCH(C32,Players!$B$5:$B$304,0)),"UID not in Players sheet"))</f>
        <v/>
      </c>
      <c r="E32" s="12"/>
      <c r="F32" s="15"/>
      <c r="G32" s="21"/>
      <c r="H32" s="1"/>
      <c r="I32" s="1"/>
      <c r="J32" s="1"/>
    </row>
    <row r="33" customFormat="false" ht="21.75" hidden="false" customHeight="true" outlineLevel="0" collapsed="false">
      <c r="A33" s="1"/>
      <c r="B33" s="20"/>
      <c r="C33" s="15"/>
      <c r="D33" s="11" t="str">
        <f aca="false">IF(C33="","",IFERROR(INDEX(Players!$C$5:$C$304,MATCH(C33,Players!$B$5:$B$304,0)),"UID not in Players sheet"))</f>
        <v/>
      </c>
      <c r="E33" s="12"/>
      <c r="F33" s="15"/>
      <c r="G33" s="21"/>
      <c r="H33" s="1"/>
      <c r="I33" s="1"/>
      <c r="J33" s="1"/>
    </row>
    <row r="34" customFormat="false" ht="21.75" hidden="false" customHeight="true" outlineLevel="0" collapsed="false">
      <c r="A34" s="1"/>
      <c r="B34" s="20"/>
      <c r="C34" s="15"/>
      <c r="D34" s="11" t="str">
        <f aca="false">IF(C34="","",IFERROR(INDEX(Players!$C$5:$C$304,MATCH(C34,Players!$B$5:$B$304,0)),"UID not in Players sheet"))</f>
        <v/>
      </c>
      <c r="E34" s="12"/>
      <c r="F34" s="15"/>
      <c r="G34" s="21"/>
      <c r="H34" s="1"/>
      <c r="I34" s="1"/>
      <c r="J34" s="1"/>
    </row>
    <row r="35" customFormat="false" ht="21.75" hidden="false" customHeight="true" outlineLevel="0" collapsed="false">
      <c r="A35" s="1"/>
      <c r="B35" s="20"/>
      <c r="C35" s="15"/>
      <c r="D35" s="11" t="str">
        <f aca="false">IF(C35="","",IFERROR(INDEX(Players!$C$5:$C$304,MATCH(C35,Players!$B$5:$B$304,0)),"UID not in Players sheet"))</f>
        <v/>
      </c>
      <c r="E35" s="12"/>
      <c r="F35" s="15"/>
      <c r="G35" s="21"/>
      <c r="H35" s="1"/>
      <c r="I35" s="1"/>
      <c r="J35" s="1"/>
    </row>
    <row r="36" customFormat="false" ht="21.75" hidden="false" customHeight="true" outlineLevel="0" collapsed="false">
      <c r="A36" s="1"/>
      <c r="B36" s="20"/>
      <c r="C36" s="15"/>
      <c r="D36" s="11" t="str">
        <f aca="false">IF(C36="","",IFERROR(INDEX(Players!$C$5:$C$304,MATCH(C36,Players!$B$5:$B$304,0)),"UID not in Players sheet"))</f>
        <v/>
      </c>
      <c r="E36" s="12"/>
      <c r="F36" s="15"/>
      <c r="G36" s="21"/>
      <c r="H36" s="1"/>
      <c r="I36" s="1"/>
      <c r="J36" s="1"/>
    </row>
    <row r="37" customFormat="false" ht="21.75" hidden="false" customHeight="true" outlineLevel="0" collapsed="false">
      <c r="A37" s="1"/>
      <c r="B37" s="20"/>
      <c r="C37" s="15"/>
      <c r="D37" s="11" t="str">
        <f aca="false">IF(C37="","",IFERROR(INDEX(Players!$C$5:$C$304,MATCH(C37,Players!$B$5:$B$304,0)),"UID not in Players sheet"))</f>
        <v/>
      </c>
      <c r="E37" s="12"/>
      <c r="F37" s="15"/>
      <c r="G37" s="21"/>
      <c r="H37" s="1"/>
      <c r="I37" s="1"/>
      <c r="J37" s="1"/>
    </row>
    <row r="38" customFormat="false" ht="21.75" hidden="false" customHeight="true" outlineLevel="0" collapsed="false">
      <c r="A38" s="1"/>
      <c r="B38" s="20"/>
      <c r="C38" s="15"/>
      <c r="D38" s="11" t="str">
        <f aca="false">IF(C38="","",IFERROR(INDEX(Players!$C$5:$C$304,MATCH(C38,Players!$B$5:$B$304,0)),"UID not in Players sheet"))</f>
        <v/>
      </c>
      <c r="E38" s="12"/>
      <c r="F38" s="15"/>
      <c r="G38" s="21"/>
      <c r="H38" s="1"/>
      <c r="I38" s="1"/>
      <c r="J38" s="1"/>
    </row>
    <row r="39" customFormat="false" ht="21.75" hidden="false" customHeight="true" outlineLevel="0" collapsed="false">
      <c r="A39" s="1"/>
      <c r="B39" s="20"/>
      <c r="C39" s="15"/>
      <c r="D39" s="11" t="str">
        <f aca="false">IF(C39="","",IFERROR(INDEX(Players!$C$5:$C$304,MATCH(C39,Players!$B$5:$B$304,0)),"UID not in Players sheet"))</f>
        <v/>
      </c>
      <c r="E39" s="12"/>
      <c r="F39" s="15"/>
      <c r="G39" s="21"/>
      <c r="H39" s="1"/>
      <c r="I39" s="1"/>
      <c r="J39" s="1"/>
    </row>
    <row r="40" customFormat="false" ht="21.75" hidden="false" customHeight="true" outlineLevel="0" collapsed="false">
      <c r="A40" s="1"/>
      <c r="B40" s="20"/>
      <c r="C40" s="15"/>
      <c r="D40" s="11" t="str">
        <f aca="false">IF(C40="","",IFERROR(INDEX(Players!$C$5:$C$304,MATCH(C40,Players!$B$5:$B$304,0)),"UID not in Players sheet"))</f>
        <v/>
      </c>
      <c r="E40" s="12"/>
      <c r="F40" s="15"/>
      <c r="G40" s="21"/>
      <c r="H40" s="1"/>
      <c r="I40" s="1"/>
      <c r="J40" s="1"/>
    </row>
    <row r="41" customFormat="false" ht="21.75" hidden="false" customHeight="true" outlineLevel="0" collapsed="false">
      <c r="A41" s="1"/>
      <c r="B41" s="20"/>
      <c r="C41" s="15"/>
      <c r="D41" s="11" t="str">
        <f aca="false">IF(C41="","",IFERROR(INDEX(Players!$C$5:$C$304,MATCH(C41,Players!$B$5:$B$304,0)),"UID not in Players sheet"))</f>
        <v/>
      </c>
      <c r="E41" s="12"/>
      <c r="F41" s="15"/>
      <c r="G41" s="21"/>
      <c r="H41" s="1"/>
      <c r="I41" s="1"/>
      <c r="J41" s="1"/>
    </row>
    <row r="42" customFormat="false" ht="21.75" hidden="false" customHeight="true" outlineLevel="0" collapsed="false">
      <c r="A42" s="1"/>
      <c r="B42" s="20"/>
      <c r="C42" s="15"/>
      <c r="D42" s="11" t="str">
        <f aca="false">IF(C42="","",IFERROR(INDEX(Players!$C$5:$C$304,MATCH(C42,Players!$B$5:$B$304,0)),"UID not in Players sheet"))</f>
        <v/>
      </c>
      <c r="E42" s="12"/>
      <c r="F42" s="15"/>
      <c r="G42" s="21"/>
      <c r="H42" s="1"/>
      <c r="I42" s="1"/>
      <c r="J42" s="1"/>
    </row>
    <row r="43" customFormat="false" ht="21.75" hidden="false" customHeight="true" outlineLevel="0" collapsed="false">
      <c r="A43" s="1"/>
      <c r="B43" s="20"/>
      <c r="C43" s="15"/>
      <c r="D43" s="11" t="str">
        <f aca="false">IF(C43="","",IFERROR(INDEX(Players!$C$5:$C$304,MATCH(C43,Players!$B$5:$B$304,0)),"UID not in Players sheet"))</f>
        <v/>
      </c>
      <c r="E43" s="12"/>
      <c r="F43" s="15"/>
      <c r="G43" s="21"/>
      <c r="H43" s="1"/>
      <c r="I43" s="1"/>
      <c r="J43" s="1"/>
    </row>
    <row r="44" customFormat="false" ht="21.75" hidden="false" customHeight="true" outlineLevel="0" collapsed="false">
      <c r="A44" s="1"/>
      <c r="B44" s="20"/>
      <c r="C44" s="15"/>
      <c r="D44" s="11" t="str">
        <f aca="false">IF(C44="","",IFERROR(INDEX(Players!$C$5:$C$304,MATCH(C44,Players!$B$5:$B$304,0)),"UID not in Players sheet"))</f>
        <v/>
      </c>
      <c r="E44" s="12"/>
      <c r="F44" s="15"/>
      <c r="G44" s="21"/>
      <c r="H44" s="1"/>
      <c r="I44" s="1"/>
      <c r="J44" s="1"/>
    </row>
    <row r="45" customFormat="false" ht="21.75" hidden="false" customHeight="true" outlineLevel="0" collapsed="false">
      <c r="A45" s="1"/>
      <c r="B45" s="20"/>
      <c r="C45" s="15"/>
      <c r="D45" s="11" t="str">
        <f aca="false">IF(C45="","",IFERROR(INDEX(Players!$C$5:$C$304,MATCH(C45,Players!$B$5:$B$304,0)),"UID not in Players sheet"))</f>
        <v/>
      </c>
      <c r="E45" s="12"/>
      <c r="F45" s="15"/>
      <c r="G45" s="21"/>
      <c r="H45" s="1"/>
      <c r="I45" s="1"/>
      <c r="J45" s="1"/>
    </row>
    <row r="46" customFormat="false" ht="21.75" hidden="false" customHeight="true" outlineLevel="0" collapsed="false">
      <c r="A46" s="1"/>
      <c r="B46" s="20"/>
      <c r="C46" s="15"/>
      <c r="D46" s="11" t="str">
        <f aca="false">IF(C46="","",IFERROR(INDEX(Players!$C$5:$C$304,MATCH(C46,Players!$B$5:$B$304,0)),"UID not in Players sheet"))</f>
        <v/>
      </c>
      <c r="E46" s="12"/>
      <c r="F46" s="15"/>
      <c r="G46" s="21"/>
      <c r="H46" s="1"/>
      <c r="I46" s="1"/>
      <c r="J46" s="1"/>
    </row>
    <row r="47" customFormat="false" ht="21.75" hidden="false" customHeight="true" outlineLevel="0" collapsed="false">
      <c r="A47" s="1"/>
      <c r="B47" s="20"/>
      <c r="C47" s="15"/>
      <c r="D47" s="11" t="str">
        <f aca="false">IF(C47="","",IFERROR(INDEX(Players!$C$5:$C$304,MATCH(C47,Players!$B$5:$B$304,0)),"UID not in Players sheet"))</f>
        <v/>
      </c>
      <c r="E47" s="12"/>
      <c r="F47" s="15"/>
      <c r="G47" s="21"/>
      <c r="H47" s="1"/>
      <c r="I47" s="1"/>
      <c r="J47" s="1"/>
    </row>
    <row r="48" customFormat="false" ht="21.75" hidden="false" customHeight="true" outlineLevel="0" collapsed="false">
      <c r="A48" s="1"/>
      <c r="B48" s="20"/>
      <c r="C48" s="15"/>
      <c r="D48" s="11" t="str">
        <f aca="false">IF(C48="","",IFERROR(INDEX(Players!$C$5:$C$304,MATCH(C48,Players!$B$5:$B$304,0)),"UID not in Players sheet"))</f>
        <v/>
      </c>
      <c r="E48" s="12"/>
      <c r="F48" s="15"/>
      <c r="G48" s="21"/>
      <c r="H48" s="1"/>
      <c r="I48" s="1"/>
      <c r="J48" s="1"/>
    </row>
    <row r="49" customFormat="false" ht="21.75" hidden="false" customHeight="true" outlineLevel="0" collapsed="false">
      <c r="A49" s="1"/>
      <c r="B49" s="20"/>
      <c r="C49" s="15"/>
      <c r="D49" s="11" t="str">
        <f aca="false">IF(C49="","",IFERROR(INDEX(Players!$C$5:$C$304,MATCH(C49,Players!$B$5:$B$304,0)),"UID not in Players sheet"))</f>
        <v/>
      </c>
      <c r="E49" s="12"/>
      <c r="F49" s="15"/>
      <c r="G49" s="21"/>
      <c r="H49" s="1"/>
      <c r="I49" s="1"/>
      <c r="J49" s="1"/>
    </row>
    <row r="50" customFormat="false" ht="21.75" hidden="false" customHeight="true" outlineLevel="0" collapsed="false">
      <c r="A50" s="1"/>
      <c r="B50" s="20"/>
      <c r="C50" s="15"/>
      <c r="D50" s="11" t="str">
        <f aca="false">IF(C50="","",IFERROR(INDEX(Players!$C$5:$C$304,MATCH(C50,Players!$B$5:$B$304,0)),"UID not in Players sheet"))</f>
        <v/>
      </c>
      <c r="E50" s="12"/>
      <c r="F50" s="15"/>
      <c r="G50" s="21"/>
      <c r="H50" s="1"/>
      <c r="I50" s="1"/>
      <c r="J50" s="1"/>
    </row>
    <row r="51" customFormat="false" ht="21.75" hidden="false" customHeight="true" outlineLevel="0" collapsed="false">
      <c r="A51" s="1"/>
      <c r="B51" s="20"/>
      <c r="C51" s="15"/>
      <c r="D51" s="11" t="str">
        <f aca="false">IF(C51="","",IFERROR(INDEX(Players!$C$5:$C$304,MATCH(C51,Players!$B$5:$B$304,0)),"UID not in Players sheet"))</f>
        <v/>
      </c>
      <c r="E51" s="12"/>
      <c r="F51" s="15"/>
      <c r="G51" s="21"/>
      <c r="H51" s="1"/>
      <c r="I51" s="1"/>
      <c r="J51" s="1"/>
    </row>
    <row r="52" customFormat="false" ht="21.75" hidden="false" customHeight="true" outlineLevel="0" collapsed="false">
      <c r="A52" s="1"/>
      <c r="B52" s="20"/>
      <c r="C52" s="15"/>
      <c r="D52" s="11" t="str">
        <f aca="false">IF(C52="","",IFERROR(INDEX(Players!$C$5:$C$304,MATCH(C52,Players!$B$5:$B$304,0)),"UID not in Players sheet"))</f>
        <v/>
      </c>
      <c r="E52" s="12"/>
      <c r="F52" s="15"/>
      <c r="G52" s="21"/>
      <c r="H52" s="1"/>
      <c r="I52" s="1"/>
      <c r="J52" s="1"/>
    </row>
    <row r="53" customFormat="false" ht="21.75" hidden="false" customHeight="true" outlineLevel="0" collapsed="false">
      <c r="A53" s="1"/>
      <c r="B53" s="20"/>
      <c r="C53" s="15"/>
      <c r="D53" s="11" t="str">
        <f aca="false">IF(C53="","",IFERROR(INDEX(Players!$C$5:$C$304,MATCH(C53,Players!$B$5:$B$304,0)),"UID not in Players sheet"))</f>
        <v/>
      </c>
      <c r="E53" s="12"/>
      <c r="F53" s="15"/>
      <c r="G53" s="21"/>
      <c r="H53" s="1"/>
      <c r="I53" s="1"/>
      <c r="J53" s="1"/>
    </row>
    <row r="54" customFormat="false" ht="21.75" hidden="false" customHeight="true" outlineLevel="0" collapsed="false">
      <c r="A54" s="1"/>
      <c r="B54" s="20"/>
      <c r="C54" s="15"/>
      <c r="D54" s="11" t="str">
        <f aca="false">IF(C54="","",IFERROR(INDEX(Players!$C$5:$C$304,MATCH(C54,Players!$B$5:$B$304,0)),"UID not in Players sheet"))</f>
        <v/>
      </c>
      <c r="E54" s="12"/>
      <c r="F54" s="15"/>
      <c r="G54" s="21"/>
      <c r="H54" s="1"/>
      <c r="I54" s="1"/>
      <c r="J54" s="1"/>
    </row>
    <row r="55" customFormat="false" ht="21.75" hidden="false" customHeight="true" outlineLevel="0" collapsed="false">
      <c r="A55" s="1"/>
      <c r="B55" s="20"/>
      <c r="C55" s="15"/>
      <c r="D55" s="11" t="str">
        <f aca="false">IF(C55="","",IFERROR(INDEX(Players!$C$5:$C$304,MATCH(C55,Players!$B$5:$B$304,0)),"UID not in Players sheet"))</f>
        <v/>
      </c>
      <c r="E55" s="12"/>
      <c r="F55" s="15"/>
      <c r="G55" s="21"/>
      <c r="H55" s="1"/>
      <c r="I55" s="1"/>
      <c r="J55" s="1"/>
    </row>
    <row r="56" customFormat="false" ht="21.75" hidden="false" customHeight="true" outlineLevel="0" collapsed="false">
      <c r="A56" s="1"/>
      <c r="B56" s="20"/>
      <c r="C56" s="15"/>
      <c r="D56" s="11" t="str">
        <f aca="false">IF(C56="","",IFERROR(INDEX(Players!$C$5:$C$304,MATCH(C56,Players!$B$5:$B$304,0)),"UID not in Players sheet"))</f>
        <v/>
      </c>
      <c r="E56" s="12"/>
      <c r="F56" s="15"/>
      <c r="G56" s="21"/>
      <c r="H56" s="1"/>
      <c r="I56" s="1"/>
      <c r="J56" s="1"/>
    </row>
    <row r="57" customFormat="false" ht="21.75" hidden="false" customHeight="true" outlineLevel="0" collapsed="false">
      <c r="A57" s="1"/>
      <c r="B57" s="20"/>
      <c r="C57" s="15"/>
      <c r="D57" s="11" t="str">
        <f aca="false">IF(C57="","",IFERROR(INDEX(Players!$C$5:$C$304,MATCH(C57,Players!$B$5:$B$304,0)),"UID not in Players sheet"))</f>
        <v/>
      </c>
      <c r="E57" s="12"/>
      <c r="F57" s="15"/>
      <c r="G57" s="21"/>
      <c r="H57" s="1"/>
      <c r="I57" s="1"/>
      <c r="J57" s="1"/>
    </row>
    <row r="58" customFormat="false" ht="21.75" hidden="false" customHeight="true" outlineLevel="0" collapsed="false">
      <c r="A58" s="1"/>
      <c r="B58" s="20"/>
      <c r="C58" s="15"/>
      <c r="D58" s="11" t="str">
        <f aca="false">IF(C58="","",IFERROR(INDEX(Players!$C$5:$C$304,MATCH(C58,Players!$B$5:$B$304,0)),"UID not in Players sheet"))</f>
        <v/>
      </c>
      <c r="E58" s="12"/>
      <c r="F58" s="15"/>
      <c r="G58" s="21"/>
      <c r="H58" s="1"/>
      <c r="I58" s="1"/>
      <c r="J58" s="1"/>
    </row>
    <row r="59" customFormat="false" ht="21.75" hidden="false" customHeight="true" outlineLevel="0" collapsed="false">
      <c r="A59" s="1"/>
      <c r="B59" s="20"/>
      <c r="C59" s="15"/>
      <c r="D59" s="11" t="str">
        <f aca="false">IF(C59="","",IFERROR(INDEX(Players!$C$5:$C$304,MATCH(C59,Players!$B$5:$B$304,0)),"UID not in Players sheet"))</f>
        <v/>
      </c>
      <c r="E59" s="12"/>
      <c r="F59" s="15"/>
      <c r="G59" s="21"/>
      <c r="H59" s="1"/>
      <c r="I59" s="1"/>
      <c r="J59" s="1"/>
    </row>
    <row r="60" customFormat="false" ht="21.75" hidden="false" customHeight="true" outlineLevel="0" collapsed="false">
      <c r="A60" s="1"/>
      <c r="B60" s="20"/>
      <c r="C60" s="15"/>
      <c r="D60" s="11" t="str">
        <f aca="false">IF(C60="","",IFERROR(INDEX(Players!$C$5:$C$304,MATCH(C60,Players!$B$5:$B$304,0)),"UID not in Players sheet"))</f>
        <v/>
      </c>
      <c r="E60" s="12"/>
      <c r="F60" s="15"/>
      <c r="G60" s="21"/>
      <c r="H60" s="1"/>
      <c r="I60" s="1"/>
      <c r="J60" s="1"/>
    </row>
    <row r="61" customFormat="false" ht="21.75" hidden="false" customHeight="true" outlineLevel="0" collapsed="false">
      <c r="A61" s="1"/>
      <c r="B61" s="20"/>
      <c r="C61" s="15"/>
      <c r="D61" s="11" t="str">
        <f aca="false">IF(C61="","",IFERROR(INDEX(Players!$C$5:$C$304,MATCH(C61,Players!$B$5:$B$304,0)),"UID not in Players sheet"))</f>
        <v/>
      </c>
      <c r="E61" s="12"/>
      <c r="F61" s="15"/>
      <c r="G61" s="21"/>
      <c r="H61" s="1"/>
      <c r="I61" s="1"/>
      <c r="J61" s="1"/>
    </row>
    <row r="62" customFormat="false" ht="21.75" hidden="false" customHeight="true" outlineLevel="0" collapsed="false">
      <c r="A62" s="1"/>
      <c r="B62" s="20"/>
      <c r="C62" s="15"/>
      <c r="D62" s="11" t="str">
        <f aca="false">IF(C62="","",IFERROR(INDEX(Players!$C$5:$C$304,MATCH(C62,Players!$B$5:$B$304,0)),"UID not in Players sheet"))</f>
        <v/>
      </c>
      <c r="E62" s="12"/>
      <c r="F62" s="15"/>
      <c r="G62" s="21"/>
      <c r="H62" s="1"/>
      <c r="I62" s="1"/>
      <c r="J62" s="1"/>
    </row>
    <row r="63" customFormat="false" ht="21.75" hidden="false" customHeight="true" outlineLevel="0" collapsed="false">
      <c r="A63" s="1"/>
      <c r="B63" s="20"/>
      <c r="C63" s="15"/>
      <c r="D63" s="11" t="str">
        <f aca="false">IF(C63="","",IFERROR(INDEX(Players!$C$5:$C$304,MATCH(C63,Players!$B$5:$B$304,0)),"UID not in Players sheet"))</f>
        <v/>
      </c>
      <c r="E63" s="12"/>
      <c r="F63" s="15"/>
      <c r="G63" s="21"/>
      <c r="H63" s="1"/>
      <c r="I63" s="1"/>
      <c r="J63" s="1"/>
    </row>
    <row r="64" customFormat="false" ht="21.75" hidden="false" customHeight="true" outlineLevel="0" collapsed="false">
      <c r="A64" s="1"/>
      <c r="B64" s="20"/>
      <c r="C64" s="15"/>
      <c r="D64" s="11" t="str">
        <f aca="false">IF(C64="","",IFERROR(INDEX(Players!$C$5:$C$304,MATCH(C64,Players!$B$5:$B$304,0)),"UID not in Players sheet"))</f>
        <v/>
      </c>
      <c r="E64" s="12"/>
      <c r="F64" s="15"/>
      <c r="G64" s="21"/>
      <c r="H64" s="1"/>
      <c r="I64" s="1"/>
      <c r="J64" s="1"/>
    </row>
    <row r="65" customFormat="false" ht="21.75" hidden="false" customHeight="true" outlineLevel="0" collapsed="false">
      <c r="A65" s="1"/>
      <c r="B65" s="20"/>
      <c r="C65" s="15"/>
      <c r="D65" s="11" t="str">
        <f aca="false">IF(C65="","",IFERROR(INDEX(Players!$C$5:$C$304,MATCH(C65,Players!$B$5:$B$304,0)),"UID not in Players sheet"))</f>
        <v/>
      </c>
      <c r="E65" s="12"/>
      <c r="F65" s="15"/>
      <c r="G65" s="21"/>
      <c r="H65" s="1"/>
      <c r="I65" s="1"/>
      <c r="J65" s="1"/>
    </row>
    <row r="66" customFormat="false" ht="21.75" hidden="false" customHeight="true" outlineLevel="0" collapsed="false">
      <c r="A66" s="1"/>
      <c r="B66" s="20"/>
      <c r="C66" s="15"/>
      <c r="D66" s="11" t="str">
        <f aca="false">IF(C66="","",IFERROR(INDEX(Players!$C$5:$C$304,MATCH(C66,Players!$B$5:$B$304,0)),"UID not in Players sheet"))</f>
        <v/>
      </c>
      <c r="E66" s="12"/>
      <c r="F66" s="15"/>
      <c r="G66" s="21"/>
      <c r="H66" s="1"/>
      <c r="I66" s="1"/>
      <c r="J66" s="1"/>
    </row>
    <row r="67" customFormat="false" ht="21.75" hidden="false" customHeight="true" outlineLevel="0" collapsed="false">
      <c r="A67" s="1"/>
      <c r="B67" s="20"/>
      <c r="C67" s="15"/>
      <c r="D67" s="11" t="str">
        <f aca="false">IF(C67="","",IFERROR(INDEX(Players!$C$5:$C$304,MATCH(C67,Players!$B$5:$B$304,0)),"UID not in Players sheet"))</f>
        <v/>
      </c>
      <c r="E67" s="12"/>
      <c r="F67" s="15"/>
      <c r="G67" s="21"/>
      <c r="H67" s="1"/>
      <c r="I67" s="1"/>
      <c r="J67" s="1"/>
    </row>
    <row r="68" customFormat="false" ht="21.75" hidden="false" customHeight="true" outlineLevel="0" collapsed="false">
      <c r="A68" s="1"/>
      <c r="B68" s="20"/>
      <c r="C68" s="15"/>
      <c r="D68" s="11" t="str">
        <f aca="false">IF(C68="","",IFERROR(INDEX(Players!$C$5:$C$304,MATCH(C68,Players!$B$5:$B$304,0)),"UID not in Players sheet"))</f>
        <v/>
      </c>
      <c r="E68" s="12"/>
      <c r="F68" s="15"/>
      <c r="G68" s="21"/>
      <c r="H68" s="1"/>
      <c r="I68" s="1"/>
      <c r="J68" s="1"/>
    </row>
    <row r="69" customFormat="false" ht="21.75" hidden="false" customHeight="true" outlineLevel="0" collapsed="false">
      <c r="A69" s="1"/>
      <c r="B69" s="20"/>
      <c r="C69" s="15"/>
      <c r="D69" s="11" t="str">
        <f aca="false">IF(C69="","",IFERROR(INDEX(Players!$C$5:$C$304,MATCH(C69,Players!$B$5:$B$304,0)),"UID not in Players sheet"))</f>
        <v/>
      </c>
      <c r="E69" s="12"/>
      <c r="F69" s="15"/>
      <c r="G69" s="21"/>
      <c r="H69" s="1"/>
      <c r="I69" s="1"/>
      <c r="J69" s="1"/>
    </row>
    <row r="70" customFormat="false" ht="21.75" hidden="false" customHeight="true" outlineLevel="0" collapsed="false">
      <c r="A70" s="1"/>
      <c r="B70" s="20"/>
      <c r="C70" s="15"/>
      <c r="D70" s="11" t="str">
        <f aca="false">IF(C70="","",IFERROR(INDEX(Players!$C$5:$C$304,MATCH(C70,Players!$B$5:$B$304,0)),"UID not in Players sheet"))</f>
        <v/>
      </c>
      <c r="E70" s="12"/>
      <c r="F70" s="15"/>
      <c r="G70" s="21"/>
      <c r="H70" s="1"/>
      <c r="I70" s="1"/>
      <c r="J70" s="1"/>
    </row>
    <row r="71" customFormat="false" ht="21.75" hidden="false" customHeight="true" outlineLevel="0" collapsed="false">
      <c r="A71" s="1"/>
      <c r="B71" s="20"/>
      <c r="C71" s="15"/>
      <c r="D71" s="11" t="str">
        <f aca="false">IF(C71="","",IFERROR(INDEX(Players!$C$5:$C$304,MATCH(C71,Players!$B$5:$B$304,0)),"UID not in Players sheet"))</f>
        <v/>
      </c>
      <c r="E71" s="12"/>
      <c r="F71" s="15"/>
      <c r="G71" s="21"/>
      <c r="H71" s="1"/>
      <c r="I71" s="1"/>
      <c r="J71" s="1"/>
    </row>
    <row r="72" customFormat="false" ht="21.75" hidden="false" customHeight="true" outlineLevel="0" collapsed="false">
      <c r="A72" s="1"/>
      <c r="B72" s="20"/>
      <c r="C72" s="15"/>
      <c r="D72" s="11" t="str">
        <f aca="false">IF(C72="","",IFERROR(INDEX(Players!$C$5:$C$304,MATCH(C72,Players!$B$5:$B$304,0)),"UID not in Players sheet"))</f>
        <v/>
      </c>
      <c r="E72" s="12"/>
      <c r="F72" s="15"/>
      <c r="G72" s="21"/>
      <c r="H72" s="1"/>
      <c r="I72" s="1"/>
      <c r="J72" s="1"/>
    </row>
    <row r="73" customFormat="false" ht="21.75" hidden="false" customHeight="true" outlineLevel="0" collapsed="false">
      <c r="A73" s="1"/>
      <c r="B73" s="20"/>
      <c r="C73" s="15"/>
      <c r="D73" s="11" t="str">
        <f aca="false">IF(C73="","",IFERROR(INDEX(Players!$C$5:$C$304,MATCH(C73,Players!$B$5:$B$304,0)),"UID not in Players sheet"))</f>
        <v/>
      </c>
      <c r="E73" s="12"/>
      <c r="F73" s="15"/>
      <c r="G73" s="21"/>
      <c r="H73" s="1"/>
      <c r="I73" s="1"/>
      <c r="J73" s="1"/>
    </row>
    <row r="74" customFormat="false" ht="21.75" hidden="false" customHeight="true" outlineLevel="0" collapsed="false">
      <c r="A74" s="1"/>
      <c r="B74" s="20"/>
      <c r="C74" s="15"/>
      <c r="D74" s="11" t="str">
        <f aca="false">IF(C74="","",IFERROR(INDEX(Players!$C$5:$C$304,MATCH(C74,Players!$B$5:$B$304,0)),"UID not in Players sheet"))</f>
        <v/>
      </c>
      <c r="E74" s="12"/>
      <c r="F74" s="15"/>
      <c r="G74" s="21"/>
      <c r="H74" s="1"/>
      <c r="I74" s="1"/>
      <c r="J74" s="1"/>
    </row>
    <row r="75" customFormat="false" ht="21.75" hidden="false" customHeight="true" outlineLevel="0" collapsed="false">
      <c r="A75" s="1"/>
      <c r="B75" s="20"/>
      <c r="C75" s="15"/>
      <c r="D75" s="11" t="str">
        <f aca="false">IF(C75="","",IFERROR(INDEX(Players!$C$5:$C$304,MATCH(C75,Players!$B$5:$B$304,0)),"UID not in Players sheet"))</f>
        <v/>
      </c>
      <c r="E75" s="12"/>
      <c r="F75" s="15"/>
      <c r="G75" s="21"/>
      <c r="H75" s="1"/>
      <c r="I75" s="1"/>
      <c r="J75" s="1"/>
    </row>
    <row r="76" customFormat="false" ht="21.75" hidden="false" customHeight="true" outlineLevel="0" collapsed="false">
      <c r="A76" s="1"/>
      <c r="B76" s="20"/>
      <c r="C76" s="15"/>
      <c r="D76" s="11" t="str">
        <f aca="false">IF(C76="","",IFERROR(INDEX(Players!$C$5:$C$304,MATCH(C76,Players!$B$5:$B$304,0)),"UID not in Players sheet"))</f>
        <v/>
      </c>
      <c r="E76" s="12"/>
      <c r="F76" s="15"/>
      <c r="G76" s="21"/>
      <c r="H76" s="1"/>
      <c r="I76" s="1"/>
      <c r="J76" s="1"/>
    </row>
    <row r="77" customFormat="false" ht="21.75" hidden="false" customHeight="true" outlineLevel="0" collapsed="false">
      <c r="A77" s="1"/>
      <c r="B77" s="20"/>
      <c r="C77" s="15"/>
      <c r="D77" s="11" t="str">
        <f aca="false">IF(C77="","",IFERROR(INDEX(Players!$C$5:$C$304,MATCH(C77,Players!$B$5:$B$304,0)),"UID not in Players sheet"))</f>
        <v/>
      </c>
      <c r="E77" s="12"/>
      <c r="F77" s="15"/>
      <c r="G77" s="21"/>
      <c r="H77" s="1"/>
      <c r="I77" s="1"/>
      <c r="J77" s="1"/>
    </row>
    <row r="78" customFormat="false" ht="21.75" hidden="false" customHeight="true" outlineLevel="0" collapsed="false">
      <c r="A78" s="1"/>
      <c r="B78" s="20"/>
      <c r="C78" s="15"/>
      <c r="D78" s="11" t="str">
        <f aca="false">IF(C78="","",IFERROR(INDEX(Players!$C$5:$C$304,MATCH(C78,Players!$B$5:$B$304,0)),"UID not in Players sheet"))</f>
        <v/>
      </c>
      <c r="E78" s="12"/>
      <c r="F78" s="15"/>
      <c r="G78" s="21"/>
      <c r="H78" s="1"/>
      <c r="I78" s="1"/>
      <c r="J78" s="1"/>
    </row>
    <row r="79" customFormat="false" ht="21.75" hidden="false" customHeight="true" outlineLevel="0" collapsed="false">
      <c r="A79" s="1"/>
      <c r="B79" s="20"/>
      <c r="C79" s="15"/>
      <c r="D79" s="11" t="str">
        <f aca="false">IF(C79="","",IFERROR(INDEX(Players!$C$5:$C$304,MATCH(C79,Players!$B$5:$B$304,0)),"UID not in Players sheet"))</f>
        <v/>
      </c>
      <c r="E79" s="12"/>
      <c r="F79" s="15"/>
      <c r="G79" s="21"/>
      <c r="H79" s="1"/>
      <c r="I79" s="1"/>
      <c r="J79" s="1"/>
    </row>
    <row r="80" customFormat="false" ht="21.75" hidden="false" customHeight="true" outlineLevel="0" collapsed="false">
      <c r="A80" s="1"/>
      <c r="B80" s="20"/>
      <c r="C80" s="15"/>
      <c r="D80" s="11" t="str">
        <f aca="false">IF(C80="","",IFERROR(INDEX(Players!$C$5:$C$304,MATCH(C80,Players!$B$5:$B$304,0)),"UID not in Players sheet"))</f>
        <v/>
      </c>
      <c r="E80" s="12"/>
      <c r="F80" s="15"/>
      <c r="G80" s="21"/>
      <c r="H80" s="1"/>
      <c r="I80" s="1"/>
      <c r="J80" s="1"/>
    </row>
    <row r="81" customFormat="false" ht="21.75" hidden="false" customHeight="true" outlineLevel="0" collapsed="false">
      <c r="A81" s="1"/>
      <c r="B81" s="20"/>
      <c r="C81" s="15"/>
      <c r="D81" s="11" t="str">
        <f aca="false">IF(C81="","",IFERROR(INDEX(Players!$C$5:$C$304,MATCH(C81,Players!$B$5:$B$304,0)),"UID not in Players sheet"))</f>
        <v/>
      </c>
      <c r="E81" s="12"/>
      <c r="F81" s="15"/>
      <c r="G81" s="21"/>
      <c r="H81" s="1"/>
      <c r="I81" s="1"/>
      <c r="J81" s="1"/>
    </row>
    <row r="82" customFormat="false" ht="21.75" hidden="false" customHeight="true" outlineLevel="0" collapsed="false">
      <c r="A82" s="1"/>
      <c r="B82" s="20"/>
      <c r="C82" s="15"/>
      <c r="D82" s="11" t="str">
        <f aca="false">IF(C82="","",IFERROR(INDEX(Players!$C$5:$C$304,MATCH(C82,Players!$B$5:$B$304,0)),"UID not in Players sheet"))</f>
        <v/>
      </c>
      <c r="E82" s="12"/>
      <c r="F82" s="15"/>
      <c r="G82" s="21"/>
      <c r="H82" s="1"/>
      <c r="I82" s="1"/>
      <c r="J82" s="1"/>
    </row>
    <row r="83" customFormat="false" ht="21.75" hidden="false" customHeight="true" outlineLevel="0" collapsed="false">
      <c r="A83" s="1"/>
      <c r="B83" s="20"/>
      <c r="C83" s="15"/>
      <c r="D83" s="11" t="str">
        <f aca="false">IF(C83="","",IFERROR(INDEX(Players!$C$5:$C$304,MATCH(C83,Players!$B$5:$B$304,0)),"UID not in Players sheet"))</f>
        <v/>
      </c>
      <c r="E83" s="12"/>
      <c r="F83" s="15"/>
      <c r="G83" s="21"/>
      <c r="H83" s="1"/>
      <c r="I83" s="1"/>
      <c r="J83" s="1"/>
    </row>
    <row r="84" customFormat="false" ht="21.75" hidden="false" customHeight="true" outlineLevel="0" collapsed="false">
      <c r="A84" s="1"/>
      <c r="B84" s="20"/>
      <c r="C84" s="15"/>
      <c r="D84" s="11" t="str">
        <f aca="false">IF(C84="","",IFERROR(INDEX(Players!$C$5:$C$304,MATCH(C84,Players!$B$5:$B$304,0)),"UID not in Players sheet"))</f>
        <v/>
      </c>
      <c r="E84" s="12"/>
      <c r="F84" s="15"/>
      <c r="G84" s="21"/>
      <c r="H84" s="1"/>
      <c r="I84" s="1"/>
      <c r="J84" s="1"/>
    </row>
    <row r="85" customFormat="false" ht="21.75" hidden="false" customHeight="true" outlineLevel="0" collapsed="false">
      <c r="A85" s="1"/>
      <c r="B85" s="20"/>
      <c r="C85" s="15"/>
      <c r="D85" s="11" t="str">
        <f aca="false">IF(C85="","",IFERROR(INDEX(Players!$C$5:$C$304,MATCH(C85,Players!$B$5:$B$304,0)),"UID not in Players sheet"))</f>
        <v/>
      </c>
      <c r="E85" s="12"/>
      <c r="F85" s="15"/>
      <c r="G85" s="21"/>
      <c r="H85" s="1"/>
      <c r="I85" s="1"/>
      <c r="J85" s="1"/>
    </row>
    <row r="86" customFormat="false" ht="21.75" hidden="false" customHeight="true" outlineLevel="0" collapsed="false">
      <c r="A86" s="1"/>
      <c r="B86" s="20"/>
      <c r="C86" s="15"/>
      <c r="D86" s="11" t="str">
        <f aca="false">IF(C86="","",IFERROR(INDEX(Players!$C$5:$C$304,MATCH(C86,Players!$B$5:$B$304,0)),"UID not in Players sheet"))</f>
        <v/>
      </c>
      <c r="E86" s="12"/>
      <c r="F86" s="15"/>
      <c r="G86" s="21"/>
      <c r="H86" s="1"/>
      <c r="I86" s="1"/>
      <c r="J86" s="1"/>
    </row>
    <row r="87" customFormat="false" ht="21.75" hidden="false" customHeight="true" outlineLevel="0" collapsed="false">
      <c r="A87" s="1"/>
      <c r="B87" s="20"/>
      <c r="C87" s="15"/>
      <c r="D87" s="11" t="str">
        <f aca="false">IF(C87="","",IFERROR(INDEX(Players!$C$5:$C$304,MATCH(C87,Players!$B$5:$B$304,0)),"UID not in Players sheet"))</f>
        <v/>
      </c>
      <c r="E87" s="12"/>
      <c r="F87" s="15"/>
      <c r="G87" s="21"/>
      <c r="H87" s="1"/>
      <c r="I87" s="1"/>
      <c r="J87" s="1"/>
    </row>
    <row r="88" customFormat="false" ht="21.75" hidden="false" customHeight="true" outlineLevel="0" collapsed="false">
      <c r="A88" s="1"/>
      <c r="B88" s="20"/>
      <c r="C88" s="15"/>
      <c r="D88" s="11" t="str">
        <f aca="false">IF(C88="","",IFERROR(INDEX(Players!$C$5:$C$304,MATCH(C88,Players!$B$5:$B$304,0)),"UID not in Players sheet"))</f>
        <v/>
      </c>
      <c r="E88" s="12"/>
      <c r="F88" s="15"/>
      <c r="G88" s="21"/>
      <c r="H88" s="1"/>
      <c r="I88" s="1"/>
      <c r="J88" s="1"/>
    </row>
    <row r="89" customFormat="false" ht="21.75" hidden="false" customHeight="true" outlineLevel="0" collapsed="false">
      <c r="A89" s="1"/>
      <c r="B89" s="20"/>
      <c r="C89" s="15"/>
      <c r="D89" s="11" t="str">
        <f aca="false">IF(C89="","",IFERROR(INDEX(Players!$C$5:$C$304,MATCH(C89,Players!$B$5:$B$304,0)),"UID not in Players sheet"))</f>
        <v/>
      </c>
      <c r="E89" s="12"/>
      <c r="F89" s="15"/>
      <c r="G89" s="21"/>
      <c r="H89" s="1"/>
      <c r="I89" s="1"/>
      <c r="J89" s="1"/>
    </row>
    <row r="90" customFormat="false" ht="21.75" hidden="false" customHeight="true" outlineLevel="0" collapsed="false">
      <c r="A90" s="1"/>
      <c r="B90" s="20"/>
      <c r="C90" s="15"/>
      <c r="D90" s="11" t="str">
        <f aca="false">IF(C90="","",IFERROR(INDEX(Players!$C$5:$C$304,MATCH(C90,Players!$B$5:$B$304,0)),"UID not in Players sheet"))</f>
        <v/>
      </c>
      <c r="E90" s="12"/>
      <c r="F90" s="15"/>
      <c r="G90" s="21"/>
      <c r="H90" s="1"/>
      <c r="I90" s="1"/>
      <c r="J90" s="1"/>
    </row>
    <row r="91" customFormat="false" ht="21.75" hidden="false" customHeight="true" outlineLevel="0" collapsed="false">
      <c r="A91" s="1"/>
      <c r="B91" s="20"/>
      <c r="C91" s="15"/>
      <c r="D91" s="11" t="str">
        <f aca="false">IF(C91="","",IFERROR(INDEX(Players!$C$5:$C$304,MATCH(C91,Players!$B$5:$B$304,0)),"UID not in Players sheet"))</f>
        <v/>
      </c>
      <c r="E91" s="12"/>
      <c r="F91" s="15"/>
      <c r="G91" s="21"/>
      <c r="H91" s="1"/>
      <c r="I91" s="1"/>
      <c r="J91" s="1"/>
    </row>
    <row r="92" customFormat="false" ht="21.75" hidden="false" customHeight="true" outlineLevel="0" collapsed="false">
      <c r="A92" s="1"/>
      <c r="B92" s="20"/>
      <c r="C92" s="15"/>
      <c r="D92" s="11" t="str">
        <f aca="false">IF(C92="","",IFERROR(INDEX(Players!$C$5:$C$304,MATCH(C92,Players!$B$5:$B$304,0)),"UID not in Players sheet"))</f>
        <v/>
      </c>
      <c r="E92" s="12"/>
      <c r="F92" s="15"/>
      <c r="G92" s="21"/>
      <c r="H92" s="1"/>
      <c r="I92" s="1"/>
      <c r="J92" s="1"/>
    </row>
    <row r="93" customFormat="false" ht="21.75" hidden="false" customHeight="true" outlineLevel="0" collapsed="false">
      <c r="A93" s="1"/>
      <c r="B93" s="20"/>
      <c r="C93" s="15"/>
      <c r="D93" s="11" t="str">
        <f aca="false">IF(C93="","",IFERROR(INDEX(Players!$C$5:$C$304,MATCH(C93,Players!$B$5:$B$304,0)),"UID not in Players sheet"))</f>
        <v/>
      </c>
      <c r="E93" s="12"/>
      <c r="F93" s="15"/>
      <c r="G93" s="21"/>
      <c r="H93" s="1"/>
      <c r="I93" s="1"/>
      <c r="J93" s="1"/>
    </row>
    <row r="94" customFormat="false" ht="21.75" hidden="false" customHeight="true" outlineLevel="0" collapsed="false">
      <c r="A94" s="1"/>
      <c r="B94" s="20"/>
      <c r="C94" s="15"/>
      <c r="D94" s="11" t="str">
        <f aca="false">IF(C94="","",IFERROR(INDEX(Players!$C$5:$C$304,MATCH(C94,Players!$B$5:$B$304,0)),"UID not in Players sheet"))</f>
        <v/>
      </c>
      <c r="E94" s="12"/>
      <c r="F94" s="15"/>
      <c r="G94" s="21"/>
      <c r="H94" s="1"/>
      <c r="I94" s="1"/>
      <c r="J94" s="1"/>
    </row>
    <row r="95" customFormat="false" ht="21.75" hidden="false" customHeight="true" outlineLevel="0" collapsed="false">
      <c r="A95" s="1"/>
      <c r="B95" s="20"/>
      <c r="C95" s="15"/>
      <c r="D95" s="11" t="str">
        <f aca="false">IF(C95="","",IFERROR(INDEX(Players!$C$5:$C$304,MATCH(C95,Players!$B$5:$B$304,0)),"UID not in Players sheet"))</f>
        <v/>
      </c>
      <c r="E95" s="12"/>
      <c r="F95" s="15"/>
      <c r="G95" s="21"/>
      <c r="H95" s="1"/>
      <c r="I95" s="1"/>
      <c r="J95" s="1"/>
    </row>
    <row r="96" customFormat="false" ht="21.75" hidden="false" customHeight="true" outlineLevel="0" collapsed="false">
      <c r="A96" s="1"/>
      <c r="B96" s="20"/>
      <c r="C96" s="15"/>
      <c r="D96" s="11" t="str">
        <f aca="false">IF(C96="","",IFERROR(INDEX(Players!$C$5:$C$304,MATCH(C96,Players!$B$5:$B$304,0)),"UID not in Players sheet"))</f>
        <v/>
      </c>
      <c r="E96" s="12"/>
      <c r="F96" s="15"/>
      <c r="G96" s="21"/>
      <c r="H96" s="1"/>
      <c r="I96" s="1"/>
      <c r="J96" s="1"/>
    </row>
    <row r="97" customFormat="false" ht="21.75" hidden="false" customHeight="true" outlineLevel="0" collapsed="false">
      <c r="A97" s="1"/>
      <c r="B97" s="20"/>
      <c r="C97" s="15"/>
      <c r="D97" s="11" t="str">
        <f aca="false">IF(C97="","",IFERROR(INDEX(Players!$C$5:$C$304,MATCH(C97,Players!$B$5:$B$304,0)),"UID not in Players sheet"))</f>
        <v/>
      </c>
      <c r="E97" s="12"/>
      <c r="F97" s="15"/>
      <c r="G97" s="21"/>
      <c r="H97" s="1"/>
      <c r="I97" s="1"/>
      <c r="J97" s="1"/>
    </row>
    <row r="98" customFormat="false" ht="21.75" hidden="false" customHeight="true" outlineLevel="0" collapsed="false">
      <c r="A98" s="1"/>
      <c r="B98" s="20"/>
      <c r="C98" s="15"/>
      <c r="D98" s="11" t="str">
        <f aca="false">IF(C98="","",IFERROR(INDEX(Players!$C$5:$C$304,MATCH(C98,Players!$B$5:$B$304,0)),"UID not in Players sheet"))</f>
        <v/>
      </c>
      <c r="E98" s="12"/>
      <c r="F98" s="15"/>
      <c r="G98" s="21"/>
      <c r="H98" s="1"/>
      <c r="I98" s="1"/>
      <c r="J98" s="1"/>
    </row>
    <row r="99" customFormat="false" ht="21.75" hidden="false" customHeight="true" outlineLevel="0" collapsed="false">
      <c r="A99" s="1"/>
      <c r="B99" s="20"/>
      <c r="C99" s="15"/>
      <c r="D99" s="11" t="str">
        <f aca="false">IF(C99="","",IFERROR(INDEX(Players!$C$5:$C$304,MATCH(C99,Players!$B$5:$B$304,0)),"UID not in Players sheet"))</f>
        <v/>
      </c>
      <c r="E99" s="12"/>
      <c r="F99" s="15"/>
      <c r="G99" s="21"/>
      <c r="H99" s="1"/>
      <c r="I99" s="1"/>
      <c r="J99" s="1"/>
    </row>
    <row r="100" customFormat="false" ht="21.75" hidden="false" customHeight="true" outlineLevel="0" collapsed="false">
      <c r="A100" s="1"/>
      <c r="B100" s="20"/>
      <c r="C100" s="15"/>
      <c r="D100" s="11" t="str">
        <f aca="false">IF(C100="","",IFERROR(INDEX(Players!$C$5:$C$304,MATCH(C100,Players!$B$5:$B$304,0)),"UID not in Players sheet"))</f>
        <v/>
      </c>
      <c r="E100" s="12"/>
      <c r="F100" s="15"/>
      <c r="G100" s="21"/>
      <c r="H100" s="1"/>
      <c r="I100" s="1"/>
      <c r="J100" s="1"/>
    </row>
    <row r="101" customFormat="false" ht="21.75" hidden="false" customHeight="true" outlineLevel="0" collapsed="false">
      <c r="A101" s="1"/>
      <c r="B101" s="20"/>
      <c r="C101" s="15"/>
      <c r="D101" s="11" t="str">
        <f aca="false">IF(C101="","",IFERROR(INDEX(Players!$C$5:$C$304,MATCH(C101,Players!$B$5:$B$304,0)),"UID not in Players sheet"))</f>
        <v/>
      </c>
      <c r="E101" s="12"/>
      <c r="F101" s="15"/>
      <c r="G101" s="21"/>
      <c r="H101" s="1"/>
      <c r="I101" s="1"/>
      <c r="J101" s="1"/>
    </row>
    <row r="102" customFormat="false" ht="21.75" hidden="false" customHeight="true" outlineLevel="0" collapsed="false">
      <c r="A102" s="1"/>
      <c r="B102" s="20"/>
      <c r="C102" s="15"/>
      <c r="D102" s="11" t="str">
        <f aca="false">IF(C102="","",IFERROR(INDEX(Players!$C$5:$C$304,MATCH(C102,Players!$B$5:$B$304,0)),"UID not in Players sheet"))</f>
        <v/>
      </c>
      <c r="E102" s="12"/>
      <c r="F102" s="15"/>
      <c r="G102" s="21"/>
      <c r="H102" s="1"/>
      <c r="I102" s="1"/>
      <c r="J102" s="1"/>
    </row>
    <row r="103" customFormat="false" ht="21.75" hidden="false" customHeight="true" outlineLevel="0" collapsed="false">
      <c r="A103" s="1"/>
      <c r="B103" s="20"/>
      <c r="C103" s="15"/>
      <c r="D103" s="11" t="str">
        <f aca="false">IF(C103="","",IFERROR(INDEX(Players!$C$5:$C$304,MATCH(C103,Players!$B$5:$B$304,0)),"UID not in Players sheet"))</f>
        <v/>
      </c>
      <c r="E103" s="12"/>
      <c r="F103" s="15"/>
      <c r="G103" s="21"/>
      <c r="H103" s="1"/>
      <c r="I103" s="1"/>
      <c r="J103" s="1"/>
    </row>
    <row r="104" customFormat="false" ht="21.75" hidden="false" customHeight="true" outlineLevel="0" collapsed="false">
      <c r="A104" s="1"/>
      <c r="B104" s="20"/>
      <c r="C104" s="15"/>
      <c r="D104" s="11" t="str">
        <f aca="false">IF(C104="","",IFERROR(INDEX(Players!$C$5:$C$304,MATCH(C104,Players!$B$5:$B$304,0)),"UID not in Players sheet"))</f>
        <v/>
      </c>
      <c r="E104" s="12"/>
      <c r="F104" s="15"/>
      <c r="G104" s="21"/>
      <c r="H104" s="1"/>
      <c r="I104" s="1"/>
      <c r="J104" s="1"/>
    </row>
    <row r="105" customFormat="false" ht="21.75" hidden="false" customHeight="true" outlineLevel="0" collapsed="false">
      <c r="A105" s="1"/>
      <c r="B105" s="20"/>
      <c r="C105" s="15"/>
      <c r="D105" s="11" t="str">
        <f aca="false">IF(C105="","",IFERROR(INDEX(Players!$C$5:$C$304,MATCH(C105,Players!$B$5:$B$304,0)),"UID not in Players sheet"))</f>
        <v/>
      </c>
      <c r="E105" s="12"/>
      <c r="F105" s="15"/>
      <c r="G105" s="21"/>
      <c r="H105" s="1"/>
      <c r="I105" s="1"/>
      <c r="J105" s="1"/>
    </row>
    <row r="106" customFormat="false" ht="21.75" hidden="false" customHeight="true" outlineLevel="0" collapsed="false">
      <c r="A106" s="1"/>
      <c r="B106" s="20"/>
      <c r="C106" s="15"/>
      <c r="D106" s="11" t="str">
        <f aca="false">IF(C106="","",IFERROR(INDEX(Players!$C$5:$C$304,MATCH(C106,Players!$B$5:$B$304,0)),"UID not in Players sheet"))</f>
        <v/>
      </c>
      <c r="E106" s="12"/>
      <c r="F106" s="15"/>
      <c r="G106" s="21"/>
      <c r="H106" s="1"/>
      <c r="I106" s="1"/>
      <c r="J106" s="1"/>
    </row>
    <row r="107" customFormat="false" ht="21.75" hidden="false" customHeight="true" outlineLevel="0" collapsed="false">
      <c r="A107" s="1"/>
      <c r="B107" s="20"/>
      <c r="C107" s="15"/>
      <c r="D107" s="11" t="str">
        <f aca="false">IF(C107="","",IFERROR(INDEX(Players!$C$5:$C$304,MATCH(C107,Players!$B$5:$B$304,0)),"UID not in Players sheet"))</f>
        <v/>
      </c>
      <c r="E107" s="12"/>
      <c r="F107" s="15"/>
      <c r="G107" s="21"/>
      <c r="H107" s="1"/>
      <c r="I107" s="1"/>
      <c r="J107" s="1"/>
    </row>
    <row r="108" customFormat="false" ht="21.75" hidden="false" customHeight="true" outlineLevel="0" collapsed="false">
      <c r="A108" s="1"/>
      <c r="B108" s="20"/>
      <c r="C108" s="15"/>
      <c r="D108" s="11" t="str">
        <f aca="false">IF(C108="","",IFERROR(INDEX(Players!$C$5:$C$304,MATCH(C108,Players!$B$5:$B$304,0)),"UID not in Players sheet"))</f>
        <v/>
      </c>
      <c r="E108" s="12"/>
      <c r="F108" s="15"/>
      <c r="G108" s="21"/>
      <c r="H108" s="1"/>
      <c r="I108" s="1"/>
      <c r="J108" s="1"/>
    </row>
    <row r="109" customFormat="false" ht="21.75" hidden="false" customHeight="true" outlineLevel="0" collapsed="false">
      <c r="A109" s="1"/>
      <c r="B109" s="20"/>
      <c r="C109" s="15"/>
      <c r="D109" s="11" t="str">
        <f aca="false">IF(C109="","",IFERROR(INDEX(Players!$C$5:$C$304,MATCH(C109,Players!$B$5:$B$304,0)),"UID not in Players sheet"))</f>
        <v/>
      </c>
      <c r="E109" s="12"/>
      <c r="F109" s="15"/>
      <c r="G109" s="21"/>
      <c r="H109" s="1"/>
      <c r="I109" s="1"/>
      <c r="J109" s="1"/>
    </row>
    <row r="110" customFormat="false" ht="21.75" hidden="false" customHeight="true" outlineLevel="0" collapsed="false">
      <c r="A110" s="1"/>
      <c r="B110" s="20"/>
      <c r="C110" s="15"/>
      <c r="D110" s="11" t="str">
        <f aca="false">IF(C110="","",IFERROR(INDEX(Players!$C$5:$C$304,MATCH(C110,Players!$B$5:$B$304,0)),"UID not in Players sheet"))</f>
        <v/>
      </c>
      <c r="E110" s="12"/>
      <c r="F110" s="15"/>
      <c r="G110" s="21"/>
      <c r="H110" s="1"/>
      <c r="I110" s="1"/>
      <c r="J110" s="1"/>
    </row>
    <row r="111" customFormat="false" ht="21.75" hidden="false" customHeight="true" outlineLevel="0" collapsed="false">
      <c r="A111" s="1"/>
      <c r="B111" s="20"/>
      <c r="C111" s="15"/>
      <c r="D111" s="11" t="str">
        <f aca="false">IF(C111="","",IFERROR(INDEX(Players!$C$5:$C$304,MATCH(C111,Players!$B$5:$B$304,0)),"UID not in Players sheet"))</f>
        <v/>
      </c>
      <c r="E111" s="12"/>
      <c r="F111" s="15"/>
      <c r="G111" s="21"/>
      <c r="H111" s="1"/>
      <c r="I111" s="1"/>
      <c r="J111" s="1"/>
    </row>
    <row r="112" customFormat="false" ht="21.75" hidden="false" customHeight="true" outlineLevel="0" collapsed="false">
      <c r="A112" s="1"/>
      <c r="B112" s="20"/>
      <c r="C112" s="15"/>
      <c r="D112" s="11" t="str">
        <f aca="false">IF(C112="","",IFERROR(INDEX(Players!$C$5:$C$304,MATCH(C112,Players!$B$5:$B$304,0)),"UID not in Players sheet"))</f>
        <v/>
      </c>
      <c r="E112" s="12"/>
      <c r="F112" s="15"/>
      <c r="G112" s="21"/>
      <c r="H112" s="1"/>
      <c r="I112" s="1"/>
      <c r="J112" s="1"/>
    </row>
    <row r="113" customFormat="false" ht="21.75" hidden="false" customHeight="true" outlineLevel="0" collapsed="false">
      <c r="A113" s="1"/>
      <c r="B113" s="20"/>
      <c r="C113" s="15"/>
      <c r="D113" s="11" t="str">
        <f aca="false">IF(C113="","",IFERROR(INDEX(Players!$C$5:$C$304,MATCH(C113,Players!$B$5:$B$304,0)),"UID not in Players sheet"))</f>
        <v/>
      </c>
      <c r="E113" s="12"/>
      <c r="F113" s="15"/>
      <c r="G113" s="21"/>
      <c r="H113" s="1"/>
      <c r="I113" s="1"/>
      <c r="J113" s="1"/>
    </row>
    <row r="114" customFormat="false" ht="21.75" hidden="false" customHeight="true" outlineLevel="0" collapsed="false">
      <c r="A114" s="1"/>
      <c r="B114" s="20"/>
      <c r="C114" s="15"/>
      <c r="D114" s="11" t="str">
        <f aca="false">IF(C114="","",IFERROR(INDEX(Players!$C$5:$C$304,MATCH(C114,Players!$B$5:$B$304,0)),"UID not in Players sheet"))</f>
        <v/>
      </c>
      <c r="E114" s="12"/>
      <c r="F114" s="15"/>
      <c r="G114" s="21"/>
      <c r="H114" s="1"/>
      <c r="I114" s="1"/>
      <c r="J114" s="1"/>
    </row>
    <row r="115" customFormat="false" ht="21.75" hidden="false" customHeight="true" outlineLevel="0" collapsed="false">
      <c r="A115" s="1"/>
      <c r="B115" s="20"/>
      <c r="C115" s="15"/>
      <c r="D115" s="11" t="str">
        <f aca="false">IF(C115="","",IFERROR(INDEX(Players!$C$5:$C$304,MATCH(C115,Players!$B$5:$B$304,0)),"UID not in Players sheet"))</f>
        <v/>
      </c>
      <c r="E115" s="12"/>
      <c r="F115" s="15"/>
      <c r="G115" s="21"/>
      <c r="H115" s="1"/>
      <c r="I115" s="1"/>
      <c r="J115" s="1"/>
    </row>
    <row r="116" customFormat="false" ht="21.75" hidden="false" customHeight="true" outlineLevel="0" collapsed="false">
      <c r="A116" s="1"/>
      <c r="B116" s="20"/>
      <c r="C116" s="15"/>
      <c r="D116" s="11" t="str">
        <f aca="false">IF(C116="","",IFERROR(INDEX(Players!$C$5:$C$304,MATCH(C116,Players!$B$5:$B$304,0)),"UID not in Players sheet"))</f>
        <v/>
      </c>
      <c r="E116" s="12"/>
      <c r="F116" s="15"/>
      <c r="G116" s="21"/>
      <c r="H116" s="1"/>
      <c r="I116" s="1"/>
      <c r="J116" s="1"/>
    </row>
    <row r="117" customFormat="false" ht="21.75" hidden="false" customHeight="true" outlineLevel="0" collapsed="false">
      <c r="A117" s="1"/>
      <c r="B117" s="20"/>
      <c r="C117" s="15"/>
      <c r="D117" s="11" t="str">
        <f aca="false">IF(C117="","",IFERROR(INDEX(Players!$C$5:$C$304,MATCH(C117,Players!$B$5:$B$304,0)),"UID not in Players sheet"))</f>
        <v/>
      </c>
      <c r="E117" s="12"/>
      <c r="F117" s="15"/>
      <c r="G117" s="21"/>
      <c r="H117" s="1"/>
      <c r="I117" s="1"/>
      <c r="J117" s="1"/>
    </row>
    <row r="118" customFormat="false" ht="21.75" hidden="false" customHeight="true" outlineLevel="0" collapsed="false">
      <c r="A118" s="1"/>
      <c r="B118" s="20"/>
      <c r="C118" s="15"/>
      <c r="D118" s="11" t="str">
        <f aca="false">IF(C118="","",IFERROR(INDEX(Players!$C$5:$C$304,MATCH(C118,Players!$B$5:$B$304,0)),"UID not in Players sheet"))</f>
        <v/>
      </c>
      <c r="E118" s="12"/>
      <c r="F118" s="15"/>
      <c r="G118" s="21"/>
      <c r="H118" s="1"/>
      <c r="I118" s="1"/>
      <c r="J118" s="1"/>
    </row>
    <row r="119" customFormat="false" ht="21.75" hidden="false" customHeight="true" outlineLevel="0" collapsed="false">
      <c r="A119" s="1"/>
      <c r="B119" s="20"/>
      <c r="C119" s="15"/>
      <c r="D119" s="11" t="str">
        <f aca="false">IF(C119="","",IFERROR(INDEX(Players!$C$5:$C$304,MATCH(C119,Players!$B$5:$B$304,0)),"UID not in Players sheet"))</f>
        <v/>
      </c>
      <c r="E119" s="12"/>
      <c r="F119" s="15"/>
      <c r="G119" s="21"/>
      <c r="H119" s="1"/>
      <c r="I119" s="1"/>
      <c r="J119" s="1"/>
    </row>
    <row r="120" customFormat="false" ht="21.75" hidden="false" customHeight="true" outlineLevel="0" collapsed="false">
      <c r="A120" s="1"/>
      <c r="B120" s="20"/>
      <c r="C120" s="15"/>
      <c r="D120" s="11" t="str">
        <f aca="false">IF(C120="","",IFERROR(INDEX(Players!$C$5:$C$304,MATCH(C120,Players!$B$5:$B$304,0)),"UID not in Players sheet"))</f>
        <v/>
      </c>
      <c r="E120" s="12"/>
      <c r="F120" s="15"/>
      <c r="G120" s="21"/>
      <c r="H120" s="1"/>
      <c r="I120" s="1"/>
      <c r="J120" s="1"/>
    </row>
    <row r="121" customFormat="false" ht="21.75" hidden="false" customHeight="true" outlineLevel="0" collapsed="false">
      <c r="A121" s="1"/>
      <c r="B121" s="20"/>
      <c r="C121" s="15"/>
      <c r="D121" s="11" t="str">
        <f aca="false">IF(C121="","",IFERROR(INDEX(Players!$C$5:$C$304,MATCH(C121,Players!$B$5:$B$304,0)),"UID not in Players sheet"))</f>
        <v/>
      </c>
      <c r="E121" s="12"/>
      <c r="F121" s="15"/>
      <c r="G121" s="21"/>
      <c r="H121" s="1"/>
      <c r="I121" s="1"/>
      <c r="J121" s="1"/>
    </row>
    <row r="122" customFormat="false" ht="21.75" hidden="false" customHeight="true" outlineLevel="0" collapsed="false">
      <c r="A122" s="1"/>
      <c r="B122" s="20"/>
      <c r="C122" s="15"/>
      <c r="D122" s="11" t="str">
        <f aca="false">IF(C122="","",IFERROR(INDEX(Players!$C$5:$C$304,MATCH(C122,Players!$B$5:$B$304,0)),"UID not in Players sheet"))</f>
        <v/>
      </c>
      <c r="E122" s="12"/>
      <c r="F122" s="15"/>
      <c r="G122" s="21"/>
      <c r="H122" s="1"/>
      <c r="I122" s="1"/>
      <c r="J122" s="1"/>
    </row>
    <row r="123" customFormat="false" ht="21.75" hidden="false" customHeight="true" outlineLevel="0" collapsed="false">
      <c r="A123" s="1"/>
      <c r="B123" s="20"/>
      <c r="C123" s="15"/>
      <c r="D123" s="11" t="str">
        <f aca="false">IF(C123="","",IFERROR(INDEX(Players!$C$5:$C$304,MATCH(C123,Players!$B$5:$B$304,0)),"UID not in Players sheet"))</f>
        <v/>
      </c>
      <c r="E123" s="12"/>
      <c r="F123" s="15"/>
      <c r="G123" s="21"/>
      <c r="H123" s="1"/>
      <c r="I123" s="1"/>
      <c r="J123" s="1"/>
    </row>
    <row r="124" customFormat="false" ht="21.75" hidden="false" customHeight="true" outlineLevel="0" collapsed="false">
      <c r="A124" s="1"/>
      <c r="B124" s="20"/>
      <c r="C124" s="15"/>
      <c r="D124" s="11" t="str">
        <f aca="false">IF(C124="","",IFERROR(INDEX(Players!$C$5:$C$304,MATCH(C124,Players!$B$5:$B$304,0)),"UID not in Players sheet"))</f>
        <v/>
      </c>
      <c r="E124" s="12"/>
      <c r="F124" s="15"/>
      <c r="G124" s="21"/>
      <c r="H124" s="1"/>
      <c r="I124" s="1"/>
      <c r="J124" s="1"/>
    </row>
    <row r="125" customFormat="false" ht="21.75" hidden="false" customHeight="true" outlineLevel="0" collapsed="false">
      <c r="A125" s="1"/>
      <c r="B125" s="20"/>
      <c r="C125" s="15"/>
      <c r="D125" s="11" t="str">
        <f aca="false">IF(C125="","",IFERROR(INDEX(Players!$C$5:$C$304,MATCH(C125,Players!$B$5:$B$304,0)),"UID not in Players sheet"))</f>
        <v/>
      </c>
      <c r="E125" s="12"/>
      <c r="F125" s="15"/>
      <c r="G125" s="21"/>
      <c r="H125" s="1"/>
      <c r="I125" s="1"/>
      <c r="J125" s="1"/>
    </row>
    <row r="126" customFormat="false" ht="21.75" hidden="false" customHeight="true" outlineLevel="0" collapsed="false">
      <c r="A126" s="1"/>
      <c r="B126" s="20"/>
      <c r="C126" s="15"/>
      <c r="D126" s="11" t="str">
        <f aca="false">IF(C126="","",IFERROR(INDEX(Players!$C$5:$C$304,MATCH(C126,Players!$B$5:$B$304,0)),"UID not in Players sheet"))</f>
        <v/>
      </c>
      <c r="E126" s="12"/>
      <c r="F126" s="15"/>
      <c r="G126" s="21"/>
      <c r="H126" s="1"/>
      <c r="I126" s="1"/>
      <c r="J126" s="1"/>
    </row>
    <row r="127" customFormat="false" ht="21.75" hidden="false" customHeight="true" outlineLevel="0" collapsed="false">
      <c r="A127" s="1"/>
      <c r="B127" s="20"/>
      <c r="C127" s="15"/>
      <c r="D127" s="11" t="str">
        <f aca="false">IF(C127="","",IFERROR(INDEX(Players!$C$5:$C$304,MATCH(C127,Players!$B$5:$B$304,0)),"UID not in Players sheet"))</f>
        <v/>
      </c>
      <c r="E127" s="12"/>
      <c r="F127" s="15"/>
      <c r="G127" s="21"/>
      <c r="H127" s="1"/>
      <c r="I127" s="1"/>
      <c r="J127" s="1"/>
    </row>
    <row r="128" customFormat="false" ht="21.75" hidden="false" customHeight="true" outlineLevel="0" collapsed="false">
      <c r="A128" s="1"/>
      <c r="B128" s="20"/>
      <c r="C128" s="15"/>
      <c r="D128" s="11" t="str">
        <f aca="false">IF(C128="","",IFERROR(INDEX(Players!$C$5:$C$304,MATCH(C128,Players!$B$5:$B$304,0)),"UID not in Players sheet"))</f>
        <v/>
      </c>
      <c r="E128" s="12"/>
      <c r="F128" s="15"/>
      <c r="G128" s="21"/>
      <c r="H128" s="1"/>
      <c r="I128" s="1"/>
      <c r="J128" s="1"/>
    </row>
    <row r="129" customFormat="false" ht="21.75" hidden="false" customHeight="true" outlineLevel="0" collapsed="false">
      <c r="A129" s="1"/>
      <c r="B129" s="20"/>
      <c r="C129" s="15"/>
      <c r="D129" s="11" t="str">
        <f aca="false">IF(C129="","",IFERROR(INDEX(Players!$C$5:$C$304,MATCH(C129,Players!$B$5:$B$304,0)),"UID not in Players sheet"))</f>
        <v/>
      </c>
      <c r="E129" s="12"/>
      <c r="F129" s="15"/>
      <c r="G129" s="21"/>
      <c r="H129" s="1"/>
      <c r="I129" s="1"/>
      <c r="J129" s="1"/>
    </row>
    <row r="130" customFormat="false" ht="21.75" hidden="false" customHeight="true" outlineLevel="0" collapsed="false">
      <c r="A130" s="1"/>
      <c r="B130" s="20"/>
      <c r="C130" s="15"/>
      <c r="D130" s="11" t="str">
        <f aca="false">IF(C130="","",IFERROR(INDEX(Players!$C$5:$C$304,MATCH(C130,Players!$B$5:$B$304,0)),"UID not in Players sheet"))</f>
        <v/>
      </c>
      <c r="E130" s="12"/>
      <c r="F130" s="15"/>
      <c r="G130" s="21"/>
      <c r="H130" s="1"/>
      <c r="I130" s="1"/>
      <c r="J130" s="1"/>
    </row>
    <row r="131" customFormat="false" ht="21.75" hidden="false" customHeight="true" outlineLevel="0" collapsed="false">
      <c r="A131" s="1"/>
      <c r="B131" s="20"/>
      <c r="C131" s="15"/>
      <c r="D131" s="11" t="str">
        <f aca="false">IF(C131="","",IFERROR(INDEX(Players!$C$5:$C$304,MATCH(C131,Players!$B$5:$B$304,0)),"UID not in Players sheet"))</f>
        <v/>
      </c>
      <c r="E131" s="12"/>
      <c r="F131" s="15"/>
      <c r="G131" s="21"/>
      <c r="H131" s="1"/>
      <c r="I131" s="1"/>
      <c r="J131" s="1"/>
    </row>
    <row r="132" customFormat="false" ht="21.75" hidden="false" customHeight="true" outlineLevel="0" collapsed="false">
      <c r="A132" s="1"/>
      <c r="B132" s="20"/>
      <c r="C132" s="15"/>
      <c r="D132" s="11" t="str">
        <f aca="false">IF(C132="","",IFERROR(INDEX(Players!$C$5:$C$304,MATCH(C132,Players!$B$5:$B$304,0)),"UID not in Players sheet"))</f>
        <v/>
      </c>
      <c r="E132" s="12"/>
      <c r="F132" s="15"/>
      <c r="G132" s="21"/>
      <c r="H132" s="1"/>
      <c r="I132" s="1"/>
      <c r="J132" s="1"/>
    </row>
    <row r="133" customFormat="false" ht="21.75" hidden="false" customHeight="true" outlineLevel="0" collapsed="false">
      <c r="A133" s="1"/>
      <c r="B133" s="20"/>
      <c r="C133" s="15"/>
      <c r="D133" s="11" t="str">
        <f aca="false">IF(C133="","",IFERROR(INDEX(Players!$C$5:$C$304,MATCH(C133,Players!$B$5:$B$304,0)),"UID not in Players sheet"))</f>
        <v/>
      </c>
      <c r="E133" s="12"/>
      <c r="F133" s="15"/>
      <c r="G133" s="21"/>
      <c r="H133" s="1"/>
      <c r="I133" s="1"/>
      <c r="J133" s="1"/>
    </row>
    <row r="134" customFormat="false" ht="21.75" hidden="false" customHeight="true" outlineLevel="0" collapsed="false">
      <c r="A134" s="1"/>
      <c r="B134" s="20"/>
      <c r="C134" s="15"/>
      <c r="D134" s="11" t="str">
        <f aca="false">IF(C134="","",IFERROR(INDEX(Players!$C$5:$C$304,MATCH(C134,Players!$B$5:$B$304,0)),"UID not in Players sheet"))</f>
        <v/>
      </c>
      <c r="E134" s="12"/>
      <c r="F134" s="15"/>
      <c r="G134" s="21"/>
      <c r="H134" s="1"/>
      <c r="I134" s="1"/>
      <c r="J134" s="1"/>
    </row>
    <row r="135" customFormat="false" ht="21.75" hidden="false" customHeight="true" outlineLevel="0" collapsed="false">
      <c r="A135" s="1"/>
      <c r="B135" s="20"/>
      <c r="C135" s="15"/>
      <c r="D135" s="11" t="str">
        <f aca="false">IF(C135="","",IFERROR(INDEX(Players!$C$5:$C$304,MATCH(C135,Players!$B$5:$B$304,0)),"UID not in Players sheet"))</f>
        <v/>
      </c>
      <c r="E135" s="12"/>
      <c r="F135" s="15"/>
      <c r="G135" s="21"/>
      <c r="H135" s="1"/>
      <c r="I135" s="1"/>
      <c r="J135" s="1"/>
    </row>
    <row r="136" customFormat="false" ht="21.75" hidden="false" customHeight="true" outlineLevel="0" collapsed="false">
      <c r="A136" s="1"/>
      <c r="B136" s="20"/>
      <c r="C136" s="15"/>
      <c r="D136" s="11" t="str">
        <f aca="false">IF(C136="","",IFERROR(INDEX(Players!$C$5:$C$304,MATCH(C136,Players!$B$5:$B$304,0)),"UID not in Players sheet"))</f>
        <v/>
      </c>
      <c r="E136" s="12"/>
      <c r="F136" s="15"/>
      <c r="G136" s="21"/>
      <c r="H136" s="1"/>
      <c r="I136" s="1"/>
      <c r="J136" s="1"/>
    </row>
    <row r="137" customFormat="false" ht="21.75" hidden="false" customHeight="true" outlineLevel="0" collapsed="false">
      <c r="A137" s="1"/>
      <c r="B137" s="20"/>
      <c r="C137" s="15"/>
      <c r="D137" s="11" t="str">
        <f aca="false">IF(C137="","",IFERROR(INDEX(Players!$C$5:$C$304,MATCH(C137,Players!$B$5:$B$304,0)),"UID not in Players sheet"))</f>
        <v/>
      </c>
      <c r="E137" s="12"/>
      <c r="F137" s="15"/>
      <c r="G137" s="21"/>
      <c r="H137" s="1"/>
      <c r="I137" s="1"/>
      <c r="J137" s="1"/>
    </row>
    <row r="138" customFormat="false" ht="21.75" hidden="false" customHeight="true" outlineLevel="0" collapsed="false">
      <c r="A138" s="1"/>
      <c r="B138" s="20"/>
      <c r="C138" s="15"/>
      <c r="D138" s="11" t="str">
        <f aca="false">IF(C138="","",IFERROR(INDEX(Players!$C$5:$C$304,MATCH(C138,Players!$B$5:$B$304,0)),"UID not in Players sheet"))</f>
        <v/>
      </c>
      <c r="E138" s="12"/>
      <c r="F138" s="15"/>
      <c r="G138" s="21"/>
      <c r="H138" s="1"/>
      <c r="I138" s="1"/>
      <c r="J138" s="1"/>
    </row>
    <row r="139" customFormat="false" ht="21.75" hidden="false" customHeight="true" outlineLevel="0" collapsed="false">
      <c r="A139" s="1"/>
      <c r="B139" s="20"/>
      <c r="C139" s="15"/>
      <c r="D139" s="11" t="str">
        <f aca="false">IF(C139="","",IFERROR(INDEX(Players!$C$5:$C$304,MATCH(C139,Players!$B$5:$B$304,0)),"UID not in Players sheet"))</f>
        <v/>
      </c>
      <c r="E139" s="12"/>
      <c r="F139" s="15"/>
      <c r="G139" s="21"/>
      <c r="H139" s="1"/>
      <c r="I139" s="1"/>
      <c r="J139" s="1"/>
    </row>
    <row r="140" customFormat="false" ht="21.75" hidden="false" customHeight="true" outlineLevel="0" collapsed="false">
      <c r="A140" s="1"/>
      <c r="B140" s="20"/>
      <c r="C140" s="15"/>
      <c r="D140" s="11" t="str">
        <f aca="false">IF(C140="","",IFERROR(INDEX(Players!$C$5:$C$304,MATCH(C140,Players!$B$5:$B$304,0)),"UID not in Players sheet"))</f>
        <v/>
      </c>
      <c r="E140" s="12"/>
      <c r="F140" s="15"/>
      <c r="G140" s="21"/>
      <c r="H140" s="1"/>
      <c r="I140" s="1"/>
      <c r="J140" s="1"/>
    </row>
    <row r="141" customFormat="false" ht="21.75" hidden="false" customHeight="true" outlineLevel="0" collapsed="false">
      <c r="A141" s="1"/>
      <c r="B141" s="20"/>
      <c r="C141" s="15"/>
      <c r="D141" s="11" t="str">
        <f aca="false">IF(C141="","",IFERROR(INDEX(Players!$C$5:$C$304,MATCH(C141,Players!$B$5:$B$304,0)),"UID not in Players sheet"))</f>
        <v/>
      </c>
      <c r="E141" s="12"/>
      <c r="F141" s="15"/>
      <c r="G141" s="21"/>
      <c r="H141" s="1"/>
      <c r="I141" s="1"/>
      <c r="J141" s="1"/>
    </row>
    <row r="142" customFormat="false" ht="21.75" hidden="false" customHeight="true" outlineLevel="0" collapsed="false">
      <c r="A142" s="1"/>
      <c r="B142" s="20"/>
      <c r="C142" s="15"/>
      <c r="D142" s="11" t="str">
        <f aca="false">IF(C142="","",IFERROR(INDEX(Players!$C$5:$C$304,MATCH(C142,Players!$B$5:$B$304,0)),"UID not in Players sheet"))</f>
        <v/>
      </c>
      <c r="E142" s="12"/>
      <c r="F142" s="15"/>
      <c r="G142" s="21"/>
      <c r="H142" s="1"/>
      <c r="I142" s="1"/>
      <c r="J142" s="1"/>
    </row>
    <row r="143" customFormat="false" ht="21.75" hidden="false" customHeight="true" outlineLevel="0" collapsed="false">
      <c r="A143" s="1"/>
      <c r="B143" s="20"/>
      <c r="C143" s="15"/>
      <c r="D143" s="11" t="str">
        <f aca="false">IF(C143="","",IFERROR(INDEX(Players!$C$5:$C$304,MATCH(C143,Players!$B$5:$B$304,0)),"UID not in Players sheet"))</f>
        <v/>
      </c>
      <c r="E143" s="12"/>
      <c r="F143" s="15"/>
      <c r="G143" s="21"/>
      <c r="H143" s="1"/>
      <c r="I143" s="1"/>
      <c r="J143" s="1"/>
    </row>
    <row r="144" customFormat="false" ht="21.75" hidden="false" customHeight="true" outlineLevel="0" collapsed="false">
      <c r="A144" s="1"/>
      <c r="B144" s="20"/>
      <c r="C144" s="15"/>
      <c r="D144" s="11" t="str">
        <f aca="false">IF(C144="","",IFERROR(INDEX(Players!$C$5:$C$304,MATCH(C144,Players!$B$5:$B$304,0)),"UID not in Players sheet"))</f>
        <v/>
      </c>
      <c r="E144" s="12"/>
      <c r="F144" s="15"/>
      <c r="G144" s="21"/>
      <c r="H144" s="1"/>
      <c r="I144" s="1"/>
      <c r="J144" s="1"/>
    </row>
    <row r="145" customFormat="false" ht="21.75" hidden="false" customHeight="true" outlineLevel="0" collapsed="false">
      <c r="A145" s="1"/>
      <c r="B145" s="20"/>
      <c r="C145" s="15"/>
      <c r="D145" s="11" t="str">
        <f aca="false">IF(C145="","",IFERROR(INDEX(Players!$C$5:$C$304,MATCH(C145,Players!$B$5:$B$304,0)),"UID not in Players sheet"))</f>
        <v/>
      </c>
      <c r="E145" s="12"/>
      <c r="F145" s="15"/>
      <c r="G145" s="21"/>
      <c r="H145" s="1"/>
      <c r="I145" s="1"/>
      <c r="J145" s="1"/>
    </row>
    <row r="146" customFormat="false" ht="21.75" hidden="false" customHeight="true" outlineLevel="0" collapsed="false">
      <c r="A146" s="1"/>
      <c r="B146" s="20"/>
      <c r="C146" s="15"/>
      <c r="D146" s="11" t="str">
        <f aca="false">IF(C146="","",IFERROR(INDEX(Players!$C$5:$C$304,MATCH(C146,Players!$B$5:$B$304,0)),"UID not in Players sheet"))</f>
        <v/>
      </c>
      <c r="E146" s="12"/>
      <c r="F146" s="15"/>
      <c r="G146" s="21"/>
      <c r="H146" s="1"/>
      <c r="I146" s="1"/>
      <c r="J146" s="1"/>
    </row>
    <row r="147" customFormat="false" ht="21.75" hidden="false" customHeight="true" outlineLevel="0" collapsed="false">
      <c r="A147" s="1"/>
      <c r="B147" s="20"/>
      <c r="C147" s="15"/>
      <c r="D147" s="11" t="str">
        <f aca="false">IF(C147="","",IFERROR(INDEX(Players!$C$5:$C$304,MATCH(C147,Players!$B$5:$B$304,0)),"UID not in Players sheet"))</f>
        <v/>
      </c>
      <c r="E147" s="12"/>
      <c r="F147" s="15"/>
      <c r="G147" s="21"/>
      <c r="H147" s="1"/>
      <c r="I147" s="1"/>
      <c r="J147" s="1"/>
    </row>
    <row r="148" customFormat="false" ht="21.75" hidden="false" customHeight="true" outlineLevel="0" collapsed="false">
      <c r="A148" s="1"/>
      <c r="B148" s="20"/>
      <c r="C148" s="15"/>
      <c r="D148" s="11" t="str">
        <f aca="false">IF(C148="","",IFERROR(INDEX(Players!$C$5:$C$304,MATCH(C148,Players!$B$5:$B$304,0)),"UID not in Players sheet"))</f>
        <v/>
      </c>
      <c r="E148" s="12"/>
      <c r="F148" s="15"/>
      <c r="G148" s="21"/>
      <c r="H148" s="1"/>
      <c r="I148" s="1"/>
      <c r="J148" s="1"/>
    </row>
    <row r="149" customFormat="false" ht="21.75" hidden="false" customHeight="true" outlineLevel="0" collapsed="false">
      <c r="A149" s="1"/>
      <c r="B149" s="20"/>
      <c r="C149" s="15"/>
      <c r="D149" s="11" t="str">
        <f aca="false">IF(C149="","",IFERROR(INDEX(Players!$C$5:$C$304,MATCH(C149,Players!$B$5:$B$304,0)),"UID not in Players sheet"))</f>
        <v/>
      </c>
      <c r="E149" s="12"/>
      <c r="F149" s="15"/>
      <c r="G149" s="21"/>
      <c r="H149" s="1"/>
      <c r="I149" s="1"/>
      <c r="J149" s="1"/>
    </row>
    <row r="150" customFormat="false" ht="21.75" hidden="false" customHeight="true" outlineLevel="0" collapsed="false">
      <c r="A150" s="1"/>
      <c r="B150" s="20"/>
      <c r="C150" s="15"/>
      <c r="D150" s="11" t="str">
        <f aca="false">IF(C150="","",IFERROR(INDEX(Players!$C$5:$C$304,MATCH(C150,Players!$B$5:$B$304,0)),"UID not in Players sheet"))</f>
        <v/>
      </c>
      <c r="E150" s="12"/>
      <c r="F150" s="15"/>
      <c r="G150" s="21"/>
      <c r="H150" s="1"/>
      <c r="I150" s="1"/>
      <c r="J150" s="1"/>
    </row>
    <row r="151" customFormat="false" ht="21.75" hidden="false" customHeight="true" outlineLevel="0" collapsed="false">
      <c r="A151" s="1"/>
      <c r="B151" s="20"/>
      <c r="C151" s="15"/>
      <c r="D151" s="11" t="str">
        <f aca="false">IF(C151="","",IFERROR(INDEX(Players!$C$5:$C$304,MATCH(C151,Players!$B$5:$B$304,0)),"UID not in Players sheet"))</f>
        <v/>
      </c>
      <c r="E151" s="12"/>
      <c r="F151" s="15"/>
      <c r="G151" s="21"/>
      <c r="H151" s="1"/>
      <c r="I151" s="1"/>
      <c r="J151" s="1"/>
    </row>
    <row r="152" customFormat="false" ht="21.75" hidden="false" customHeight="true" outlineLevel="0" collapsed="false">
      <c r="A152" s="1"/>
      <c r="B152" s="20"/>
      <c r="C152" s="15"/>
      <c r="D152" s="11" t="str">
        <f aca="false">IF(C152="","",IFERROR(INDEX(Players!$C$5:$C$304,MATCH(C152,Players!$B$5:$B$304,0)),"UID not in Players sheet"))</f>
        <v/>
      </c>
      <c r="E152" s="12"/>
      <c r="F152" s="15"/>
      <c r="G152" s="21"/>
      <c r="H152" s="1"/>
      <c r="I152" s="1"/>
      <c r="J152" s="1"/>
    </row>
    <row r="153" customFormat="false" ht="21.75" hidden="false" customHeight="true" outlineLevel="0" collapsed="false">
      <c r="A153" s="1"/>
      <c r="B153" s="20"/>
      <c r="C153" s="15"/>
      <c r="D153" s="11" t="str">
        <f aca="false">IF(C153="","",IFERROR(INDEX(Players!$C$5:$C$304,MATCH(C153,Players!$B$5:$B$304,0)),"UID not in Players sheet"))</f>
        <v/>
      </c>
      <c r="E153" s="12"/>
      <c r="F153" s="15"/>
      <c r="G153" s="21"/>
      <c r="H153" s="1"/>
      <c r="I153" s="1"/>
      <c r="J153" s="1"/>
    </row>
    <row r="154" customFormat="false" ht="21.75" hidden="false" customHeight="true" outlineLevel="0" collapsed="false">
      <c r="A154" s="1"/>
      <c r="B154" s="20"/>
      <c r="C154" s="15"/>
      <c r="D154" s="11" t="str">
        <f aca="false">IF(C154="","",IFERROR(INDEX(Players!$C$5:$C$304,MATCH(C154,Players!$B$5:$B$304,0)),"UID not in Players sheet"))</f>
        <v/>
      </c>
      <c r="E154" s="12"/>
      <c r="F154" s="15"/>
      <c r="G154" s="21"/>
      <c r="H154" s="1"/>
      <c r="I154" s="1"/>
      <c r="J154" s="1"/>
    </row>
    <row r="155" customFormat="false" ht="21.75" hidden="false" customHeight="true" outlineLevel="0" collapsed="false">
      <c r="A155" s="1"/>
      <c r="B155" s="20"/>
      <c r="C155" s="15"/>
      <c r="D155" s="11" t="str">
        <f aca="false">IF(C155="","",IFERROR(INDEX(Players!$C$5:$C$304,MATCH(C155,Players!$B$5:$B$304,0)),"UID not in Players sheet"))</f>
        <v/>
      </c>
      <c r="E155" s="12"/>
      <c r="F155" s="15"/>
      <c r="G155" s="21"/>
      <c r="H155" s="1"/>
      <c r="I155" s="1"/>
      <c r="J155" s="1"/>
    </row>
    <row r="156" customFormat="false" ht="21.75" hidden="false" customHeight="true" outlineLevel="0" collapsed="false">
      <c r="A156" s="1"/>
      <c r="B156" s="20"/>
      <c r="C156" s="15"/>
      <c r="D156" s="11" t="str">
        <f aca="false">IF(C156="","",IFERROR(INDEX(Players!$C$5:$C$304,MATCH(C156,Players!$B$5:$B$304,0)),"UID not in Players sheet"))</f>
        <v/>
      </c>
      <c r="E156" s="12"/>
      <c r="F156" s="15"/>
      <c r="G156" s="21"/>
      <c r="H156" s="1"/>
      <c r="I156" s="1"/>
      <c r="J156" s="1"/>
    </row>
    <row r="157" customFormat="false" ht="21.75" hidden="false" customHeight="true" outlineLevel="0" collapsed="false">
      <c r="A157" s="1"/>
      <c r="B157" s="20"/>
      <c r="C157" s="15"/>
      <c r="D157" s="11" t="str">
        <f aca="false">IF(C157="","",IFERROR(INDEX(Players!$C$5:$C$304,MATCH(C157,Players!$B$5:$B$304,0)),"UID not in Players sheet"))</f>
        <v/>
      </c>
      <c r="E157" s="12"/>
      <c r="F157" s="15"/>
      <c r="G157" s="21"/>
      <c r="H157" s="1"/>
      <c r="I157" s="1"/>
      <c r="J157" s="1"/>
    </row>
    <row r="158" customFormat="false" ht="21.75" hidden="false" customHeight="true" outlineLevel="0" collapsed="false">
      <c r="A158" s="1"/>
      <c r="B158" s="20"/>
      <c r="C158" s="15"/>
      <c r="D158" s="11" t="str">
        <f aca="false">IF(C158="","",IFERROR(INDEX(Players!$C$5:$C$304,MATCH(C158,Players!$B$5:$B$304,0)),"UID not in Players sheet"))</f>
        <v/>
      </c>
      <c r="E158" s="12"/>
      <c r="F158" s="15"/>
      <c r="G158" s="21"/>
      <c r="H158" s="1"/>
      <c r="I158" s="1"/>
      <c r="J158" s="1"/>
    </row>
    <row r="159" customFormat="false" ht="21.75" hidden="false" customHeight="true" outlineLevel="0" collapsed="false">
      <c r="A159" s="1"/>
      <c r="B159" s="20"/>
      <c r="C159" s="15"/>
      <c r="D159" s="11" t="str">
        <f aca="false">IF(C159="","",IFERROR(INDEX(Players!$C$5:$C$304,MATCH(C159,Players!$B$5:$B$304,0)),"UID not in Players sheet"))</f>
        <v/>
      </c>
      <c r="E159" s="12"/>
      <c r="F159" s="15"/>
      <c r="G159" s="21"/>
      <c r="H159" s="1"/>
      <c r="I159" s="1"/>
      <c r="J159" s="1"/>
    </row>
    <row r="160" customFormat="false" ht="21.75" hidden="false" customHeight="true" outlineLevel="0" collapsed="false">
      <c r="A160" s="1"/>
      <c r="B160" s="20"/>
      <c r="C160" s="15"/>
      <c r="D160" s="11" t="str">
        <f aca="false">IF(C160="","",IFERROR(INDEX(Players!$C$5:$C$304,MATCH(C160,Players!$B$5:$B$304,0)),"UID not in Players sheet"))</f>
        <v/>
      </c>
      <c r="E160" s="12"/>
      <c r="F160" s="15"/>
      <c r="G160" s="21"/>
      <c r="H160" s="1"/>
      <c r="I160" s="1"/>
      <c r="J160" s="1"/>
    </row>
    <row r="161" customFormat="false" ht="21.75" hidden="false" customHeight="true" outlineLevel="0" collapsed="false">
      <c r="A161" s="1"/>
      <c r="B161" s="20"/>
      <c r="C161" s="15"/>
      <c r="D161" s="11" t="str">
        <f aca="false">IF(C161="","",IFERROR(INDEX(Players!$C$5:$C$304,MATCH(C161,Players!$B$5:$B$304,0)),"UID not in Players sheet"))</f>
        <v/>
      </c>
      <c r="E161" s="12"/>
      <c r="F161" s="15"/>
      <c r="G161" s="21"/>
      <c r="H161" s="1"/>
      <c r="I161" s="1"/>
      <c r="J161" s="1"/>
    </row>
    <row r="162" customFormat="false" ht="21.75" hidden="false" customHeight="true" outlineLevel="0" collapsed="false">
      <c r="A162" s="1"/>
      <c r="B162" s="20"/>
      <c r="C162" s="15"/>
      <c r="D162" s="11" t="str">
        <f aca="false">IF(C162="","",IFERROR(INDEX(Players!$C$5:$C$304,MATCH(C162,Players!$B$5:$B$304,0)),"UID not in Players sheet"))</f>
        <v/>
      </c>
      <c r="E162" s="12"/>
      <c r="F162" s="15"/>
      <c r="G162" s="21"/>
      <c r="H162" s="1"/>
      <c r="I162" s="1"/>
      <c r="J162" s="1"/>
    </row>
    <row r="163" customFormat="false" ht="21.75" hidden="false" customHeight="true" outlineLevel="0" collapsed="false">
      <c r="A163" s="1"/>
      <c r="B163" s="20"/>
      <c r="C163" s="15"/>
      <c r="D163" s="11" t="str">
        <f aca="false">IF(C163="","",IFERROR(INDEX(Players!$C$5:$C$304,MATCH(C163,Players!$B$5:$B$304,0)),"UID not in Players sheet"))</f>
        <v/>
      </c>
      <c r="E163" s="12"/>
      <c r="F163" s="15"/>
      <c r="G163" s="21"/>
      <c r="H163" s="1"/>
      <c r="I163" s="1"/>
      <c r="J163" s="1"/>
    </row>
    <row r="164" customFormat="false" ht="21.75" hidden="false" customHeight="true" outlineLevel="0" collapsed="false">
      <c r="A164" s="1"/>
      <c r="B164" s="20"/>
      <c r="C164" s="15"/>
      <c r="D164" s="11" t="str">
        <f aca="false">IF(C164="","",IFERROR(INDEX(Players!$C$5:$C$304,MATCH(C164,Players!$B$5:$B$304,0)),"UID not in Players sheet"))</f>
        <v/>
      </c>
      <c r="E164" s="12"/>
      <c r="F164" s="15"/>
      <c r="G164" s="21"/>
      <c r="H164" s="1"/>
      <c r="I164" s="1"/>
      <c r="J164" s="1"/>
    </row>
    <row r="165" customFormat="false" ht="21.75" hidden="false" customHeight="true" outlineLevel="0" collapsed="false">
      <c r="A165" s="1"/>
      <c r="B165" s="20"/>
      <c r="C165" s="15"/>
      <c r="D165" s="11" t="str">
        <f aca="false">IF(C165="","",IFERROR(INDEX(Players!$C$5:$C$304,MATCH(C165,Players!$B$5:$B$304,0)),"UID not in Players sheet"))</f>
        <v/>
      </c>
      <c r="E165" s="12"/>
      <c r="F165" s="15"/>
      <c r="G165" s="21"/>
      <c r="H165" s="1"/>
      <c r="I165" s="1"/>
      <c r="J165" s="1"/>
    </row>
    <row r="166" customFormat="false" ht="21.75" hidden="false" customHeight="true" outlineLevel="0" collapsed="false">
      <c r="A166" s="1"/>
      <c r="B166" s="20"/>
      <c r="C166" s="15"/>
      <c r="D166" s="11" t="str">
        <f aca="false">IF(C166="","",IFERROR(INDEX(Players!$C$5:$C$304,MATCH(C166,Players!$B$5:$B$304,0)),"UID not in Players sheet"))</f>
        <v/>
      </c>
      <c r="E166" s="12"/>
      <c r="F166" s="15"/>
      <c r="G166" s="21"/>
      <c r="H166" s="1"/>
      <c r="I166" s="1"/>
      <c r="J166" s="1"/>
    </row>
    <row r="167" customFormat="false" ht="21.75" hidden="false" customHeight="true" outlineLevel="0" collapsed="false">
      <c r="A167" s="1"/>
      <c r="B167" s="20"/>
      <c r="C167" s="15"/>
      <c r="D167" s="11" t="str">
        <f aca="false">IF(C167="","",IFERROR(INDEX(Players!$C$5:$C$304,MATCH(C167,Players!$B$5:$B$304,0)),"UID not in Players sheet"))</f>
        <v/>
      </c>
      <c r="E167" s="12"/>
      <c r="F167" s="15"/>
      <c r="G167" s="21"/>
      <c r="H167" s="1"/>
      <c r="I167" s="1"/>
      <c r="J167" s="1"/>
    </row>
    <row r="168" customFormat="false" ht="21.75" hidden="false" customHeight="true" outlineLevel="0" collapsed="false">
      <c r="A168" s="1"/>
      <c r="B168" s="20"/>
      <c r="C168" s="15"/>
      <c r="D168" s="11" t="str">
        <f aca="false">IF(C168="","",IFERROR(INDEX(Players!$C$5:$C$304,MATCH(C168,Players!$B$5:$B$304,0)),"UID not in Players sheet"))</f>
        <v/>
      </c>
      <c r="E168" s="12"/>
      <c r="F168" s="15"/>
      <c r="G168" s="21"/>
      <c r="H168" s="1"/>
      <c r="I168" s="1"/>
      <c r="J168" s="1"/>
    </row>
    <row r="169" customFormat="false" ht="21.75" hidden="false" customHeight="true" outlineLevel="0" collapsed="false">
      <c r="A169" s="1"/>
      <c r="B169" s="20"/>
      <c r="C169" s="15"/>
      <c r="D169" s="11" t="str">
        <f aca="false">IF(C169="","",IFERROR(INDEX(Players!$C$5:$C$304,MATCH(C169,Players!$B$5:$B$304,0)),"UID not in Players sheet"))</f>
        <v/>
      </c>
      <c r="E169" s="12"/>
      <c r="F169" s="15"/>
      <c r="G169" s="21"/>
      <c r="H169" s="1"/>
      <c r="I169" s="1"/>
      <c r="J169" s="1"/>
    </row>
    <row r="170" customFormat="false" ht="21.75" hidden="false" customHeight="true" outlineLevel="0" collapsed="false">
      <c r="A170" s="1"/>
      <c r="B170" s="20"/>
      <c r="C170" s="15"/>
      <c r="D170" s="11" t="str">
        <f aca="false">IF(C170="","",IFERROR(INDEX(Players!$C$5:$C$304,MATCH(C170,Players!$B$5:$B$304,0)),"UID not in Players sheet"))</f>
        <v/>
      </c>
      <c r="E170" s="12"/>
      <c r="F170" s="15"/>
      <c r="G170" s="21"/>
      <c r="H170" s="1"/>
      <c r="I170" s="1"/>
      <c r="J170" s="1"/>
    </row>
    <row r="171" customFormat="false" ht="21.75" hidden="false" customHeight="true" outlineLevel="0" collapsed="false">
      <c r="A171" s="1"/>
      <c r="B171" s="20"/>
      <c r="C171" s="15"/>
      <c r="D171" s="11" t="str">
        <f aca="false">IF(C171="","",IFERROR(INDEX(Players!$C$5:$C$304,MATCH(C171,Players!$B$5:$B$304,0)),"UID not in Players sheet"))</f>
        <v/>
      </c>
      <c r="E171" s="12"/>
      <c r="F171" s="15"/>
      <c r="G171" s="21"/>
      <c r="H171" s="1"/>
      <c r="I171" s="1"/>
      <c r="J171" s="1"/>
    </row>
    <row r="172" customFormat="false" ht="21.75" hidden="false" customHeight="true" outlineLevel="0" collapsed="false">
      <c r="A172" s="1"/>
      <c r="B172" s="20"/>
      <c r="C172" s="15"/>
      <c r="D172" s="11" t="str">
        <f aca="false">IF(C172="","",IFERROR(INDEX(Players!$C$5:$C$304,MATCH(C172,Players!$B$5:$B$304,0)),"UID not in Players sheet"))</f>
        <v/>
      </c>
      <c r="E172" s="12"/>
      <c r="F172" s="15"/>
      <c r="G172" s="21"/>
      <c r="H172" s="1"/>
      <c r="I172" s="1"/>
      <c r="J172" s="1"/>
    </row>
    <row r="173" customFormat="false" ht="21.75" hidden="false" customHeight="true" outlineLevel="0" collapsed="false">
      <c r="A173" s="1"/>
      <c r="B173" s="20"/>
      <c r="C173" s="15"/>
      <c r="D173" s="11" t="str">
        <f aca="false">IF(C173="","",IFERROR(INDEX(Players!$C$5:$C$304,MATCH(C173,Players!$B$5:$B$304,0)),"UID not in Players sheet"))</f>
        <v/>
      </c>
      <c r="E173" s="12"/>
      <c r="F173" s="15"/>
      <c r="G173" s="21"/>
      <c r="H173" s="1"/>
      <c r="I173" s="1"/>
      <c r="J173" s="1"/>
    </row>
    <row r="174" customFormat="false" ht="21.75" hidden="false" customHeight="true" outlineLevel="0" collapsed="false">
      <c r="A174" s="1"/>
      <c r="B174" s="20"/>
      <c r="C174" s="15"/>
      <c r="D174" s="11" t="str">
        <f aca="false">IF(C174="","",IFERROR(INDEX(Players!$C$5:$C$304,MATCH(C174,Players!$B$5:$B$304,0)),"UID not in Players sheet"))</f>
        <v/>
      </c>
      <c r="E174" s="12"/>
      <c r="F174" s="15"/>
      <c r="G174" s="21"/>
      <c r="H174" s="1"/>
      <c r="I174" s="1"/>
      <c r="J174" s="1"/>
    </row>
    <row r="175" customFormat="false" ht="21.75" hidden="false" customHeight="true" outlineLevel="0" collapsed="false">
      <c r="A175" s="1"/>
      <c r="B175" s="20"/>
      <c r="C175" s="15"/>
      <c r="D175" s="11" t="str">
        <f aca="false">IF(C175="","",IFERROR(INDEX(Players!$C$5:$C$304,MATCH(C175,Players!$B$5:$B$304,0)),"UID not in Players sheet"))</f>
        <v/>
      </c>
      <c r="E175" s="12"/>
      <c r="F175" s="15"/>
      <c r="G175" s="21"/>
      <c r="H175" s="1"/>
      <c r="I175" s="1"/>
      <c r="J175" s="1"/>
    </row>
    <row r="176" customFormat="false" ht="21.75" hidden="false" customHeight="true" outlineLevel="0" collapsed="false">
      <c r="A176" s="1"/>
      <c r="B176" s="20"/>
      <c r="C176" s="15"/>
      <c r="D176" s="11" t="str">
        <f aca="false">IF(C176="","",IFERROR(INDEX(Players!$C$5:$C$304,MATCH(C176,Players!$B$5:$B$304,0)),"UID not in Players sheet"))</f>
        <v/>
      </c>
      <c r="E176" s="12"/>
      <c r="F176" s="15"/>
      <c r="G176" s="21"/>
      <c r="H176" s="1"/>
      <c r="I176" s="1"/>
      <c r="J176" s="1"/>
    </row>
    <row r="177" customFormat="false" ht="21.75" hidden="false" customHeight="true" outlineLevel="0" collapsed="false">
      <c r="A177" s="1"/>
      <c r="B177" s="20"/>
      <c r="C177" s="15"/>
      <c r="D177" s="11" t="str">
        <f aca="false">IF(C177="","",IFERROR(INDEX(Players!$C$5:$C$304,MATCH(C177,Players!$B$5:$B$304,0)),"UID not in Players sheet"))</f>
        <v/>
      </c>
      <c r="E177" s="12"/>
      <c r="F177" s="15"/>
      <c r="G177" s="21"/>
      <c r="H177" s="1"/>
      <c r="I177" s="1"/>
      <c r="J177" s="1"/>
    </row>
    <row r="178" customFormat="false" ht="21.75" hidden="false" customHeight="true" outlineLevel="0" collapsed="false">
      <c r="A178" s="1"/>
      <c r="B178" s="20"/>
      <c r="C178" s="15"/>
      <c r="D178" s="11" t="str">
        <f aca="false">IF(C178="","",IFERROR(INDEX(Players!$C$5:$C$304,MATCH(C178,Players!$B$5:$B$304,0)),"UID not in Players sheet"))</f>
        <v/>
      </c>
      <c r="E178" s="12"/>
      <c r="F178" s="15"/>
      <c r="G178" s="21"/>
      <c r="H178" s="1"/>
      <c r="I178" s="1"/>
      <c r="J178" s="1"/>
    </row>
    <row r="179" customFormat="false" ht="21.75" hidden="false" customHeight="true" outlineLevel="0" collapsed="false">
      <c r="A179" s="1"/>
      <c r="B179" s="20"/>
      <c r="C179" s="15"/>
      <c r="D179" s="11" t="str">
        <f aca="false">IF(C179="","",IFERROR(INDEX(Players!$C$5:$C$304,MATCH(C179,Players!$B$5:$B$304,0)),"UID not in Players sheet"))</f>
        <v/>
      </c>
      <c r="E179" s="12"/>
      <c r="F179" s="15"/>
      <c r="G179" s="21"/>
      <c r="H179" s="1"/>
      <c r="I179" s="1"/>
      <c r="J179" s="1"/>
    </row>
    <row r="180" customFormat="false" ht="21.75" hidden="false" customHeight="true" outlineLevel="0" collapsed="false">
      <c r="A180" s="1"/>
      <c r="B180" s="20"/>
      <c r="C180" s="15"/>
      <c r="D180" s="11" t="str">
        <f aca="false">IF(C180="","",IFERROR(INDEX(Players!$C$5:$C$304,MATCH(C180,Players!$B$5:$B$304,0)),"UID not in Players sheet"))</f>
        <v/>
      </c>
      <c r="E180" s="12"/>
      <c r="F180" s="15"/>
      <c r="G180" s="21"/>
      <c r="H180" s="1"/>
      <c r="I180" s="1"/>
      <c r="J180" s="1"/>
    </row>
    <row r="181" customFormat="false" ht="21.75" hidden="false" customHeight="true" outlineLevel="0" collapsed="false">
      <c r="A181" s="1"/>
      <c r="B181" s="20"/>
      <c r="C181" s="15"/>
      <c r="D181" s="11" t="str">
        <f aca="false">IF(C181="","",IFERROR(INDEX(Players!$C$5:$C$304,MATCH(C181,Players!$B$5:$B$304,0)),"UID not in Players sheet"))</f>
        <v/>
      </c>
      <c r="E181" s="12"/>
      <c r="F181" s="15"/>
      <c r="G181" s="21"/>
      <c r="H181" s="1"/>
      <c r="I181" s="1"/>
      <c r="J181" s="1"/>
    </row>
    <row r="182" customFormat="false" ht="21.75" hidden="false" customHeight="true" outlineLevel="0" collapsed="false">
      <c r="A182" s="1"/>
      <c r="B182" s="20"/>
      <c r="C182" s="15"/>
      <c r="D182" s="11" t="str">
        <f aca="false">IF(C182="","",IFERROR(INDEX(Players!$C$5:$C$304,MATCH(C182,Players!$B$5:$B$304,0)),"UID not in Players sheet"))</f>
        <v/>
      </c>
      <c r="E182" s="12"/>
      <c r="F182" s="15"/>
      <c r="G182" s="21"/>
      <c r="H182" s="1"/>
      <c r="I182" s="1"/>
      <c r="J182" s="1"/>
    </row>
    <row r="183" customFormat="false" ht="21.75" hidden="false" customHeight="true" outlineLevel="0" collapsed="false">
      <c r="A183" s="1"/>
      <c r="B183" s="20"/>
      <c r="C183" s="15"/>
      <c r="D183" s="11" t="str">
        <f aca="false">IF(C183="","",IFERROR(INDEX(Players!$C$5:$C$304,MATCH(C183,Players!$B$5:$B$304,0)),"UID not in Players sheet"))</f>
        <v/>
      </c>
      <c r="E183" s="12"/>
      <c r="F183" s="15"/>
      <c r="G183" s="21"/>
      <c r="H183" s="1"/>
      <c r="I183" s="1"/>
      <c r="J183" s="1"/>
    </row>
    <row r="184" customFormat="false" ht="21.75" hidden="false" customHeight="true" outlineLevel="0" collapsed="false">
      <c r="A184" s="1"/>
      <c r="B184" s="20"/>
      <c r="C184" s="15"/>
      <c r="D184" s="11" t="str">
        <f aca="false">IF(C184="","",IFERROR(INDEX(Players!$C$5:$C$304,MATCH(C184,Players!$B$5:$B$304,0)),"UID not in Players sheet"))</f>
        <v/>
      </c>
      <c r="E184" s="12"/>
      <c r="F184" s="15"/>
      <c r="G184" s="21"/>
      <c r="H184" s="1"/>
      <c r="I184" s="1"/>
      <c r="J184" s="1"/>
    </row>
    <row r="185" customFormat="false" ht="21.75" hidden="false" customHeight="true" outlineLevel="0" collapsed="false">
      <c r="A185" s="1"/>
      <c r="B185" s="20"/>
      <c r="C185" s="15"/>
      <c r="D185" s="11" t="str">
        <f aca="false">IF(C185="","",IFERROR(INDEX(Players!$C$5:$C$304,MATCH(C185,Players!$B$5:$B$304,0)),"UID not in Players sheet"))</f>
        <v/>
      </c>
      <c r="E185" s="12"/>
      <c r="F185" s="15"/>
      <c r="G185" s="21"/>
      <c r="H185" s="1"/>
      <c r="I185" s="1"/>
      <c r="J185" s="1"/>
    </row>
    <row r="186" customFormat="false" ht="21.75" hidden="false" customHeight="true" outlineLevel="0" collapsed="false">
      <c r="A186" s="1"/>
      <c r="B186" s="20"/>
      <c r="C186" s="15"/>
      <c r="D186" s="11" t="str">
        <f aca="false">IF(C186="","",IFERROR(INDEX(Players!$C$5:$C$304,MATCH(C186,Players!$B$5:$B$304,0)),"UID not in Players sheet"))</f>
        <v/>
      </c>
      <c r="E186" s="12"/>
      <c r="F186" s="15"/>
      <c r="G186" s="21"/>
      <c r="H186" s="1"/>
      <c r="I186" s="1"/>
      <c r="J186" s="1"/>
    </row>
    <row r="187" customFormat="false" ht="21.75" hidden="false" customHeight="true" outlineLevel="0" collapsed="false">
      <c r="A187" s="1"/>
      <c r="B187" s="20"/>
      <c r="C187" s="15"/>
      <c r="D187" s="11" t="str">
        <f aca="false">IF(C187="","",IFERROR(INDEX(Players!$C$5:$C$304,MATCH(C187,Players!$B$5:$B$304,0)),"UID not in Players sheet"))</f>
        <v/>
      </c>
      <c r="E187" s="12"/>
      <c r="F187" s="15"/>
      <c r="G187" s="21"/>
      <c r="H187" s="1"/>
      <c r="I187" s="1"/>
      <c r="J187" s="1"/>
    </row>
    <row r="188" customFormat="false" ht="21.75" hidden="false" customHeight="true" outlineLevel="0" collapsed="false">
      <c r="A188" s="1"/>
      <c r="B188" s="20"/>
      <c r="C188" s="15"/>
      <c r="D188" s="11" t="str">
        <f aca="false">IF(C188="","",IFERROR(INDEX(Players!$C$5:$C$304,MATCH(C188,Players!$B$5:$B$304,0)),"UID not in Players sheet"))</f>
        <v/>
      </c>
      <c r="E188" s="12"/>
      <c r="F188" s="15"/>
      <c r="G188" s="21"/>
      <c r="H188" s="1"/>
      <c r="I188" s="1"/>
      <c r="J188" s="1"/>
    </row>
    <row r="189" customFormat="false" ht="21.75" hidden="false" customHeight="true" outlineLevel="0" collapsed="false">
      <c r="A189" s="1"/>
      <c r="B189" s="20"/>
      <c r="C189" s="15"/>
      <c r="D189" s="11" t="str">
        <f aca="false">IF(C189="","",IFERROR(INDEX(Players!$C$5:$C$304,MATCH(C189,Players!$B$5:$B$304,0)),"UID not in Players sheet"))</f>
        <v/>
      </c>
      <c r="E189" s="12"/>
      <c r="F189" s="15"/>
      <c r="G189" s="21"/>
      <c r="H189" s="1"/>
      <c r="I189" s="1"/>
      <c r="J189" s="1"/>
    </row>
    <row r="190" customFormat="false" ht="21.75" hidden="false" customHeight="true" outlineLevel="0" collapsed="false">
      <c r="A190" s="1"/>
      <c r="B190" s="20"/>
      <c r="C190" s="15"/>
      <c r="D190" s="11" t="str">
        <f aca="false">IF(C190="","",IFERROR(INDEX(Players!$C$5:$C$304,MATCH(C190,Players!$B$5:$B$304,0)),"UID not in Players sheet"))</f>
        <v/>
      </c>
      <c r="E190" s="12"/>
      <c r="F190" s="15"/>
      <c r="G190" s="21"/>
      <c r="H190" s="1"/>
      <c r="I190" s="1"/>
      <c r="J190" s="1"/>
    </row>
    <row r="191" customFormat="false" ht="21.75" hidden="false" customHeight="true" outlineLevel="0" collapsed="false">
      <c r="A191" s="1"/>
      <c r="B191" s="20"/>
      <c r="C191" s="15"/>
      <c r="D191" s="11" t="str">
        <f aca="false">IF(C191="","",IFERROR(INDEX(Players!$C$5:$C$304,MATCH(C191,Players!$B$5:$B$304,0)),"UID not in Players sheet"))</f>
        <v/>
      </c>
      <c r="E191" s="12"/>
      <c r="F191" s="15"/>
      <c r="G191" s="21"/>
      <c r="H191" s="1"/>
      <c r="I191" s="1"/>
      <c r="J191" s="1"/>
    </row>
    <row r="192" customFormat="false" ht="21.75" hidden="false" customHeight="true" outlineLevel="0" collapsed="false">
      <c r="A192" s="1"/>
      <c r="B192" s="20"/>
      <c r="C192" s="15"/>
      <c r="D192" s="11" t="str">
        <f aca="false">IF(C192="","",IFERROR(INDEX(Players!$C$5:$C$304,MATCH(C192,Players!$B$5:$B$304,0)),"UID not in Players sheet"))</f>
        <v/>
      </c>
      <c r="E192" s="12"/>
      <c r="F192" s="15"/>
      <c r="G192" s="21"/>
      <c r="H192" s="1"/>
      <c r="I192" s="1"/>
      <c r="J192" s="1"/>
    </row>
    <row r="193" customFormat="false" ht="21.75" hidden="false" customHeight="true" outlineLevel="0" collapsed="false">
      <c r="A193" s="1"/>
      <c r="B193" s="20"/>
      <c r="C193" s="15"/>
      <c r="D193" s="11" t="str">
        <f aca="false">IF(C193="","",IFERROR(INDEX(Players!$C$5:$C$304,MATCH(C193,Players!$B$5:$B$304,0)),"UID not in Players sheet"))</f>
        <v/>
      </c>
      <c r="E193" s="12"/>
      <c r="F193" s="15"/>
      <c r="G193" s="21"/>
      <c r="H193" s="1"/>
      <c r="I193" s="1"/>
      <c r="J193" s="1"/>
    </row>
    <row r="194" customFormat="false" ht="21.75" hidden="false" customHeight="true" outlineLevel="0" collapsed="false">
      <c r="A194" s="1"/>
      <c r="B194" s="20"/>
      <c r="C194" s="15"/>
      <c r="D194" s="11" t="str">
        <f aca="false">IF(C194="","",IFERROR(INDEX(Players!$C$5:$C$304,MATCH(C194,Players!$B$5:$B$304,0)),"UID not in Players sheet"))</f>
        <v/>
      </c>
      <c r="E194" s="12"/>
      <c r="F194" s="15"/>
      <c r="G194" s="21"/>
      <c r="H194" s="1"/>
      <c r="I194" s="1"/>
      <c r="J194" s="1"/>
    </row>
    <row r="195" customFormat="false" ht="21.75" hidden="false" customHeight="true" outlineLevel="0" collapsed="false">
      <c r="A195" s="1"/>
      <c r="B195" s="20"/>
      <c r="C195" s="15"/>
      <c r="D195" s="11" t="str">
        <f aca="false">IF(C195="","",IFERROR(INDEX(Players!$C$5:$C$304,MATCH(C195,Players!$B$5:$B$304,0)),"UID not in Players sheet"))</f>
        <v/>
      </c>
      <c r="E195" s="12"/>
      <c r="F195" s="15"/>
      <c r="G195" s="21"/>
      <c r="H195" s="1"/>
      <c r="I195" s="1"/>
      <c r="J195" s="1"/>
    </row>
    <row r="196" customFormat="false" ht="21.75" hidden="false" customHeight="true" outlineLevel="0" collapsed="false">
      <c r="A196" s="1"/>
      <c r="B196" s="20"/>
      <c r="C196" s="15"/>
      <c r="D196" s="11" t="str">
        <f aca="false">IF(C196="","",IFERROR(INDEX(Players!$C$5:$C$304,MATCH(C196,Players!$B$5:$B$304,0)),"UID not in Players sheet"))</f>
        <v/>
      </c>
      <c r="E196" s="12"/>
      <c r="F196" s="15"/>
      <c r="G196" s="21"/>
      <c r="H196" s="1"/>
      <c r="I196" s="1"/>
      <c r="J196" s="1"/>
    </row>
    <row r="197" customFormat="false" ht="21.75" hidden="false" customHeight="true" outlineLevel="0" collapsed="false">
      <c r="A197" s="1"/>
      <c r="B197" s="20"/>
      <c r="C197" s="15"/>
      <c r="D197" s="11" t="str">
        <f aca="false">IF(C197="","",IFERROR(INDEX(Players!$C$5:$C$304,MATCH(C197,Players!$B$5:$B$304,0)),"UID not in Players sheet"))</f>
        <v/>
      </c>
      <c r="E197" s="12"/>
      <c r="F197" s="15"/>
      <c r="G197" s="21"/>
      <c r="H197" s="1"/>
      <c r="I197" s="1"/>
      <c r="J197" s="1"/>
    </row>
    <row r="198" customFormat="false" ht="21.75" hidden="false" customHeight="true" outlineLevel="0" collapsed="false">
      <c r="A198" s="1"/>
      <c r="B198" s="20"/>
      <c r="C198" s="15"/>
      <c r="D198" s="11" t="str">
        <f aca="false">IF(C198="","",IFERROR(INDEX(Players!$C$5:$C$304,MATCH(C198,Players!$B$5:$B$304,0)),"UID not in Players sheet"))</f>
        <v/>
      </c>
      <c r="E198" s="12"/>
      <c r="F198" s="15"/>
      <c r="G198" s="21"/>
      <c r="H198" s="1"/>
      <c r="I198" s="1"/>
      <c r="J198" s="1"/>
    </row>
    <row r="199" customFormat="false" ht="21.75" hidden="false" customHeight="true" outlineLevel="0" collapsed="false">
      <c r="A199" s="1"/>
      <c r="B199" s="20"/>
      <c r="C199" s="15"/>
      <c r="D199" s="11" t="str">
        <f aca="false">IF(C199="","",IFERROR(INDEX(Players!$C$5:$C$304,MATCH(C199,Players!$B$5:$B$304,0)),"UID not in Players sheet"))</f>
        <v/>
      </c>
      <c r="E199" s="12"/>
      <c r="F199" s="15"/>
      <c r="G199" s="21"/>
      <c r="H199" s="1"/>
      <c r="I199" s="1"/>
      <c r="J199" s="1"/>
    </row>
    <row r="200" customFormat="false" ht="21.75" hidden="false" customHeight="true" outlineLevel="0" collapsed="false">
      <c r="A200" s="1"/>
      <c r="B200" s="20"/>
      <c r="C200" s="15"/>
      <c r="D200" s="11" t="str">
        <f aca="false">IF(C200="","",IFERROR(INDEX(Players!$C$5:$C$304,MATCH(C200,Players!$B$5:$B$304,0)),"UID not in Players sheet"))</f>
        <v/>
      </c>
      <c r="E200" s="12"/>
      <c r="F200" s="15"/>
      <c r="G200" s="21"/>
      <c r="H200" s="1"/>
      <c r="I200" s="1"/>
      <c r="J200" s="1"/>
    </row>
    <row r="201" customFormat="false" ht="21.75" hidden="false" customHeight="true" outlineLevel="0" collapsed="false">
      <c r="A201" s="1"/>
      <c r="B201" s="20"/>
      <c r="C201" s="15"/>
      <c r="D201" s="11" t="str">
        <f aca="false">IF(C201="","",IFERROR(INDEX(Players!$C$5:$C$304,MATCH(C201,Players!$B$5:$B$304,0)),"UID not in Players sheet"))</f>
        <v/>
      </c>
      <c r="E201" s="12"/>
      <c r="F201" s="15"/>
      <c r="G201" s="21"/>
      <c r="H201" s="1"/>
      <c r="I201" s="1"/>
      <c r="J201" s="1"/>
    </row>
    <row r="202" customFormat="false" ht="21.75" hidden="false" customHeight="true" outlineLevel="0" collapsed="false">
      <c r="A202" s="1"/>
      <c r="B202" s="20"/>
      <c r="C202" s="15"/>
      <c r="D202" s="11" t="str">
        <f aca="false">IF(C202="","",IFERROR(INDEX(Players!$C$5:$C$304,MATCH(C202,Players!$B$5:$B$304,0)),"UID not in Players sheet"))</f>
        <v/>
      </c>
      <c r="E202" s="12"/>
      <c r="F202" s="15"/>
      <c r="G202" s="21"/>
      <c r="H202" s="1"/>
      <c r="I202" s="1"/>
      <c r="J202" s="1"/>
    </row>
    <row r="203" customFormat="false" ht="21.75" hidden="false" customHeight="true" outlineLevel="0" collapsed="false">
      <c r="A203" s="1"/>
      <c r="B203" s="20"/>
      <c r="C203" s="15"/>
      <c r="D203" s="11" t="str">
        <f aca="false">IF(C203="","",IFERROR(INDEX(Players!$C$5:$C$304,MATCH(C203,Players!$B$5:$B$304,0)),"UID not in Players sheet"))</f>
        <v/>
      </c>
      <c r="E203" s="12"/>
      <c r="F203" s="15"/>
      <c r="G203" s="21"/>
      <c r="H203" s="1"/>
      <c r="I203" s="1"/>
      <c r="J203" s="1"/>
    </row>
    <row r="204" customFormat="false" ht="21.75" hidden="false" customHeight="true" outlineLevel="0" collapsed="false">
      <c r="A204" s="1"/>
      <c r="B204" s="20"/>
      <c r="C204" s="15"/>
      <c r="D204" s="11" t="str">
        <f aca="false">IF(C204="","",IFERROR(INDEX(Players!$C$5:$C$304,MATCH(C204,Players!$B$5:$B$304,0)),"UID not in Players sheet"))</f>
        <v/>
      </c>
      <c r="E204" s="12"/>
      <c r="F204" s="15"/>
      <c r="G204" s="21"/>
      <c r="H204" s="1"/>
      <c r="I204" s="1"/>
      <c r="J204" s="1"/>
    </row>
    <row r="205" customFormat="false" ht="21.75" hidden="false" customHeight="true" outlineLevel="0" collapsed="false">
      <c r="A205" s="1"/>
      <c r="B205" s="20"/>
      <c r="C205" s="15"/>
      <c r="D205" s="11" t="str">
        <f aca="false">IF(C205="","",IFERROR(INDEX(Players!$C$5:$C$304,MATCH(C205,Players!$B$5:$B$304,0)),"UID not in Players sheet"))</f>
        <v/>
      </c>
      <c r="E205" s="12"/>
      <c r="F205" s="15"/>
      <c r="G205" s="21"/>
      <c r="H205" s="1"/>
      <c r="I205" s="1"/>
      <c r="J205" s="1"/>
    </row>
    <row r="206" customFormat="false" ht="21.75" hidden="false" customHeight="true" outlineLevel="0" collapsed="false">
      <c r="A206" s="1"/>
      <c r="B206" s="20"/>
      <c r="C206" s="15"/>
      <c r="D206" s="11" t="str">
        <f aca="false">IF(C206="","",IFERROR(INDEX(Players!$C$5:$C$304,MATCH(C206,Players!$B$5:$B$304,0)),"UID not in Players sheet"))</f>
        <v/>
      </c>
      <c r="E206" s="12"/>
      <c r="F206" s="15"/>
      <c r="G206" s="21"/>
      <c r="H206" s="1"/>
      <c r="I206" s="1"/>
      <c r="J206" s="1"/>
    </row>
    <row r="207" customFormat="false" ht="21.75" hidden="false" customHeight="true" outlineLevel="0" collapsed="false">
      <c r="A207" s="1"/>
      <c r="B207" s="20"/>
      <c r="C207" s="15"/>
      <c r="D207" s="11" t="str">
        <f aca="false">IF(C207="","",IFERROR(INDEX(Players!$C$5:$C$304,MATCH(C207,Players!$B$5:$B$304,0)),"UID not in Players sheet"))</f>
        <v/>
      </c>
      <c r="E207" s="12"/>
      <c r="F207" s="15"/>
      <c r="G207" s="21"/>
      <c r="H207" s="1"/>
      <c r="I207" s="1"/>
      <c r="J207" s="1"/>
    </row>
    <row r="208" customFormat="false" ht="21.75" hidden="false" customHeight="true" outlineLevel="0" collapsed="false">
      <c r="A208" s="1"/>
      <c r="B208" s="20"/>
      <c r="C208" s="15"/>
      <c r="D208" s="11" t="str">
        <f aca="false">IF(C208="","",IFERROR(INDEX(Players!$C$5:$C$304,MATCH(C208,Players!$B$5:$B$304,0)),"UID not in Players sheet"))</f>
        <v/>
      </c>
      <c r="E208" s="12"/>
      <c r="F208" s="15"/>
      <c r="G208" s="21"/>
      <c r="H208" s="1"/>
      <c r="I208" s="1"/>
      <c r="J208" s="1"/>
    </row>
    <row r="209" customFormat="false" ht="21.75" hidden="false" customHeight="true" outlineLevel="0" collapsed="false">
      <c r="A209" s="1"/>
      <c r="B209" s="20"/>
      <c r="C209" s="15"/>
      <c r="D209" s="11" t="str">
        <f aca="false">IF(C209="","",IFERROR(INDEX(Players!$C$5:$C$304,MATCH(C209,Players!$B$5:$B$304,0)),"UID not in Players sheet"))</f>
        <v/>
      </c>
      <c r="E209" s="12"/>
      <c r="F209" s="15"/>
      <c r="G209" s="21"/>
      <c r="H209" s="1"/>
      <c r="I209" s="1"/>
      <c r="J209" s="1"/>
    </row>
    <row r="210" customFormat="false" ht="21.75" hidden="false" customHeight="true" outlineLevel="0" collapsed="false">
      <c r="A210" s="1"/>
      <c r="B210" s="20"/>
      <c r="C210" s="15"/>
      <c r="D210" s="11" t="str">
        <f aca="false">IF(C210="","",IFERROR(INDEX(Players!$C$5:$C$304,MATCH(C210,Players!$B$5:$B$304,0)),"UID not in Players sheet"))</f>
        <v/>
      </c>
      <c r="E210" s="12"/>
      <c r="F210" s="15"/>
      <c r="G210" s="21"/>
      <c r="H210" s="1"/>
      <c r="I210" s="1"/>
      <c r="J210" s="1"/>
    </row>
    <row r="211" customFormat="false" ht="21.75" hidden="false" customHeight="true" outlineLevel="0" collapsed="false">
      <c r="A211" s="1"/>
      <c r="B211" s="20"/>
      <c r="C211" s="15"/>
      <c r="D211" s="11" t="str">
        <f aca="false">IF(C211="","",IFERROR(INDEX(Players!$C$5:$C$304,MATCH(C211,Players!$B$5:$B$304,0)),"UID not in Players sheet"))</f>
        <v/>
      </c>
      <c r="E211" s="12"/>
      <c r="F211" s="15"/>
      <c r="G211" s="21"/>
      <c r="H211" s="1"/>
      <c r="I211" s="1"/>
      <c r="J211" s="1"/>
    </row>
    <row r="212" customFormat="false" ht="21.75" hidden="false" customHeight="true" outlineLevel="0" collapsed="false">
      <c r="A212" s="1"/>
      <c r="B212" s="20"/>
      <c r="C212" s="15"/>
      <c r="D212" s="11" t="str">
        <f aca="false">IF(C212="","",IFERROR(INDEX(Players!$C$5:$C$304,MATCH(C212,Players!$B$5:$B$304,0)),"UID not in Players sheet"))</f>
        <v/>
      </c>
      <c r="E212" s="12"/>
      <c r="F212" s="15"/>
      <c r="G212" s="21"/>
      <c r="H212" s="1"/>
      <c r="I212" s="1"/>
      <c r="J212" s="1"/>
    </row>
    <row r="213" customFormat="false" ht="21.75" hidden="false" customHeight="true" outlineLevel="0" collapsed="false">
      <c r="A213" s="1"/>
      <c r="B213" s="20"/>
      <c r="C213" s="15"/>
      <c r="D213" s="11" t="str">
        <f aca="false">IF(C213="","",IFERROR(INDEX(Players!$C$5:$C$304,MATCH(C213,Players!$B$5:$B$304,0)),"UID not in Players sheet"))</f>
        <v/>
      </c>
      <c r="E213" s="12"/>
      <c r="F213" s="15"/>
      <c r="G213" s="21"/>
      <c r="H213" s="1"/>
      <c r="I213" s="1"/>
      <c r="J213" s="1"/>
    </row>
    <row r="214" customFormat="false" ht="21.75" hidden="false" customHeight="true" outlineLevel="0" collapsed="false">
      <c r="A214" s="1"/>
      <c r="B214" s="20"/>
      <c r="C214" s="15"/>
      <c r="D214" s="11" t="str">
        <f aca="false">IF(C214="","",IFERROR(INDEX(Players!$C$5:$C$304,MATCH(C214,Players!$B$5:$B$304,0)),"UID not in Players sheet"))</f>
        <v/>
      </c>
      <c r="E214" s="12"/>
      <c r="F214" s="15"/>
      <c r="G214" s="21"/>
      <c r="H214" s="1"/>
      <c r="I214" s="1"/>
      <c r="J214" s="1"/>
    </row>
    <row r="215" customFormat="false" ht="21.75" hidden="false" customHeight="true" outlineLevel="0" collapsed="false">
      <c r="A215" s="1"/>
      <c r="B215" s="20"/>
      <c r="C215" s="15"/>
      <c r="D215" s="11" t="str">
        <f aca="false">IF(C215="","",IFERROR(INDEX(Players!$C$5:$C$304,MATCH(C215,Players!$B$5:$B$304,0)),"UID not in Players sheet"))</f>
        <v/>
      </c>
      <c r="E215" s="12"/>
      <c r="F215" s="15"/>
      <c r="G215" s="21"/>
      <c r="H215" s="1"/>
      <c r="I215" s="1"/>
      <c r="J215" s="1"/>
    </row>
    <row r="216" customFormat="false" ht="21.75" hidden="false" customHeight="true" outlineLevel="0" collapsed="false">
      <c r="A216" s="1"/>
      <c r="B216" s="20"/>
      <c r="C216" s="15"/>
      <c r="D216" s="11" t="str">
        <f aca="false">IF(C216="","",IFERROR(INDEX(Players!$C$5:$C$304,MATCH(C216,Players!$B$5:$B$304,0)),"UID not in Players sheet"))</f>
        <v/>
      </c>
      <c r="E216" s="12"/>
      <c r="F216" s="15"/>
      <c r="G216" s="21"/>
      <c r="H216" s="1"/>
      <c r="I216" s="1"/>
      <c r="J216" s="1"/>
    </row>
    <row r="217" customFormat="false" ht="21.75" hidden="false" customHeight="true" outlineLevel="0" collapsed="false">
      <c r="A217" s="1"/>
      <c r="B217" s="20"/>
      <c r="C217" s="15"/>
      <c r="D217" s="11" t="str">
        <f aca="false">IF(C217="","",IFERROR(INDEX(Players!$C$5:$C$304,MATCH(C217,Players!$B$5:$B$304,0)),"UID not in Players sheet"))</f>
        <v/>
      </c>
      <c r="E217" s="12"/>
      <c r="F217" s="15"/>
      <c r="G217" s="21"/>
      <c r="H217" s="1"/>
      <c r="I217" s="1"/>
      <c r="J217" s="1"/>
    </row>
    <row r="218" customFormat="false" ht="21.75" hidden="false" customHeight="true" outlineLevel="0" collapsed="false">
      <c r="A218" s="1"/>
      <c r="B218" s="20"/>
      <c r="C218" s="15"/>
      <c r="D218" s="11" t="str">
        <f aca="false">IF(C218="","",IFERROR(INDEX(Players!$C$5:$C$304,MATCH(C218,Players!$B$5:$B$304,0)),"UID not in Players sheet"))</f>
        <v/>
      </c>
      <c r="E218" s="12"/>
      <c r="F218" s="15"/>
      <c r="G218" s="21"/>
      <c r="H218" s="1"/>
      <c r="I218" s="1"/>
      <c r="J218" s="1"/>
    </row>
    <row r="219" customFormat="false" ht="21.75" hidden="false" customHeight="true" outlineLevel="0" collapsed="false">
      <c r="A219" s="1"/>
      <c r="B219" s="20"/>
      <c r="C219" s="15"/>
      <c r="D219" s="11" t="str">
        <f aca="false">IF(C219="","",IFERROR(INDEX(Players!$C$5:$C$304,MATCH(C219,Players!$B$5:$B$304,0)),"UID not in Players sheet"))</f>
        <v/>
      </c>
      <c r="E219" s="12"/>
      <c r="F219" s="15"/>
      <c r="G219" s="21"/>
      <c r="H219" s="1"/>
      <c r="I219" s="1"/>
      <c r="J219" s="1"/>
    </row>
    <row r="220" customFormat="false" ht="21.75" hidden="false" customHeight="true" outlineLevel="0" collapsed="false">
      <c r="A220" s="1"/>
      <c r="B220" s="20"/>
      <c r="C220" s="15"/>
      <c r="D220" s="11" t="str">
        <f aca="false">IF(C220="","",IFERROR(INDEX(Players!$C$5:$C$304,MATCH(C220,Players!$B$5:$B$304,0)),"UID not in Players sheet"))</f>
        <v/>
      </c>
      <c r="E220" s="12"/>
      <c r="F220" s="15"/>
      <c r="G220" s="21"/>
      <c r="H220" s="1"/>
      <c r="I220" s="1"/>
      <c r="J220" s="1"/>
    </row>
    <row r="221" customFormat="false" ht="21.75" hidden="false" customHeight="true" outlineLevel="0" collapsed="false">
      <c r="A221" s="1"/>
      <c r="B221" s="20"/>
      <c r="C221" s="15"/>
      <c r="D221" s="11" t="str">
        <f aca="false">IF(C221="","",IFERROR(INDEX(Players!$C$5:$C$304,MATCH(C221,Players!$B$5:$B$304,0)),"UID not in Players sheet"))</f>
        <v/>
      </c>
      <c r="E221" s="12"/>
      <c r="F221" s="15"/>
      <c r="G221" s="21"/>
      <c r="H221" s="1"/>
      <c r="I221" s="1"/>
      <c r="J221" s="1"/>
    </row>
    <row r="222" customFormat="false" ht="21.75" hidden="false" customHeight="true" outlineLevel="0" collapsed="false">
      <c r="A222" s="1"/>
      <c r="B222" s="20"/>
      <c r="C222" s="15"/>
      <c r="D222" s="11" t="str">
        <f aca="false">IF(C222="","",IFERROR(INDEX(Players!$C$5:$C$304,MATCH(C222,Players!$B$5:$B$304,0)),"UID not in Players sheet"))</f>
        <v/>
      </c>
      <c r="E222" s="12"/>
      <c r="F222" s="15"/>
      <c r="G222" s="21"/>
      <c r="H222" s="1"/>
      <c r="I222" s="1"/>
      <c r="J222" s="1"/>
    </row>
    <row r="223" customFormat="false" ht="21.75" hidden="false" customHeight="true" outlineLevel="0" collapsed="false">
      <c r="A223" s="1"/>
      <c r="B223" s="20"/>
      <c r="C223" s="15"/>
      <c r="D223" s="11" t="str">
        <f aca="false">IF(C223="","",IFERROR(INDEX(Players!$C$5:$C$304,MATCH(C223,Players!$B$5:$B$304,0)),"UID not in Players sheet"))</f>
        <v/>
      </c>
      <c r="E223" s="12"/>
      <c r="F223" s="15"/>
      <c r="G223" s="21"/>
      <c r="H223" s="1"/>
      <c r="I223" s="1"/>
      <c r="J223" s="1"/>
    </row>
    <row r="224" customFormat="false" ht="21.75" hidden="false" customHeight="true" outlineLevel="0" collapsed="false">
      <c r="A224" s="1"/>
      <c r="B224" s="20"/>
      <c r="C224" s="15"/>
      <c r="D224" s="11" t="str">
        <f aca="false">IF(C224="","",IFERROR(INDEX(Players!$C$5:$C$304,MATCH(C224,Players!$B$5:$B$304,0)),"UID not in Players sheet"))</f>
        <v/>
      </c>
      <c r="E224" s="12"/>
      <c r="F224" s="15"/>
      <c r="G224" s="21"/>
      <c r="H224" s="1"/>
      <c r="I224" s="1"/>
      <c r="J224" s="1"/>
    </row>
    <row r="225" customFormat="false" ht="21.75" hidden="false" customHeight="true" outlineLevel="0" collapsed="false">
      <c r="A225" s="1"/>
      <c r="B225" s="20"/>
      <c r="C225" s="15"/>
      <c r="D225" s="11" t="str">
        <f aca="false">IF(C225="","",IFERROR(INDEX(Players!$C$5:$C$304,MATCH(C225,Players!$B$5:$B$304,0)),"UID not in Players sheet"))</f>
        <v/>
      </c>
      <c r="E225" s="12"/>
      <c r="F225" s="15"/>
      <c r="G225" s="21"/>
      <c r="H225" s="1"/>
      <c r="I225" s="1"/>
      <c r="J225" s="1"/>
    </row>
    <row r="226" customFormat="false" ht="21.75" hidden="false" customHeight="true" outlineLevel="0" collapsed="false">
      <c r="A226" s="1"/>
      <c r="B226" s="20"/>
      <c r="C226" s="15"/>
      <c r="D226" s="11" t="str">
        <f aca="false">IF(C226="","",IFERROR(INDEX(Players!$C$5:$C$304,MATCH(C226,Players!$B$5:$B$304,0)),"UID not in Players sheet"))</f>
        <v/>
      </c>
      <c r="E226" s="12"/>
      <c r="F226" s="15"/>
      <c r="G226" s="21"/>
      <c r="H226" s="1"/>
      <c r="I226" s="1"/>
      <c r="J226" s="1"/>
    </row>
    <row r="227" customFormat="false" ht="21.75" hidden="false" customHeight="true" outlineLevel="0" collapsed="false">
      <c r="A227" s="1"/>
      <c r="B227" s="20"/>
      <c r="C227" s="15"/>
      <c r="D227" s="11" t="str">
        <f aca="false">IF(C227="","",IFERROR(INDEX(Players!$C$5:$C$304,MATCH(C227,Players!$B$5:$B$304,0)),"UID not in Players sheet"))</f>
        <v/>
      </c>
      <c r="E227" s="12"/>
      <c r="F227" s="15"/>
      <c r="G227" s="21"/>
      <c r="H227" s="1"/>
      <c r="I227" s="1"/>
      <c r="J227" s="1"/>
    </row>
    <row r="228" customFormat="false" ht="21.75" hidden="false" customHeight="true" outlineLevel="0" collapsed="false">
      <c r="A228" s="1"/>
      <c r="B228" s="20"/>
      <c r="C228" s="15"/>
      <c r="D228" s="11" t="str">
        <f aca="false">IF(C228="","",IFERROR(INDEX(Players!$C$5:$C$304,MATCH(C228,Players!$B$5:$B$304,0)),"UID not in Players sheet"))</f>
        <v/>
      </c>
      <c r="E228" s="12"/>
      <c r="F228" s="15"/>
      <c r="G228" s="21"/>
      <c r="H228" s="1"/>
      <c r="I228" s="1"/>
      <c r="J228" s="1"/>
    </row>
    <row r="229" customFormat="false" ht="21.75" hidden="false" customHeight="true" outlineLevel="0" collapsed="false">
      <c r="A229" s="1"/>
      <c r="B229" s="20"/>
      <c r="C229" s="15"/>
      <c r="D229" s="11" t="str">
        <f aca="false">IF(C229="","",IFERROR(INDEX(Players!$C$5:$C$304,MATCH(C229,Players!$B$5:$B$304,0)),"UID not in Players sheet"))</f>
        <v/>
      </c>
      <c r="E229" s="12"/>
      <c r="F229" s="15"/>
      <c r="G229" s="21"/>
      <c r="H229" s="1"/>
      <c r="I229" s="1"/>
      <c r="J229" s="1"/>
    </row>
    <row r="230" customFormat="false" ht="21.75" hidden="false" customHeight="true" outlineLevel="0" collapsed="false">
      <c r="A230" s="1"/>
      <c r="B230" s="20"/>
      <c r="C230" s="15"/>
      <c r="D230" s="11" t="str">
        <f aca="false">IF(C230="","",IFERROR(INDEX(Players!$C$5:$C$304,MATCH(C230,Players!$B$5:$B$304,0)),"UID not in Players sheet"))</f>
        <v/>
      </c>
      <c r="E230" s="12"/>
      <c r="F230" s="15"/>
      <c r="G230" s="21"/>
      <c r="H230" s="1"/>
      <c r="I230" s="1"/>
      <c r="J230" s="1"/>
    </row>
    <row r="231" customFormat="false" ht="21.75" hidden="false" customHeight="true" outlineLevel="0" collapsed="false">
      <c r="A231" s="1"/>
      <c r="B231" s="20"/>
      <c r="C231" s="15"/>
      <c r="D231" s="11" t="str">
        <f aca="false">IF(C231="","",IFERROR(INDEX(Players!$C$5:$C$304,MATCH(C231,Players!$B$5:$B$304,0)),"UID not in Players sheet"))</f>
        <v/>
      </c>
      <c r="E231" s="12"/>
      <c r="F231" s="15"/>
      <c r="G231" s="21"/>
      <c r="H231" s="1"/>
      <c r="I231" s="1"/>
      <c r="J231" s="1"/>
    </row>
    <row r="232" customFormat="false" ht="21.75" hidden="false" customHeight="true" outlineLevel="0" collapsed="false">
      <c r="A232" s="1"/>
      <c r="B232" s="20"/>
      <c r="C232" s="15"/>
      <c r="D232" s="11" t="str">
        <f aca="false">IF(C232="","",IFERROR(INDEX(Players!$C$5:$C$304,MATCH(C232,Players!$B$5:$B$304,0)),"UID not in Players sheet"))</f>
        <v/>
      </c>
      <c r="E232" s="12"/>
      <c r="F232" s="15"/>
      <c r="G232" s="21"/>
      <c r="H232" s="1"/>
      <c r="I232" s="1"/>
      <c r="J232" s="1"/>
    </row>
    <row r="233" customFormat="false" ht="21.75" hidden="false" customHeight="true" outlineLevel="0" collapsed="false">
      <c r="A233" s="1"/>
      <c r="B233" s="20"/>
      <c r="C233" s="15"/>
      <c r="D233" s="11" t="str">
        <f aca="false">IF(C233="","",IFERROR(INDEX(Players!$C$5:$C$304,MATCH(C233,Players!$B$5:$B$304,0)),"UID not in Players sheet"))</f>
        <v/>
      </c>
      <c r="E233" s="12"/>
      <c r="F233" s="15"/>
      <c r="G233" s="21"/>
      <c r="H233" s="1"/>
      <c r="I233" s="1"/>
      <c r="J233" s="1"/>
    </row>
    <row r="234" customFormat="false" ht="21.75" hidden="false" customHeight="true" outlineLevel="0" collapsed="false">
      <c r="A234" s="1"/>
      <c r="B234" s="20"/>
      <c r="C234" s="15"/>
      <c r="D234" s="11" t="str">
        <f aca="false">IF(C234="","",IFERROR(INDEX(Players!$C$5:$C$304,MATCH(C234,Players!$B$5:$B$304,0)),"UID not in Players sheet"))</f>
        <v/>
      </c>
      <c r="E234" s="12"/>
      <c r="F234" s="15"/>
      <c r="G234" s="21"/>
      <c r="H234" s="1"/>
      <c r="I234" s="1"/>
      <c r="J234" s="1"/>
    </row>
    <row r="235" customFormat="false" ht="21.75" hidden="false" customHeight="true" outlineLevel="0" collapsed="false">
      <c r="A235" s="1"/>
      <c r="B235" s="20"/>
      <c r="C235" s="15"/>
      <c r="D235" s="11" t="str">
        <f aca="false">IF(C235="","",IFERROR(INDEX(Players!$C$5:$C$304,MATCH(C235,Players!$B$5:$B$304,0)),"UID not in Players sheet"))</f>
        <v/>
      </c>
      <c r="E235" s="12"/>
      <c r="F235" s="15"/>
      <c r="G235" s="21"/>
      <c r="H235" s="1"/>
      <c r="I235" s="1"/>
      <c r="J235" s="1"/>
    </row>
    <row r="236" customFormat="false" ht="21.75" hidden="false" customHeight="true" outlineLevel="0" collapsed="false">
      <c r="A236" s="1"/>
      <c r="B236" s="20"/>
      <c r="C236" s="15"/>
      <c r="D236" s="11" t="str">
        <f aca="false">IF(C236="","",IFERROR(INDEX(Players!$C$5:$C$304,MATCH(C236,Players!$B$5:$B$304,0)),"UID not in Players sheet"))</f>
        <v/>
      </c>
      <c r="E236" s="12"/>
      <c r="F236" s="15"/>
      <c r="G236" s="21"/>
      <c r="H236" s="1"/>
      <c r="I236" s="1"/>
      <c r="J236" s="1"/>
    </row>
    <row r="237" customFormat="false" ht="21.75" hidden="false" customHeight="true" outlineLevel="0" collapsed="false">
      <c r="A237" s="1"/>
      <c r="B237" s="20"/>
      <c r="C237" s="15"/>
      <c r="D237" s="11" t="str">
        <f aca="false">IF(C237="","",IFERROR(INDEX(Players!$C$5:$C$304,MATCH(C237,Players!$B$5:$B$304,0)),"UID not in Players sheet"))</f>
        <v/>
      </c>
      <c r="E237" s="12"/>
      <c r="F237" s="15"/>
      <c r="G237" s="21"/>
      <c r="H237" s="1"/>
      <c r="I237" s="1"/>
      <c r="J237" s="1"/>
    </row>
    <row r="238" customFormat="false" ht="21.75" hidden="false" customHeight="true" outlineLevel="0" collapsed="false">
      <c r="A238" s="1"/>
      <c r="B238" s="20"/>
      <c r="C238" s="15"/>
      <c r="D238" s="11" t="str">
        <f aca="false">IF(C238="","",IFERROR(INDEX(Players!$C$5:$C$304,MATCH(C238,Players!$B$5:$B$304,0)),"UID not in Players sheet"))</f>
        <v/>
      </c>
      <c r="E238" s="12"/>
      <c r="F238" s="15"/>
      <c r="G238" s="21"/>
      <c r="H238" s="1"/>
      <c r="I238" s="1"/>
      <c r="J238" s="1"/>
    </row>
    <row r="239" customFormat="false" ht="21.75" hidden="false" customHeight="true" outlineLevel="0" collapsed="false">
      <c r="A239" s="1"/>
      <c r="B239" s="20"/>
      <c r="C239" s="15"/>
      <c r="D239" s="11" t="str">
        <f aca="false">IF(C239="","",IFERROR(INDEX(Players!$C$5:$C$304,MATCH(C239,Players!$B$5:$B$304,0)),"UID not in Players sheet"))</f>
        <v/>
      </c>
      <c r="E239" s="12"/>
      <c r="F239" s="15"/>
      <c r="G239" s="21"/>
      <c r="H239" s="1"/>
      <c r="I239" s="1"/>
      <c r="J239" s="1"/>
    </row>
    <row r="240" customFormat="false" ht="21.75" hidden="false" customHeight="true" outlineLevel="0" collapsed="false">
      <c r="A240" s="1"/>
      <c r="B240" s="20"/>
      <c r="C240" s="15"/>
      <c r="D240" s="11" t="str">
        <f aca="false">IF(C240="","",IFERROR(INDEX(Players!$C$5:$C$304,MATCH(C240,Players!$B$5:$B$304,0)),"UID not in Players sheet"))</f>
        <v/>
      </c>
      <c r="E240" s="12"/>
      <c r="F240" s="15"/>
      <c r="G240" s="21"/>
      <c r="H240" s="1"/>
      <c r="I240" s="1"/>
      <c r="J240" s="1"/>
    </row>
    <row r="241" customFormat="false" ht="21.75" hidden="false" customHeight="true" outlineLevel="0" collapsed="false">
      <c r="A241" s="1"/>
      <c r="B241" s="20"/>
      <c r="C241" s="15"/>
      <c r="D241" s="11" t="str">
        <f aca="false">IF(C241="","",IFERROR(INDEX(Players!$C$5:$C$304,MATCH(C241,Players!$B$5:$B$304,0)),"UID not in Players sheet"))</f>
        <v/>
      </c>
      <c r="E241" s="12"/>
      <c r="F241" s="15"/>
      <c r="G241" s="21"/>
      <c r="H241" s="1"/>
      <c r="I241" s="1"/>
      <c r="J241" s="1"/>
    </row>
    <row r="242" customFormat="false" ht="21.75" hidden="false" customHeight="true" outlineLevel="0" collapsed="false">
      <c r="A242" s="1"/>
      <c r="B242" s="20"/>
      <c r="C242" s="15"/>
      <c r="D242" s="11" t="str">
        <f aca="false">IF(C242="","",IFERROR(INDEX(Players!$C$5:$C$304,MATCH(C242,Players!$B$5:$B$304,0)),"UID not in Players sheet"))</f>
        <v/>
      </c>
      <c r="E242" s="12"/>
      <c r="F242" s="15"/>
      <c r="G242" s="21"/>
      <c r="H242" s="1"/>
      <c r="I242" s="1"/>
      <c r="J242" s="1"/>
    </row>
    <row r="243" customFormat="false" ht="21.75" hidden="false" customHeight="true" outlineLevel="0" collapsed="false">
      <c r="A243" s="1"/>
      <c r="B243" s="20"/>
      <c r="C243" s="15"/>
      <c r="D243" s="11" t="str">
        <f aca="false">IF(C243="","",IFERROR(INDEX(Players!$C$5:$C$304,MATCH(C243,Players!$B$5:$B$304,0)),"UID not in Players sheet"))</f>
        <v/>
      </c>
      <c r="E243" s="12"/>
      <c r="F243" s="15"/>
      <c r="G243" s="21"/>
      <c r="H243" s="1"/>
      <c r="I243" s="1"/>
      <c r="J243" s="1"/>
    </row>
    <row r="244" customFormat="false" ht="21.75" hidden="false" customHeight="true" outlineLevel="0" collapsed="false">
      <c r="A244" s="1"/>
      <c r="B244" s="20"/>
      <c r="C244" s="15"/>
      <c r="D244" s="11" t="str">
        <f aca="false">IF(C244="","",IFERROR(INDEX(Players!$C$5:$C$304,MATCH(C244,Players!$B$5:$B$304,0)),"UID not in Players sheet"))</f>
        <v/>
      </c>
      <c r="E244" s="12"/>
      <c r="F244" s="15"/>
      <c r="G244" s="21"/>
      <c r="H244" s="1"/>
      <c r="I244" s="1"/>
      <c r="J244" s="1"/>
    </row>
    <row r="245" customFormat="false" ht="21.75" hidden="false" customHeight="true" outlineLevel="0" collapsed="false">
      <c r="A245" s="1"/>
      <c r="B245" s="20"/>
      <c r="C245" s="15"/>
      <c r="D245" s="11" t="str">
        <f aca="false">IF(C245="","",IFERROR(INDEX(Players!$C$5:$C$304,MATCH(C245,Players!$B$5:$B$304,0)),"UID not in Players sheet"))</f>
        <v/>
      </c>
      <c r="E245" s="12"/>
      <c r="F245" s="15"/>
      <c r="G245" s="21"/>
      <c r="H245" s="1"/>
      <c r="I245" s="1"/>
      <c r="J245" s="1"/>
    </row>
    <row r="246" customFormat="false" ht="21.75" hidden="false" customHeight="true" outlineLevel="0" collapsed="false">
      <c r="A246" s="1"/>
      <c r="B246" s="20"/>
      <c r="C246" s="15"/>
      <c r="D246" s="11" t="str">
        <f aca="false">IF(C246="","",IFERROR(INDEX(Players!$C$5:$C$304,MATCH(C246,Players!$B$5:$B$304,0)),"UID not in Players sheet"))</f>
        <v/>
      </c>
      <c r="E246" s="12"/>
      <c r="F246" s="15"/>
      <c r="G246" s="21"/>
      <c r="H246" s="1"/>
      <c r="I246" s="1"/>
      <c r="J246" s="1"/>
    </row>
    <row r="247" customFormat="false" ht="21.75" hidden="false" customHeight="true" outlineLevel="0" collapsed="false">
      <c r="A247" s="1"/>
      <c r="B247" s="20"/>
      <c r="C247" s="15"/>
      <c r="D247" s="11" t="str">
        <f aca="false">IF(C247="","",IFERROR(INDEX(Players!$C$5:$C$304,MATCH(C247,Players!$B$5:$B$304,0)),"UID not in Players sheet"))</f>
        <v/>
      </c>
      <c r="E247" s="12"/>
      <c r="F247" s="15"/>
      <c r="G247" s="21"/>
      <c r="H247" s="1"/>
      <c r="I247" s="1"/>
      <c r="J247" s="1"/>
    </row>
    <row r="248" customFormat="false" ht="21.75" hidden="false" customHeight="true" outlineLevel="0" collapsed="false">
      <c r="A248" s="1"/>
      <c r="B248" s="20"/>
      <c r="C248" s="15"/>
      <c r="D248" s="11" t="str">
        <f aca="false">IF(C248="","",IFERROR(INDEX(Players!$C$5:$C$304,MATCH(C248,Players!$B$5:$B$304,0)),"UID not in Players sheet"))</f>
        <v/>
      </c>
      <c r="E248" s="12"/>
      <c r="F248" s="15"/>
      <c r="G248" s="21"/>
      <c r="H248" s="1"/>
      <c r="I248" s="1"/>
      <c r="J248" s="1"/>
    </row>
    <row r="249" customFormat="false" ht="21.75" hidden="false" customHeight="true" outlineLevel="0" collapsed="false">
      <c r="A249" s="1"/>
      <c r="B249" s="20"/>
      <c r="C249" s="15"/>
      <c r="D249" s="11" t="str">
        <f aca="false">IF(C249="","",IFERROR(INDEX(Players!$C$5:$C$304,MATCH(C249,Players!$B$5:$B$304,0)),"UID not in Players sheet"))</f>
        <v/>
      </c>
      <c r="E249" s="12"/>
      <c r="F249" s="15"/>
      <c r="G249" s="21"/>
      <c r="H249" s="1"/>
      <c r="I249" s="1"/>
      <c r="J249" s="1"/>
    </row>
    <row r="250" customFormat="false" ht="21.75" hidden="false" customHeight="true" outlineLevel="0" collapsed="false">
      <c r="A250" s="1"/>
      <c r="B250" s="20"/>
      <c r="C250" s="15"/>
      <c r="D250" s="11" t="str">
        <f aca="false">IF(C250="","",IFERROR(INDEX(Players!$C$5:$C$304,MATCH(C250,Players!$B$5:$B$304,0)),"UID not in Players sheet"))</f>
        <v/>
      </c>
      <c r="E250" s="12"/>
      <c r="F250" s="15"/>
      <c r="G250" s="21"/>
      <c r="H250" s="1"/>
      <c r="I250" s="1"/>
      <c r="J250" s="1"/>
    </row>
    <row r="251" customFormat="false" ht="21.75" hidden="false" customHeight="true" outlineLevel="0" collapsed="false">
      <c r="A251" s="1"/>
      <c r="B251" s="20"/>
      <c r="C251" s="15"/>
      <c r="D251" s="11" t="str">
        <f aca="false">IF(C251="","",IFERROR(INDEX(Players!$C$5:$C$304,MATCH(C251,Players!$B$5:$B$304,0)),"UID not in Players sheet"))</f>
        <v/>
      </c>
      <c r="E251" s="12"/>
      <c r="F251" s="15"/>
      <c r="G251" s="21"/>
      <c r="H251" s="1"/>
      <c r="I251" s="1"/>
      <c r="J251" s="1"/>
    </row>
    <row r="252" customFormat="false" ht="21.75" hidden="false" customHeight="true" outlineLevel="0" collapsed="false">
      <c r="A252" s="1"/>
      <c r="B252" s="20"/>
      <c r="C252" s="15"/>
      <c r="D252" s="11" t="str">
        <f aca="false">IF(C252="","",IFERROR(INDEX(Players!$C$5:$C$304,MATCH(C252,Players!$B$5:$B$304,0)),"UID not in Players sheet"))</f>
        <v/>
      </c>
      <c r="E252" s="12"/>
      <c r="F252" s="15"/>
      <c r="G252" s="21"/>
      <c r="H252" s="1"/>
      <c r="I252" s="1"/>
      <c r="J252" s="1"/>
    </row>
    <row r="253" customFormat="false" ht="21.75" hidden="false" customHeight="true" outlineLevel="0" collapsed="false">
      <c r="A253" s="1"/>
      <c r="B253" s="20"/>
      <c r="C253" s="15"/>
      <c r="D253" s="11" t="str">
        <f aca="false">IF(C253="","",IFERROR(INDEX(Players!$C$5:$C$304,MATCH(C253,Players!$B$5:$B$304,0)),"UID not in Players sheet"))</f>
        <v/>
      </c>
      <c r="E253" s="12"/>
      <c r="F253" s="15"/>
      <c r="G253" s="21"/>
      <c r="H253" s="1"/>
      <c r="I253" s="1"/>
      <c r="J253" s="1"/>
    </row>
    <row r="254" customFormat="false" ht="21.75" hidden="false" customHeight="true" outlineLevel="0" collapsed="false">
      <c r="A254" s="1"/>
      <c r="B254" s="20"/>
      <c r="C254" s="15"/>
      <c r="D254" s="11" t="str">
        <f aca="false">IF(C254="","",IFERROR(INDEX(Players!$C$5:$C$304,MATCH(C254,Players!$B$5:$B$304,0)),"UID not in Players sheet"))</f>
        <v/>
      </c>
      <c r="E254" s="12"/>
      <c r="F254" s="15"/>
      <c r="G254" s="21"/>
      <c r="H254" s="1"/>
      <c r="I254" s="1"/>
      <c r="J254" s="1"/>
    </row>
    <row r="255" customFormat="false" ht="21.75" hidden="false" customHeight="true" outlineLevel="0" collapsed="false">
      <c r="A255" s="1"/>
      <c r="B255" s="20"/>
      <c r="C255" s="15"/>
      <c r="D255" s="11" t="str">
        <f aca="false">IF(C255="","",IFERROR(INDEX(Players!$C$5:$C$304,MATCH(C255,Players!$B$5:$B$304,0)),"UID not in Players sheet"))</f>
        <v/>
      </c>
      <c r="E255" s="12"/>
      <c r="F255" s="15"/>
      <c r="G255" s="21"/>
      <c r="H255" s="1"/>
      <c r="I255" s="1"/>
      <c r="J255" s="1"/>
    </row>
    <row r="256" customFormat="false" ht="21.75" hidden="false" customHeight="true" outlineLevel="0" collapsed="false">
      <c r="A256" s="1"/>
      <c r="B256" s="20"/>
      <c r="C256" s="15"/>
      <c r="D256" s="11" t="str">
        <f aca="false">IF(C256="","",IFERROR(INDEX(Players!$C$5:$C$304,MATCH(C256,Players!$B$5:$B$304,0)),"UID not in Players sheet"))</f>
        <v/>
      </c>
      <c r="E256" s="12"/>
      <c r="F256" s="15"/>
      <c r="G256" s="21"/>
      <c r="H256" s="1"/>
      <c r="I256" s="1"/>
      <c r="J256" s="1"/>
    </row>
    <row r="257" customFormat="false" ht="21.75" hidden="false" customHeight="true" outlineLevel="0" collapsed="false">
      <c r="A257" s="1"/>
      <c r="B257" s="20"/>
      <c r="C257" s="15"/>
      <c r="D257" s="11" t="str">
        <f aca="false">IF(C257="","",IFERROR(INDEX(Players!$C$5:$C$304,MATCH(C257,Players!$B$5:$B$304,0)),"UID not in Players sheet"))</f>
        <v/>
      </c>
      <c r="E257" s="12"/>
      <c r="F257" s="15"/>
      <c r="G257" s="21"/>
      <c r="H257" s="1"/>
      <c r="I257" s="1"/>
      <c r="J257" s="1"/>
    </row>
    <row r="258" customFormat="false" ht="21.75" hidden="false" customHeight="true" outlineLevel="0" collapsed="false">
      <c r="A258" s="1"/>
      <c r="B258" s="20"/>
      <c r="C258" s="15"/>
      <c r="D258" s="11" t="str">
        <f aca="false">IF(C258="","",IFERROR(INDEX(Players!$C$5:$C$304,MATCH(C258,Players!$B$5:$B$304,0)),"UID not in Players sheet"))</f>
        <v/>
      </c>
      <c r="E258" s="12"/>
      <c r="F258" s="15"/>
      <c r="G258" s="21"/>
      <c r="H258" s="1"/>
      <c r="I258" s="1"/>
      <c r="J258" s="1"/>
    </row>
    <row r="259" customFormat="false" ht="21.75" hidden="false" customHeight="true" outlineLevel="0" collapsed="false">
      <c r="A259" s="1"/>
      <c r="B259" s="20"/>
      <c r="C259" s="15"/>
      <c r="D259" s="11" t="str">
        <f aca="false">IF(C259="","",IFERROR(INDEX(Players!$C$5:$C$304,MATCH(C259,Players!$B$5:$B$304,0)),"UID not in Players sheet"))</f>
        <v/>
      </c>
      <c r="E259" s="12"/>
      <c r="F259" s="15"/>
      <c r="G259" s="21"/>
      <c r="H259" s="1"/>
      <c r="I259" s="1"/>
      <c r="J259" s="1"/>
    </row>
    <row r="260" customFormat="false" ht="21.75" hidden="false" customHeight="true" outlineLevel="0" collapsed="false">
      <c r="A260" s="1"/>
      <c r="B260" s="20"/>
      <c r="C260" s="15"/>
      <c r="D260" s="11" t="str">
        <f aca="false">IF(C260="","",IFERROR(INDEX(Players!$C$5:$C$304,MATCH(C260,Players!$B$5:$B$304,0)),"UID not in Players sheet"))</f>
        <v/>
      </c>
      <c r="E260" s="12"/>
      <c r="F260" s="15"/>
      <c r="G260" s="21"/>
      <c r="H260" s="1"/>
      <c r="I260" s="1"/>
      <c r="J260" s="1"/>
    </row>
    <row r="261" customFormat="false" ht="21.75" hidden="false" customHeight="true" outlineLevel="0" collapsed="false">
      <c r="A261" s="1"/>
      <c r="B261" s="20"/>
      <c r="C261" s="15"/>
      <c r="D261" s="11" t="str">
        <f aca="false">IF(C261="","",IFERROR(INDEX(Players!$C$5:$C$304,MATCH(C261,Players!$B$5:$B$304,0)),"UID not in Players sheet"))</f>
        <v/>
      </c>
      <c r="E261" s="12"/>
      <c r="F261" s="15"/>
      <c r="G261" s="21"/>
      <c r="H261" s="1"/>
      <c r="I261" s="1"/>
      <c r="J261" s="1"/>
    </row>
    <row r="262" customFormat="false" ht="21.75" hidden="false" customHeight="true" outlineLevel="0" collapsed="false">
      <c r="A262" s="1"/>
      <c r="B262" s="20"/>
      <c r="C262" s="15"/>
      <c r="D262" s="11" t="str">
        <f aca="false">IF(C262="","",IFERROR(INDEX(Players!$C$5:$C$304,MATCH(C262,Players!$B$5:$B$304,0)),"UID not in Players sheet"))</f>
        <v/>
      </c>
      <c r="E262" s="12"/>
      <c r="F262" s="15"/>
      <c r="G262" s="21"/>
      <c r="H262" s="1"/>
      <c r="I262" s="1"/>
      <c r="J262" s="1"/>
    </row>
    <row r="263" customFormat="false" ht="21.75" hidden="false" customHeight="true" outlineLevel="0" collapsed="false">
      <c r="A263" s="1"/>
      <c r="B263" s="20"/>
      <c r="C263" s="15"/>
      <c r="D263" s="11" t="str">
        <f aca="false">IF(C263="","",IFERROR(INDEX(Players!$C$5:$C$304,MATCH(C263,Players!$B$5:$B$304,0)),"UID not in Players sheet"))</f>
        <v/>
      </c>
      <c r="E263" s="12"/>
      <c r="F263" s="15"/>
      <c r="G263" s="21"/>
      <c r="H263" s="1"/>
      <c r="I263" s="1"/>
      <c r="J263" s="1"/>
    </row>
    <row r="264" customFormat="false" ht="21.75" hidden="false" customHeight="true" outlineLevel="0" collapsed="false">
      <c r="A264" s="1"/>
      <c r="B264" s="20"/>
      <c r="C264" s="15"/>
      <c r="D264" s="11" t="str">
        <f aca="false">IF(C264="","",IFERROR(INDEX(Players!$C$5:$C$304,MATCH(C264,Players!$B$5:$B$304,0)),"UID not in Players sheet"))</f>
        <v/>
      </c>
      <c r="E264" s="12"/>
      <c r="F264" s="15"/>
      <c r="G264" s="21"/>
      <c r="H264" s="1"/>
      <c r="I264" s="1"/>
      <c r="J264" s="1"/>
    </row>
    <row r="265" customFormat="false" ht="21.75" hidden="false" customHeight="true" outlineLevel="0" collapsed="false">
      <c r="A265" s="1"/>
      <c r="B265" s="20"/>
      <c r="C265" s="15"/>
      <c r="D265" s="11" t="str">
        <f aca="false">IF(C265="","",IFERROR(INDEX(Players!$C$5:$C$304,MATCH(C265,Players!$B$5:$B$304,0)),"UID not in Players sheet"))</f>
        <v/>
      </c>
      <c r="E265" s="12"/>
      <c r="F265" s="15"/>
      <c r="G265" s="21"/>
      <c r="H265" s="1"/>
      <c r="I265" s="1"/>
      <c r="J265" s="1"/>
    </row>
    <row r="266" customFormat="false" ht="21.75" hidden="false" customHeight="true" outlineLevel="0" collapsed="false">
      <c r="A266" s="1"/>
      <c r="B266" s="20"/>
      <c r="C266" s="15"/>
      <c r="D266" s="11" t="str">
        <f aca="false">IF(C266="","",IFERROR(INDEX(Players!$C$5:$C$304,MATCH(C266,Players!$B$5:$B$304,0)),"UID not in Players sheet"))</f>
        <v/>
      </c>
      <c r="E266" s="12"/>
      <c r="F266" s="15"/>
      <c r="G266" s="21"/>
      <c r="H266" s="1"/>
      <c r="I266" s="1"/>
      <c r="J266" s="1"/>
    </row>
    <row r="267" customFormat="false" ht="21.75" hidden="false" customHeight="true" outlineLevel="0" collapsed="false">
      <c r="A267" s="1"/>
      <c r="B267" s="20"/>
      <c r="C267" s="15"/>
      <c r="D267" s="11" t="str">
        <f aca="false">IF(C267="","",IFERROR(INDEX(Players!$C$5:$C$304,MATCH(C267,Players!$B$5:$B$304,0)),"UID not in Players sheet"))</f>
        <v/>
      </c>
      <c r="E267" s="12"/>
      <c r="F267" s="15"/>
      <c r="G267" s="21"/>
      <c r="H267" s="1"/>
      <c r="I267" s="1"/>
      <c r="J267" s="1"/>
    </row>
    <row r="268" customFormat="false" ht="21.75" hidden="false" customHeight="true" outlineLevel="0" collapsed="false">
      <c r="A268" s="1"/>
      <c r="B268" s="20"/>
      <c r="C268" s="15"/>
      <c r="D268" s="11" t="str">
        <f aca="false">IF(C268="","",IFERROR(INDEX(Players!$C$5:$C$304,MATCH(C268,Players!$B$5:$B$304,0)),"UID not in Players sheet"))</f>
        <v/>
      </c>
      <c r="E268" s="12"/>
      <c r="F268" s="15"/>
      <c r="G268" s="21"/>
      <c r="H268" s="1"/>
      <c r="I268" s="1"/>
      <c r="J268" s="1"/>
    </row>
    <row r="269" customFormat="false" ht="21.75" hidden="false" customHeight="true" outlineLevel="0" collapsed="false">
      <c r="A269" s="1"/>
      <c r="B269" s="20"/>
      <c r="C269" s="15"/>
      <c r="D269" s="11" t="str">
        <f aca="false">IF(C269="","",IFERROR(INDEX(Players!$C$5:$C$304,MATCH(C269,Players!$B$5:$B$304,0)),"UID not in Players sheet"))</f>
        <v/>
      </c>
      <c r="E269" s="12"/>
      <c r="F269" s="15"/>
      <c r="G269" s="21"/>
      <c r="H269" s="1"/>
      <c r="I269" s="1"/>
      <c r="J269" s="1"/>
    </row>
    <row r="270" customFormat="false" ht="21.75" hidden="false" customHeight="true" outlineLevel="0" collapsed="false">
      <c r="A270" s="1"/>
      <c r="B270" s="20"/>
      <c r="C270" s="15"/>
      <c r="D270" s="11" t="str">
        <f aca="false">IF(C270="","",IFERROR(INDEX(Players!$C$5:$C$304,MATCH(C270,Players!$B$5:$B$304,0)),"UID not in Players sheet"))</f>
        <v/>
      </c>
      <c r="E270" s="12"/>
      <c r="F270" s="15"/>
      <c r="G270" s="21"/>
      <c r="H270" s="1"/>
      <c r="I270" s="1"/>
      <c r="J270" s="1"/>
    </row>
    <row r="271" customFormat="false" ht="21.75" hidden="false" customHeight="true" outlineLevel="0" collapsed="false">
      <c r="A271" s="1"/>
      <c r="B271" s="20"/>
      <c r="C271" s="15"/>
      <c r="D271" s="11" t="str">
        <f aca="false">IF(C271="","",IFERROR(INDEX(Players!$C$5:$C$304,MATCH(C271,Players!$B$5:$B$304,0)),"UID not in Players sheet"))</f>
        <v/>
      </c>
      <c r="E271" s="12"/>
      <c r="F271" s="15"/>
      <c r="G271" s="21"/>
      <c r="H271" s="1"/>
      <c r="I271" s="1"/>
      <c r="J271" s="1"/>
    </row>
    <row r="272" customFormat="false" ht="21.75" hidden="false" customHeight="true" outlineLevel="0" collapsed="false">
      <c r="A272" s="1"/>
      <c r="B272" s="20"/>
      <c r="C272" s="15"/>
      <c r="D272" s="11" t="str">
        <f aca="false">IF(C272="","",IFERROR(INDEX(Players!$C$5:$C$304,MATCH(C272,Players!$B$5:$B$304,0)),"UID not in Players sheet"))</f>
        <v/>
      </c>
      <c r="E272" s="12"/>
      <c r="F272" s="15"/>
      <c r="G272" s="21"/>
      <c r="H272" s="1"/>
      <c r="I272" s="1"/>
      <c r="J272" s="1"/>
    </row>
    <row r="273" customFormat="false" ht="21.75" hidden="false" customHeight="true" outlineLevel="0" collapsed="false">
      <c r="A273" s="1"/>
      <c r="B273" s="20"/>
      <c r="C273" s="15"/>
      <c r="D273" s="11" t="str">
        <f aca="false">IF(C273="","",IFERROR(INDEX(Players!$C$5:$C$304,MATCH(C273,Players!$B$5:$B$304,0)),"UID not in Players sheet"))</f>
        <v/>
      </c>
      <c r="E273" s="12"/>
      <c r="F273" s="15"/>
      <c r="G273" s="21"/>
      <c r="H273" s="1"/>
      <c r="I273" s="1"/>
      <c r="J273" s="1"/>
    </row>
    <row r="274" customFormat="false" ht="21.75" hidden="false" customHeight="true" outlineLevel="0" collapsed="false">
      <c r="A274" s="1"/>
      <c r="B274" s="20"/>
      <c r="C274" s="15"/>
      <c r="D274" s="11" t="str">
        <f aca="false">IF(C274="","",IFERROR(INDEX(Players!$C$5:$C$304,MATCH(C274,Players!$B$5:$B$304,0)),"UID not in Players sheet"))</f>
        <v/>
      </c>
      <c r="E274" s="12"/>
      <c r="F274" s="15"/>
      <c r="G274" s="21"/>
      <c r="H274" s="1"/>
      <c r="I274" s="1"/>
      <c r="J274" s="1"/>
    </row>
    <row r="275" customFormat="false" ht="21.75" hidden="false" customHeight="true" outlineLevel="0" collapsed="false">
      <c r="A275" s="1"/>
      <c r="B275" s="20"/>
      <c r="C275" s="15"/>
      <c r="D275" s="11" t="str">
        <f aca="false">IF(C275="","",IFERROR(INDEX(Players!$C$5:$C$304,MATCH(C275,Players!$B$5:$B$304,0)),"UID not in Players sheet"))</f>
        <v/>
      </c>
      <c r="E275" s="12"/>
      <c r="F275" s="15"/>
      <c r="G275" s="21"/>
      <c r="H275" s="1"/>
      <c r="I275" s="1"/>
      <c r="J275" s="1"/>
    </row>
    <row r="276" customFormat="false" ht="21.75" hidden="false" customHeight="true" outlineLevel="0" collapsed="false">
      <c r="A276" s="1"/>
      <c r="B276" s="20"/>
      <c r="C276" s="15"/>
      <c r="D276" s="11" t="str">
        <f aca="false">IF(C276="","",IFERROR(INDEX(Players!$C$5:$C$304,MATCH(C276,Players!$B$5:$B$304,0)),"UID not in Players sheet"))</f>
        <v/>
      </c>
      <c r="E276" s="12"/>
      <c r="F276" s="15"/>
      <c r="G276" s="21"/>
      <c r="H276" s="1"/>
      <c r="I276" s="1"/>
      <c r="J276" s="1"/>
    </row>
    <row r="277" customFormat="false" ht="21.75" hidden="false" customHeight="true" outlineLevel="0" collapsed="false">
      <c r="A277" s="1"/>
      <c r="B277" s="20"/>
      <c r="C277" s="15"/>
      <c r="D277" s="11" t="str">
        <f aca="false">IF(C277="","",IFERROR(INDEX(Players!$C$5:$C$304,MATCH(C277,Players!$B$5:$B$304,0)),"UID not in Players sheet"))</f>
        <v/>
      </c>
      <c r="E277" s="12"/>
      <c r="F277" s="15"/>
      <c r="G277" s="21"/>
      <c r="H277" s="1"/>
      <c r="I277" s="1"/>
      <c r="J277" s="1"/>
    </row>
    <row r="278" customFormat="false" ht="21.75" hidden="false" customHeight="true" outlineLevel="0" collapsed="false">
      <c r="A278" s="1"/>
      <c r="B278" s="20"/>
      <c r="C278" s="15"/>
      <c r="D278" s="11" t="str">
        <f aca="false">IF(C278="","",IFERROR(INDEX(Players!$C$5:$C$304,MATCH(C278,Players!$B$5:$B$304,0)),"UID not in Players sheet"))</f>
        <v/>
      </c>
      <c r="E278" s="12"/>
      <c r="F278" s="15"/>
      <c r="G278" s="21"/>
      <c r="H278" s="1"/>
      <c r="I278" s="1"/>
      <c r="J278" s="1"/>
    </row>
    <row r="279" customFormat="false" ht="21.75" hidden="false" customHeight="true" outlineLevel="0" collapsed="false">
      <c r="A279" s="1"/>
      <c r="B279" s="20"/>
      <c r="C279" s="15"/>
      <c r="D279" s="11" t="str">
        <f aca="false">IF(C279="","",IFERROR(INDEX(Players!$C$5:$C$304,MATCH(C279,Players!$B$5:$B$304,0)),"UID not in Players sheet"))</f>
        <v/>
      </c>
      <c r="E279" s="12"/>
      <c r="F279" s="15"/>
      <c r="G279" s="21"/>
      <c r="H279" s="1"/>
      <c r="I279" s="1"/>
      <c r="J279" s="1"/>
    </row>
    <row r="280" customFormat="false" ht="21.75" hidden="false" customHeight="true" outlineLevel="0" collapsed="false">
      <c r="A280" s="1"/>
      <c r="B280" s="20"/>
      <c r="C280" s="15"/>
      <c r="D280" s="11" t="str">
        <f aca="false">IF(C280="","",IFERROR(INDEX(Players!$C$5:$C$304,MATCH(C280,Players!$B$5:$B$304,0)),"UID not in Players sheet"))</f>
        <v/>
      </c>
      <c r="E280" s="12"/>
      <c r="F280" s="15"/>
      <c r="G280" s="21"/>
      <c r="H280" s="1"/>
      <c r="I280" s="1"/>
      <c r="J280" s="1"/>
    </row>
    <row r="281" customFormat="false" ht="21.75" hidden="false" customHeight="true" outlineLevel="0" collapsed="false">
      <c r="A281" s="1"/>
      <c r="B281" s="20"/>
      <c r="C281" s="15"/>
      <c r="D281" s="11" t="str">
        <f aca="false">IF(C281="","",IFERROR(INDEX(Players!$C$5:$C$304,MATCH(C281,Players!$B$5:$B$304,0)),"UID not in Players sheet"))</f>
        <v/>
      </c>
      <c r="E281" s="12"/>
      <c r="F281" s="15"/>
      <c r="G281" s="21"/>
      <c r="H281" s="1"/>
      <c r="I281" s="1"/>
      <c r="J281" s="1"/>
    </row>
    <row r="282" customFormat="false" ht="21.75" hidden="false" customHeight="true" outlineLevel="0" collapsed="false">
      <c r="A282" s="1"/>
      <c r="B282" s="20"/>
      <c r="C282" s="15"/>
      <c r="D282" s="11" t="str">
        <f aca="false">IF(C282="","",IFERROR(INDEX(Players!$C$5:$C$304,MATCH(C282,Players!$B$5:$B$304,0)),"UID not in Players sheet"))</f>
        <v/>
      </c>
      <c r="E282" s="12"/>
      <c r="F282" s="15"/>
      <c r="G282" s="21"/>
      <c r="H282" s="1"/>
      <c r="I282" s="1"/>
      <c r="J282" s="1"/>
    </row>
    <row r="283" customFormat="false" ht="21.75" hidden="false" customHeight="true" outlineLevel="0" collapsed="false">
      <c r="A283" s="1"/>
      <c r="B283" s="20"/>
      <c r="C283" s="15"/>
      <c r="D283" s="11" t="str">
        <f aca="false">IF(C283="","",IFERROR(INDEX(Players!$C$5:$C$304,MATCH(C283,Players!$B$5:$B$304,0)),"UID not in Players sheet"))</f>
        <v/>
      </c>
      <c r="E283" s="12"/>
      <c r="F283" s="15"/>
      <c r="G283" s="21"/>
      <c r="H283" s="1"/>
      <c r="I283" s="1"/>
      <c r="J283" s="1"/>
    </row>
    <row r="284" customFormat="false" ht="21.75" hidden="false" customHeight="true" outlineLevel="0" collapsed="false">
      <c r="A284" s="1"/>
      <c r="B284" s="20"/>
      <c r="C284" s="15"/>
      <c r="D284" s="11" t="str">
        <f aca="false">IF(C284="","",IFERROR(INDEX(Players!$C$5:$C$304,MATCH(C284,Players!$B$5:$B$304,0)),"UID not in Players sheet"))</f>
        <v/>
      </c>
      <c r="E284" s="12"/>
      <c r="F284" s="15"/>
      <c r="G284" s="21"/>
      <c r="H284" s="1"/>
      <c r="I284" s="1"/>
      <c r="J284" s="1"/>
    </row>
    <row r="285" customFormat="false" ht="21.75" hidden="false" customHeight="true" outlineLevel="0" collapsed="false">
      <c r="A285" s="1"/>
      <c r="B285" s="20"/>
      <c r="C285" s="15"/>
      <c r="D285" s="11" t="str">
        <f aca="false">IF(C285="","",IFERROR(INDEX(Players!$C$5:$C$304,MATCH(C285,Players!$B$5:$B$304,0)),"UID not in Players sheet"))</f>
        <v/>
      </c>
      <c r="E285" s="12"/>
      <c r="F285" s="15"/>
      <c r="G285" s="21"/>
      <c r="H285" s="1"/>
      <c r="I285" s="1"/>
      <c r="J285" s="1"/>
    </row>
    <row r="286" customFormat="false" ht="21.75" hidden="false" customHeight="true" outlineLevel="0" collapsed="false">
      <c r="A286" s="1"/>
      <c r="B286" s="20"/>
      <c r="C286" s="15"/>
      <c r="D286" s="11" t="str">
        <f aca="false">IF(C286="","",IFERROR(INDEX(Players!$C$5:$C$304,MATCH(C286,Players!$B$5:$B$304,0)),"UID not in Players sheet"))</f>
        <v/>
      </c>
      <c r="E286" s="12"/>
      <c r="F286" s="15"/>
      <c r="G286" s="21"/>
      <c r="H286" s="1"/>
      <c r="I286" s="1"/>
      <c r="J286" s="1"/>
    </row>
    <row r="287" customFormat="false" ht="21.75" hidden="false" customHeight="true" outlineLevel="0" collapsed="false">
      <c r="A287" s="1"/>
      <c r="B287" s="20"/>
      <c r="C287" s="15"/>
      <c r="D287" s="11" t="str">
        <f aca="false">IF(C287="","",IFERROR(INDEX(Players!$C$5:$C$304,MATCH(C287,Players!$B$5:$B$304,0)),"UID not in Players sheet"))</f>
        <v/>
      </c>
      <c r="E287" s="12"/>
      <c r="F287" s="15"/>
      <c r="G287" s="21"/>
      <c r="H287" s="1"/>
      <c r="I287" s="1"/>
      <c r="J287" s="1"/>
    </row>
    <row r="288" customFormat="false" ht="21.75" hidden="false" customHeight="true" outlineLevel="0" collapsed="false">
      <c r="A288" s="1"/>
      <c r="B288" s="20"/>
      <c r="C288" s="15"/>
      <c r="D288" s="11" t="str">
        <f aca="false">IF(C288="","",IFERROR(INDEX(Players!$C$5:$C$304,MATCH(C288,Players!$B$5:$B$304,0)),"UID not in Players sheet"))</f>
        <v/>
      </c>
      <c r="E288" s="12"/>
      <c r="F288" s="15"/>
      <c r="G288" s="21"/>
      <c r="H288" s="1"/>
      <c r="I288" s="1"/>
      <c r="J288" s="1"/>
    </row>
    <row r="289" customFormat="false" ht="21.75" hidden="false" customHeight="true" outlineLevel="0" collapsed="false">
      <c r="A289" s="1"/>
      <c r="B289" s="20"/>
      <c r="C289" s="15"/>
      <c r="D289" s="11" t="str">
        <f aca="false">IF(C289="","",IFERROR(INDEX(Players!$C$5:$C$304,MATCH(C289,Players!$B$5:$B$304,0)),"UID not in Players sheet"))</f>
        <v/>
      </c>
      <c r="E289" s="12"/>
      <c r="F289" s="15"/>
      <c r="G289" s="21"/>
      <c r="H289" s="1"/>
      <c r="I289" s="1"/>
      <c r="J289" s="1"/>
    </row>
    <row r="290" customFormat="false" ht="21.75" hidden="false" customHeight="true" outlineLevel="0" collapsed="false">
      <c r="A290" s="1"/>
      <c r="B290" s="20"/>
      <c r="C290" s="15"/>
      <c r="D290" s="11" t="str">
        <f aca="false">IF(C290="","",IFERROR(INDEX(Players!$C$5:$C$304,MATCH(C290,Players!$B$5:$B$304,0)),"UID not in Players sheet"))</f>
        <v/>
      </c>
      <c r="E290" s="12"/>
      <c r="F290" s="15"/>
      <c r="G290" s="21"/>
      <c r="H290" s="1"/>
      <c r="I290" s="1"/>
      <c r="J290" s="1"/>
    </row>
    <row r="291" customFormat="false" ht="21.75" hidden="false" customHeight="true" outlineLevel="0" collapsed="false">
      <c r="A291" s="1"/>
      <c r="B291" s="20"/>
      <c r="C291" s="15"/>
      <c r="D291" s="11" t="str">
        <f aca="false">IF(C291="","",IFERROR(INDEX(Players!$C$5:$C$304,MATCH(C291,Players!$B$5:$B$304,0)),"UID not in Players sheet"))</f>
        <v/>
      </c>
      <c r="E291" s="12"/>
      <c r="F291" s="15"/>
      <c r="G291" s="21"/>
      <c r="H291" s="1"/>
      <c r="I291" s="1"/>
      <c r="J291" s="1"/>
    </row>
    <row r="292" customFormat="false" ht="21.75" hidden="false" customHeight="true" outlineLevel="0" collapsed="false">
      <c r="A292" s="1"/>
      <c r="B292" s="20"/>
      <c r="C292" s="15"/>
      <c r="D292" s="11" t="str">
        <f aca="false">IF(C292="","",IFERROR(INDEX(Players!$C$5:$C$304,MATCH(C292,Players!$B$5:$B$304,0)),"UID not in Players sheet"))</f>
        <v/>
      </c>
      <c r="E292" s="12"/>
      <c r="F292" s="15"/>
      <c r="G292" s="21"/>
      <c r="H292" s="1"/>
      <c r="I292" s="1"/>
      <c r="J292" s="1"/>
    </row>
    <row r="293" customFormat="false" ht="21.75" hidden="false" customHeight="true" outlineLevel="0" collapsed="false">
      <c r="A293" s="1"/>
      <c r="B293" s="20"/>
      <c r="C293" s="15"/>
      <c r="D293" s="11" t="str">
        <f aca="false">IF(C293="","",IFERROR(INDEX(Players!$C$5:$C$304,MATCH(C293,Players!$B$5:$B$304,0)),"UID not in Players sheet"))</f>
        <v/>
      </c>
      <c r="E293" s="12"/>
      <c r="F293" s="15"/>
      <c r="G293" s="21"/>
      <c r="H293" s="1"/>
      <c r="I293" s="1"/>
      <c r="J293" s="1"/>
    </row>
    <row r="294" customFormat="false" ht="21.75" hidden="false" customHeight="true" outlineLevel="0" collapsed="false">
      <c r="A294" s="1"/>
      <c r="B294" s="20"/>
      <c r="C294" s="15"/>
      <c r="D294" s="11" t="str">
        <f aca="false">IF(C294="","",IFERROR(INDEX(Players!$C$5:$C$304,MATCH(C294,Players!$B$5:$B$304,0)),"UID not in Players sheet"))</f>
        <v/>
      </c>
      <c r="E294" s="12"/>
      <c r="F294" s="15"/>
      <c r="G294" s="21"/>
      <c r="H294" s="1"/>
      <c r="I294" s="1"/>
      <c r="J294" s="1"/>
    </row>
    <row r="295" customFormat="false" ht="21.75" hidden="false" customHeight="true" outlineLevel="0" collapsed="false">
      <c r="A295" s="1"/>
      <c r="B295" s="20"/>
      <c r="C295" s="15"/>
      <c r="D295" s="11" t="str">
        <f aca="false">IF(C295="","",IFERROR(INDEX(Players!$C$5:$C$304,MATCH(C295,Players!$B$5:$B$304,0)),"UID not in Players sheet"))</f>
        <v/>
      </c>
      <c r="E295" s="12"/>
      <c r="F295" s="15"/>
      <c r="G295" s="21"/>
      <c r="H295" s="1"/>
      <c r="I295" s="1"/>
      <c r="J295" s="1"/>
    </row>
    <row r="296" customFormat="false" ht="21.75" hidden="false" customHeight="true" outlineLevel="0" collapsed="false">
      <c r="A296" s="1"/>
      <c r="B296" s="20"/>
      <c r="C296" s="15"/>
      <c r="D296" s="11" t="str">
        <f aca="false">IF(C296="","",IFERROR(INDEX(Players!$C$5:$C$304,MATCH(C296,Players!$B$5:$B$304,0)),"UID not in Players sheet"))</f>
        <v/>
      </c>
      <c r="E296" s="12"/>
      <c r="F296" s="15"/>
      <c r="G296" s="21"/>
      <c r="H296" s="1"/>
      <c r="I296" s="1"/>
      <c r="J296" s="1"/>
    </row>
    <row r="297" customFormat="false" ht="21.75" hidden="false" customHeight="true" outlineLevel="0" collapsed="false">
      <c r="A297" s="1"/>
      <c r="B297" s="20"/>
      <c r="C297" s="15"/>
      <c r="D297" s="11" t="str">
        <f aca="false">IF(C297="","",IFERROR(INDEX(Players!$C$5:$C$304,MATCH(C297,Players!$B$5:$B$304,0)),"UID not in Players sheet"))</f>
        <v/>
      </c>
      <c r="E297" s="12"/>
      <c r="F297" s="15"/>
      <c r="G297" s="21"/>
      <c r="H297" s="1"/>
      <c r="I297" s="1"/>
      <c r="J297" s="1"/>
    </row>
    <row r="298" customFormat="false" ht="21.75" hidden="false" customHeight="true" outlineLevel="0" collapsed="false">
      <c r="A298" s="1"/>
      <c r="B298" s="20"/>
      <c r="C298" s="15"/>
      <c r="D298" s="11" t="str">
        <f aca="false">IF(C298="","",IFERROR(INDEX(Players!$C$5:$C$304,MATCH(C298,Players!$B$5:$B$304,0)),"UID not in Players sheet"))</f>
        <v/>
      </c>
      <c r="E298" s="12"/>
      <c r="F298" s="15"/>
      <c r="G298" s="21"/>
      <c r="H298" s="1"/>
      <c r="I298" s="1"/>
      <c r="J298" s="1"/>
    </row>
    <row r="299" customFormat="false" ht="21.75" hidden="false" customHeight="true" outlineLevel="0" collapsed="false">
      <c r="A299" s="1"/>
      <c r="B299" s="20"/>
      <c r="C299" s="15"/>
      <c r="D299" s="11" t="str">
        <f aca="false">IF(C299="","",IFERROR(INDEX(Players!$C$5:$C$304,MATCH(C299,Players!$B$5:$B$304,0)),"UID not in Players sheet"))</f>
        <v/>
      </c>
      <c r="E299" s="12"/>
      <c r="F299" s="15"/>
      <c r="G299" s="21"/>
      <c r="H299" s="1"/>
      <c r="I299" s="1"/>
      <c r="J299" s="1"/>
    </row>
    <row r="300" customFormat="false" ht="21.75" hidden="false" customHeight="true" outlineLevel="0" collapsed="false">
      <c r="A300" s="1"/>
      <c r="B300" s="20"/>
      <c r="C300" s="15"/>
      <c r="D300" s="11" t="str">
        <f aca="false">IF(C300="","",IFERROR(INDEX(Players!$C$5:$C$304,MATCH(C300,Players!$B$5:$B$304,0)),"UID not in Players sheet"))</f>
        <v/>
      </c>
      <c r="E300" s="12"/>
      <c r="F300" s="15"/>
      <c r="G300" s="21"/>
      <c r="H300" s="1"/>
      <c r="I300" s="1"/>
      <c r="J300" s="1"/>
    </row>
    <row r="301" customFormat="false" ht="21.75" hidden="false" customHeight="true" outlineLevel="0" collapsed="false">
      <c r="A301" s="1"/>
      <c r="B301" s="20"/>
      <c r="C301" s="15"/>
      <c r="D301" s="11" t="str">
        <f aca="false">IF(C301="","",IFERROR(INDEX(Players!$C$5:$C$304,MATCH(C301,Players!$B$5:$B$304,0)),"UID not in Players sheet"))</f>
        <v/>
      </c>
      <c r="E301" s="12"/>
      <c r="F301" s="15"/>
      <c r="G301" s="21"/>
      <c r="H301" s="1"/>
      <c r="I301" s="1"/>
      <c r="J301" s="1"/>
    </row>
    <row r="302" customFormat="false" ht="21.75" hidden="false" customHeight="true" outlineLevel="0" collapsed="false">
      <c r="A302" s="1"/>
      <c r="B302" s="20"/>
      <c r="C302" s="15"/>
      <c r="D302" s="11" t="str">
        <f aca="false">IF(C302="","",IFERROR(INDEX(Players!$C$5:$C$304,MATCH(C302,Players!$B$5:$B$304,0)),"UID not in Players sheet"))</f>
        <v/>
      </c>
      <c r="E302" s="12"/>
      <c r="F302" s="15"/>
      <c r="G302" s="21"/>
      <c r="H302" s="1"/>
      <c r="I302" s="1"/>
      <c r="J302" s="1"/>
    </row>
    <row r="303" customFormat="false" ht="21.75" hidden="false" customHeight="true" outlineLevel="0" collapsed="false">
      <c r="A303" s="1"/>
      <c r="B303" s="20"/>
      <c r="C303" s="15"/>
      <c r="D303" s="11" t="str">
        <f aca="false">IF(C303="","",IFERROR(INDEX(Players!$C$5:$C$304,MATCH(C303,Players!$B$5:$B$304,0)),"UID not in Players sheet"))</f>
        <v/>
      </c>
      <c r="E303" s="12"/>
      <c r="F303" s="15"/>
      <c r="G303" s="21"/>
      <c r="H303" s="1"/>
      <c r="I303" s="1"/>
      <c r="J303" s="1"/>
    </row>
    <row r="304" customFormat="false" ht="21.75" hidden="false" customHeight="true" outlineLevel="0" collapsed="false">
      <c r="A304" s="1"/>
      <c r="B304" s="20"/>
      <c r="C304" s="15"/>
      <c r="D304" s="11" t="str">
        <f aca="false">IF(C304="","",IFERROR(INDEX(Players!$C$5:$C$304,MATCH(C304,Players!$B$5:$B$304,0)),"UID not in Players sheet"))</f>
        <v/>
      </c>
      <c r="E304" s="12"/>
      <c r="F304" s="15"/>
      <c r="G304" s="21"/>
      <c r="H304" s="1"/>
      <c r="I304" s="1"/>
      <c r="J304" s="1"/>
    </row>
    <row r="305" customFormat="false" ht="21.75" hidden="false" customHeight="true" outlineLevel="0" collapsed="false">
      <c r="A305" s="1"/>
      <c r="B305" s="20"/>
      <c r="C305" s="15"/>
      <c r="D305" s="11" t="str">
        <f aca="false">IF(C305="","",IFERROR(INDEX(Players!$C$5:$C$304,MATCH(C305,Players!$B$5:$B$304,0)),"UID not in Players sheet"))</f>
        <v/>
      </c>
      <c r="E305" s="12"/>
      <c r="F305" s="15"/>
      <c r="G305" s="21"/>
      <c r="H305" s="1"/>
      <c r="I305" s="1"/>
      <c r="J305" s="1"/>
    </row>
    <row r="306" customFormat="false" ht="21.75" hidden="false" customHeight="true" outlineLevel="0" collapsed="false">
      <c r="A306" s="1"/>
      <c r="B306" s="20"/>
      <c r="C306" s="15"/>
      <c r="D306" s="11" t="str">
        <f aca="false">IF(C306="","",IFERROR(INDEX(Players!$C$5:$C$304,MATCH(C306,Players!$B$5:$B$304,0)),"UID not in Players sheet"))</f>
        <v/>
      </c>
      <c r="E306" s="12"/>
      <c r="F306" s="15"/>
      <c r="G306" s="21"/>
      <c r="H306" s="1"/>
      <c r="I306" s="1"/>
      <c r="J306" s="1"/>
    </row>
    <row r="307" customFormat="false" ht="21.75" hidden="false" customHeight="true" outlineLevel="0" collapsed="false">
      <c r="A307" s="1"/>
      <c r="B307" s="20"/>
      <c r="C307" s="15"/>
      <c r="D307" s="11" t="str">
        <f aca="false">IF(C307="","",IFERROR(INDEX(Players!$C$5:$C$304,MATCH(C307,Players!$B$5:$B$304,0)),"UID not in Players sheet"))</f>
        <v/>
      </c>
      <c r="E307" s="12"/>
      <c r="F307" s="15"/>
      <c r="G307" s="21"/>
      <c r="H307" s="1"/>
      <c r="I307" s="1"/>
      <c r="J307" s="1"/>
    </row>
    <row r="308" customFormat="false" ht="21.75" hidden="false" customHeight="true" outlineLevel="0" collapsed="false">
      <c r="A308" s="1"/>
      <c r="B308" s="20"/>
      <c r="C308" s="15"/>
      <c r="D308" s="11" t="str">
        <f aca="false">IF(C308="","",IFERROR(INDEX(Players!$C$5:$C$304,MATCH(C308,Players!$B$5:$B$304,0)),"UID not in Players sheet"))</f>
        <v/>
      </c>
      <c r="E308" s="12"/>
      <c r="F308" s="15"/>
      <c r="G308" s="21"/>
      <c r="H308" s="1"/>
      <c r="I308" s="1"/>
      <c r="J308" s="1"/>
    </row>
    <row r="309" customFormat="false" ht="21.75" hidden="false" customHeight="true" outlineLevel="0" collapsed="false">
      <c r="A309" s="1"/>
      <c r="B309" s="20"/>
      <c r="C309" s="15"/>
      <c r="D309" s="11" t="str">
        <f aca="false">IF(C309="","",IFERROR(INDEX(Players!$C$5:$C$304,MATCH(C309,Players!$B$5:$B$304,0)),"UID not in Players sheet"))</f>
        <v/>
      </c>
      <c r="E309" s="12"/>
      <c r="F309" s="15"/>
      <c r="G309" s="21"/>
      <c r="H309" s="1"/>
      <c r="I309" s="1"/>
      <c r="J309" s="1"/>
    </row>
    <row r="310" customFormat="false" ht="21.75" hidden="false" customHeight="true" outlineLevel="0" collapsed="false">
      <c r="A310" s="1"/>
      <c r="B310" s="20"/>
      <c r="C310" s="15"/>
      <c r="D310" s="11" t="str">
        <f aca="false">IF(C310="","",IFERROR(INDEX(Players!$C$5:$C$304,MATCH(C310,Players!$B$5:$B$304,0)),"UID not in Players sheet"))</f>
        <v/>
      </c>
      <c r="E310" s="12"/>
      <c r="F310" s="15"/>
      <c r="G310" s="21"/>
      <c r="H310" s="1"/>
      <c r="I310" s="1"/>
      <c r="J310" s="1"/>
    </row>
    <row r="311" customFormat="false" ht="21.75" hidden="false" customHeight="true" outlineLevel="0" collapsed="false">
      <c r="A311" s="1"/>
      <c r="B311" s="20"/>
      <c r="C311" s="15"/>
      <c r="D311" s="11" t="str">
        <f aca="false">IF(C311="","",IFERROR(INDEX(Players!$C$5:$C$304,MATCH(C311,Players!$B$5:$B$304,0)),"UID not in Players sheet"))</f>
        <v/>
      </c>
      <c r="E311" s="12"/>
      <c r="F311" s="15"/>
      <c r="G311" s="21"/>
      <c r="H311" s="1"/>
      <c r="I311" s="1"/>
      <c r="J311" s="1"/>
    </row>
    <row r="312" customFormat="false" ht="21.75" hidden="false" customHeight="true" outlineLevel="0" collapsed="false">
      <c r="A312" s="1"/>
      <c r="B312" s="20"/>
      <c r="C312" s="15"/>
      <c r="D312" s="11" t="str">
        <f aca="false">IF(C312="","",IFERROR(INDEX(Players!$C$5:$C$304,MATCH(C312,Players!$B$5:$B$304,0)),"UID not in Players sheet"))</f>
        <v/>
      </c>
      <c r="E312" s="12"/>
      <c r="F312" s="15"/>
      <c r="G312" s="21"/>
      <c r="H312" s="1"/>
      <c r="I312" s="1"/>
      <c r="J312" s="1"/>
    </row>
    <row r="313" customFormat="false" ht="21.75" hidden="false" customHeight="true" outlineLevel="0" collapsed="false">
      <c r="A313" s="1"/>
      <c r="B313" s="20"/>
      <c r="C313" s="15"/>
      <c r="D313" s="11" t="str">
        <f aca="false">IF(C313="","",IFERROR(INDEX(Players!$C$5:$C$304,MATCH(C313,Players!$B$5:$B$304,0)),"UID not in Players sheet"))</f>
        <v/>
      </c>
      <c r="E313" s="12"/>
      <c r="F313" s="15"/>
      <c r="G313" s="21"/>
      <c r="H313" s="1"/>
      <c r="I313" s="1"/>
      <c r="J313" s="1"/>
    </row>
    <row r="314" customFormat="false" ht="21.75" hidden="false" customHeight="true" outlineLevel="0" collapsed="false">
      <c r="A314" s="1"/>
      <c r="B314" s="20"/>
      <c r="C314" s="15"/>
      <c r="D314" s="11" t="str">
        <f aca="false">IF(C314="","",IFERROR(INDEX(Players!$C$5:$C$304,MATCH(C314,Players!$B$5:$B$304,0)),"UID not in Players sheet"))</f>
        <v/>
      </c>
      <c r="E314" s="12"/>
      <c r="F314" s="15"/>
      <c r="G314" s="21"/>
      <c r="H314" s="1"/>
      <c r="I314" s="1"/>
      <c r="J314" s="1"/>
    </row>
    <row r="315" customFormat="false" ht="21.75" hidden="false" customHeight="true" outlineLevel="0" collapsed="false">
      <c r="A315" s="1"/>
      <c r="B315" s="20"/>
      <c r="C315" s="15"/>
      <c r="D315" s="11" t="str">
        <f aca="false">IF(C315="","",IFERROR(INDEX(Players!$C$5:$C$304,MATCH(C315,Players!$B$5:$B$304,0)),"UID not in Players sheet"))</f>
        <v/>
      </c>
      <c r="E315" s="12"/>
      <c r="F315" s="15"/>
      <c r="G315" s="21"/>
      <c r="H315" s="1"/>
      <c r="I315" s="1"/>
      <c r="J315" s="1"/>
    </row>
    <row r="316" customFormat="false" ht="21.75" hidden="false" customHeight="true" outlineLevel="0" collapsed="false">
      <c r="A316" s="1"/>
      <c r="B316" s="20"/>
      <c r="C316" s="15"/>
      <c r="D316" s="11" t="str">
        <f aca="false">IF(C316="","",IFERROR(INDEX(Players!$C$5:$C$304,MATCH(C316,Players!$B$5:$B$304,0)),"UID not in Players sheet"))</f>
        <v/>
      </c>
      <c r="E316" s="12"/>
      <c r="F316" s="15"/>
      <c r="G316" s="21"/>
      <c r="H316" s="1"/>
      <c r="I316" s="1"/>
      <c r="J316" s="1"/>
    </row>
    <row r="317" customFormat="false" ht="21.75" hidden="false" customHeight="true" outlineLevel="0" collapsed="false">
      <c r="A317" s="1"/>
      <c r="B317" s="20"/>
      <c r="C317" s="15"/>
      <c r="D317" s="11" t="str">
        <f aca="false">IF(C317="","",IFERROR(INDEX(Players!$C$5:$C$304,MATCH(C317,Players!$B$5:$B$304,0)),"UID not in Players sheet"))</f>
        <v/>
      </c>
      <c r="E317" s="12"/>
      <c r="F317" s="15"/>
      <c r="G317" s="21"/>
      <c r="H317" s="1"/>
      <c r="I317" s="1"/>
      <c r="J317" s="1"/>
    </row>
    <row r="318" customFormat="false" ht="21.75" hidden="false" customHeight="true" outlineLevel="0" collapsed="false">
      <c r="A318" s="1"/>
      <c r="B318" s="20"/>
      <c r="C318" s="15"/>
      <c r="D318" s="11" t="str">
        <f aca="false">IF(C318="","",IFERROR(INDEX(Players!$C$5:$C$304,MATCH(C318,Players!$B$5:$B$304,0)),"UID not in Players sheet"))</f>
        <v/>
      </c>
      <c r="E318" s="12"/>
      <c r="F318" s="15"/>
      <c r="G318" s="21"/>
      <c r="H318" s="1"/>
      <c r="I318" s="1"/>
      <c r="J318" s="1"/>
    </row>
    <row r="319" customFormat="false" ht="21.75" hidden="false" customHeight="true" outlineLevel="0" collapsed="false">
      <c r="A319" s="1"/>
      <c r="B319" s="20"/>
      <c r="C319" s="15"/>
      <c r="D319" s="11" t="str">
        <f aca="false">IF(C319="","",IFERROR(INDEX(Players!$C$5:$C$304,MATCH(C319,Players!$B$5:$B$304,0)),"UID not in Players sheet"))</f>
        <v/>
      </c>
      <c r="E319" s="12"/>
      <c r="F319" s="15"/>
      <c r="G319" s="21"/>
      <c r="H319" s="1"/>
      <c r="I319" s="1"/>
      <c r="J319" s="1"/>
    </row>
    <row r="320" customFormat="false" ht="21.75" hidden="false" customHeight="true" outlineLevel="0" collapsed="false">
      <c r="A320" s="1"/>
      <c r="B320" s="20"/>
      <c r="C320" s="15"/>
      <c r="D320" s="11" t="str">
        <f aca="false">IF(C320="","",IFERROR(INDEX(Players!$C$5:$C$304,MATCH(C320,Players!$B$5:$B$304,0)),"UID not in Players sheet"))</f>
        <v/>
      </c>
      <c r="E320" s="12"/>
      <c r="F320" s="15"/>
      <c r="G320" s="21"/>
      <c r="H320" s="1"/>
      <c r="I320" s="1"/>
      <c r="J320" s="1"/>
    </row>
    <row r="321" customFormat="false" ht="21.75" hidden="false" customHeight="true" outlineLevel="0" collapsed="false">
      <c r="A321" s="1"/>
      <c r="B321" s="20"/>
      <c r="C321" s="15"/>
      <c r="D321" s="11" t="str">
        <f aca="false">IF(C321="","",IFERROR(INDEX(Players!$C$5:$C$304,MATCH(C321,Players!$B$5:$B$304,0)),"UID not in Players sheet"))</f>
        <v/>
      </c>
      <c r="E321" s="12"/>
      <c r="F321" s="15"/>
      <c r="G321" s="21"/>
      <c r="H321" s="1"/>
      <c r="I321" s="1"/>
      <c r="J321" s="1"/>
    </row>
    <row r="322" customFormat="false" ht="21.75" hidden="false" customHeight="true" outlineLevel="0" collapsed="false">
      <c r="A322" s="1"/>
      <c r="B322" s="20"/>
      <c r="C322" s="15"/>
      <c r="D322" s="11" t="str">
        <f aca="false">IF(C322="","",IFERROR(INDEX(Players!$C$5:$C$304,MATCH(C322,Players!$B$5:$B$304,0)),"UID not in Players sheet"))</f>
        <v/>
      </c>
      <c r="E322" s="12"/>
      <c r="F322" s="15"/>
      <c r="G322" s="21"/>
      <c r="H322" s="1"/>
      <c r="I322" s="1"/>
      <c r="J322" s="1"/>
    </row>
    <row r="323" customFormat="false" ht="21.75" hidden="false" customHeight="true" outlineLevel="0" collapsed="false">
      <c r="A323" s="1"/>
      <c r="B323" s="20"/>
      <c r="C323" s="15"/>
      <c r="D323" s="11" t="str">
        <f aca="false">IF(C323="","",IFERROR(INDEX(Players!$C$5:$C$304,MATCH(C323,Players!$B$5:$B$304,0)),"UID not in Players sheet"))</f>
        <v/>
      </c>
      <c r="E323" s="12"/>
      <c r="F323" s="15"/>
      <c r="G323" s="21"/>
      <c r="H323" s="1"/>
      <c r="I323" s="1"/>
      <c r="J323" s="1"/>
    </row>
    <row r="324" customFormat="false" ht="21.75" hidden="false" customHeight="true" outlineLevel="0" collapsed="false">
      <c r="A324" s="1"/>
      <c r="B324" s="20"/>
      <c r="C324" s="15"/>
      <c r="D324" s="11" t="str">
        <f aca="false">IF(C324="","",IFERROR(INDEX(Players!$C$5:$C$304,MATCH(C324,Players!$B$5:$B$304,0)),"UID not in Players sheet"))</f>
        <v/>
      </c>
      <c r="E324" s="12"/>
      <c r="F324" s="15"/>
      <c r="G324" s="21"/>
      <c r="H324" s="1"/>
      <c r="I324" s="1"/>
      <c r="J324" s="1"/>
    </row>
    <row r="325" customFormat="false" ht="21.75" hidden="false" customHeight="true" outlineLevel="0" collapsed="false">
      <c r="A325" s="1"/>
      <c r="B325" s="20"/>
      <c r="C325" s="15"/>
      <c r="D325" s="11" t="str">
        <f aca="false">IF(C325="","",IFERROR(INDEX(Players!$C$5:$C$304,MATCH(C325,Players!$B$5:$B$304,0)),"UID not in Players sheet"))</f>
        <v/>
      </c>
      <c r="E325" s="12"/>
      <c r="F325" s="15"/>
      <c r="G325" s="21"/>
      <c r="H325" s="1"/>
      <c r="I325" s="1"/>
      <c r="J325" s="1"/>
    </row>
    <row r="326" customFormat="false" ht="21.75" hidden="false" customHeight="true" outlineLevel="0" collapsed="false">
      <c r="A326" s="1"/>
      <c r="B326" s="20"/>
      <c r="C326" s="15"/>
      <c r="D326" s="11" t="str">
        <f aca="false">IF(C326="","",IFERROR(INDEX(Players!$C$5:$C$304,MATCH(C326,Players!$B$5:$B$304,0)),"UID not in Players sheet"))</f>
        <v/>
      </c>
      <c r="E326" s="12"/>
      <c r="F326" s="15"/>
      <c r="G326" s="21"/>
      <c r="H326" s="1"/>
      <c r="I326" s="1"/>
      <c r="J326" s="1"/>
    </row>
    <row r="327" customFormat="false" ht="21.75" hidden="false" customHeight="true" outlineLevel="0" collapsed="false">
      <c r="A327" s="1"/>
      <c r="B327" s="20"/>
      <c r="C327" s="15"/>
      <c r="D327" s="11" t="str">
        <f aca="false">IF(C327="","",IFERROR(INDEX(Players!$C$5:$C$304,MATCH(C327,Players!$B$5:$B$304,0)),"UID not in Players sheet"))</f>
        <v/>
      </c>
      <c r="E327" s="12"/>
      <c r="F327" s="15"/>
      <c r="G327" s="21"/>
      <c r="H327" s="1"/>
      <c r="I327" s="1"/>
      <c r="J327" s="1"/>
    </row>
    <row r="328" customFormat="false" ht="21.75" hidden="false" customHeight="true" outlineLevel="0" collapsed="false">
      <c r="A328" s="1"/>
      <c r="B328" s="20"/>
      <c r="C328" s="15"/>
      <c r="D328" s="11" t="str">
        <f aca="false">IF(C328="","",IFERROR(INDEX(Players!$C$5:$C$304,MATCH(C328,Players!$B$5:$B$304,0)),"UID not in Players sheet"))</f>
        <v/>
      </c>
      <c r="E328" s="12"/>
      <c r="F328" s="15"/>
      <c r="G328" s="21"/>
      <c r="H328" s="1"/>
      <c r="I328" s="1"/>
      <c r="J328" s="1"/>
    </row>
    <row r="329" customFormat="false" ht="21.75" hidden="false" customHeight="true" outlineLevel="0" collapsed="false">
      <c r="A329" s="1"/>
      <c r="B329" s="20"/>
      <c r="C329" s="15"/>
      <c r="D329" s="11" t="str">
        <f aca="false">IF(C329="","",IFERROR(INDEX(Players!$C$5:$C$304,MATCH(C329,Players!$B$5:$B$304,0)),"UID not in Players sheet"))</f>
        <v/>
      </c>
      <c r="E329" s="12"/>
      <c r="F329" s="15"/>
      <c r="G329" s="21"/>
      <c r="H329" s="1"/>
      <c r="I329" s="1"/>
      <c r="J329" s="1"/>
    </row>
    <row r="330" customFormat="false" ht="21.75" hidden="false" customHeight="true" outlineLevel="0" collapsed="false">
      <c r="A330" s="1"/>
      <c r="B330" s="20"/>
      <c r="C330" s="15"/>
      <c r="D330" s="11" t="str">
        <f aca="false">IF(C330="","",IFERROR(INDEX(Players!$C$5:$C$304,MATCH(C330,Players!$B$5:$B$304,0)),"UID not in Players sheet"))</f>
        <v/>
      </c>
      <c r="E330" s="12"/>
      <c r="F330" s="15"/>
      <c r="G330" s="21"/>
      <c r="H330" s="1"/>
      <c r="I330" s="1"/>
      <c r="J330" s="1"/>
    </row>
    <row r="331" customFormat="false" ht="21.75" hidden="false" customHeight="true" outlineLevel="0" collapsed="false">
      <c r="A331" s="1"/>
      <c r="B331" s="20"/>
      <c r="C331" s="15"/>
      <c r="D331" s="11" t="str">
        <f aca="false">IF(C331="","",IFERROR(INDEX(Players!$C$5:$C$304,MATCH(C331,Players!$B$5:$B$304,0)),"UID not in Players sheet"))</f>
        <v/>
      </c>
      <c r="E331" s="12"/>
      <c r="F331" s="15"/>
      <c r="G331" s="21"/>
      <c r="H331" s="1"/>
      <c r="I331" s="1"/>
      <c r="J331" s="1"/>
    </row>
    <row r="332" customFormat="false" ht="21.75" hidden="false" customHeight="true" outlineLevel="0" collapsed="false">
      <c r="A332" s="1"/>
      <c r="B332" s="20"/>
      <c r="C332" s="15"/>
      <c r="D332" s="11" t="str">
        <f aca="false">IF(C332="","",IFERROR(INDEX(Players!$C$5:$C$304,MATCH(C332,Players!$B$5:$B$304,0)),"UID not in Players sheet"))</f>
        <v/>
      </c>
      <c r="E332" s="12"/>
      <c r="F332" s="15"/>
      <c r="G332" s="21"/>
      <c r="H332" s="1"/>
      <c r="I332" s="1"/>
      <c r="J332" s="1"/>
    </row>
    <row r="333" customFormat="false" ht="21.75" hidden="false" customHeight="true" outlineLevel="0" collapsed="false">
      <c r="A333" s="1"/>
      <c r="B333" s="20"/>
      <c r="C333" s="15"/>
      <c r="D333" s="11" t="str">
        <f aca="false">IF(C333="","",IFERROR(INDEX(Players!$C$5:$C$304,MATCH(C333,Players!$B$5:$B$304,0)),"UID not in Players sheet"))</f>
        <v/>
      </c>
      <c r="E333" s="12"/>
      <c r="F333" s="15"/>
      <c r="G333" s="21"/>
      <c r="H333" s="1"/>
      <c r="I333" s="1"/>
      <c r="J333" s="1"/>
    </row>
    <row r="334" customFormat="false" ht="21.75" hidden="false" customHeight="true" outlineLevel="0" collapsed="false">
      <c r="A334" s="1"/>
      <c r="B334" s="20"/>
      <c r="C334" s="15"/>
      <c r="D334" s="11" t="str">
        <f aca="false">IF(C334="","",IFERROR(INDEX(Players!$C$5:$C$304,MATCH(C334,Players!$B$5:$B$304,0)),"UID not in Players sheet"))</f>
        <v/>
      </c>
      <c r="E334" s="12"/>
      <c r="F334" s="15"/>
      <c r="G334" s="21"/>
      <c r="H334" s="1"/>
      <c r="I334" s="1"/>
      <c r="J334" s="1"/>
    </row>
    <row r="335" customFormat="false" ht="21.75" hidden="false" customHeight="true" outlineLevel="0" collapsed="false">
      <c r="A335" s="1"/>
      <c r="B335" s="20"/>
      <c r="C335" s="15"/>
      <c r="D335" s="11" t="str">
        <f aca="false">IF(C335="","",IFERROR(INDEX(Players!$C$5:$C$304,MATCH(C335,Players!$B$5:$B$304,0)),"UID not in Players sheet"))</f>
        <v/>
      </c>
      <c r="E335" s="12"/>
      <c r="F335" s="15"/>
      <c r="G335" s="21"/>
      <c r="H335" s="1"/>
      <c r="I335" s="1"/>
      <c r="J335" s="1"/>
    </row>
    <row r="336" customFormat="false" ht="21.75" hidden="false" customHeight="true" outlineLevel="0" collapsed="false">
      <c r="A336" s="1"/>
      <c r="B336" s="20"/>
      <c r="C336" s="15"/>
      <c r="D336" s="11" t="str">
        <f aca="false">IF(C336="","",IFERROR(INDEX(Players!$C$5:$C$304,MATCH(C336,Players!$B$5:$B$304,0)),"UID not in Players sheet"))</f>
        <v/>
      </c>
      <c r="E336" s="12"/>
      <c r="F336" s="15"/>
      <c r="G336" s="21"/>
      <c r="H336" s="1"/>
      <c r="I336" s="1"/>
      <c r="J336" s="1"/>
    </row>
    <row r="337" customFormat="false" ht="21.75" hidden="false" customHeight="true" outlineLevel="0" collapsed="false">
      <c r="A337" s="1"/>
      <c r="B337" s="20"/>
      <c r="C337" s="15"/>
      <c r="D337" s="11" t="str">
        <f aca="false">IF(C337="","",IFERROR(INDEX(Players!$C$5:$C$304,MATCH(C337,Players!$B$5:$B$304,0)),"UID not in Players sheet"))</f>
        <v/>
      </c>
      <c r="E337" s="12"/>
      <c r="F337" s="15"/>
      <c r="G337" s="21"/>
      <c r="H337" s="1"/>
      <c r="I337" s="1"/>
      <c r="J337" s="1"/>
    </row>
    <row r="338" customFormat="false" ht="21.75" hidden="false" customHeight="true" outlineLevel="0" collapsed="false">
      <c r="A338" s="1"/>
      <c r="B338" s="20"/>
      <c r="C338" s="15"/>
      <c r="D338" s="11" t="str">
        <f aca="false">IF(C338="","",IFERROR(INDEX(Players!$C$5:$C$304,MATCH(C338,Players!$B$5:$B$304,0)),"UID not in Players sheet"))</f>
        <v/>
      </c>
      <c r="E338" s="12"/>
      <c r="F338" s="15"/>
      <c r="G338" s="21"/>
      <c r="H338" s="1"/>
      <c r="I338" s="1"/>
      <c r="J338" s="1"/>
    </row>
    <row r="339" customFormat="false" ht="21.75" hidden="false" customHeight="true" outlineLevel="0" collapsed="false">
      <c r="A339" s="1"/>
      <c r="B339" s="20"/>
      <c r="C339" s="15"/>
      <c r="D339" s="11" t="str">
        <f aca="false">IF(C339="","",IFERROR(INDEX(Players!$C$5:$C$304,MATCH(C339,Players!$B$5:$B$304,0)),"UID not in Players sheet"))</f>
        <v/>
      </c>
      <c r="E339" s="12"/>
      <c r="F339" s="15"/>
      <c r="G339" s="21"/>
      <c r="H339" s="1"/>
      <c r="I339" s="1"/>
      <c r="J339" s="1"/>
    </row>
    <row r="340" customFormat="false" ht="21.75" hidden="false" customHeight="true" outlineLevel="0" collapsed="false">
      <c r="A340" s="1"/>
      <c r="B340" s="20"/>
      <c r="C340" s="15"/>
      <c r="D340" s="11" t="str">
        <f aca="false">IF(C340="","",IFERROR(INDEX(Players!$C$5:$C$304,MATCH(C340,Players!$B$5:$B$304,0)),"UID not in Players sheet"))</f>
        <v/>
      </c>
      <c r="E340" s="12"/>
      <c r="F340" s="15"/>
      <c r="G340" s="21"/>
      <c r="H340" s="1"/>
      <c r="I340" s="1"/>
      <c r="J340" s="1"/>
    </row>
    <row r="341" customFormat="false" ht="21.75" hidden="false" customHeight="true" outlineLevel="0" collapsed="false">
      <c r="A341" s="1"/>
      <c r="B341" s="20"/>
      <c r="C341" s="15"/>
      <c r="D341" s="11" t="str">
        <f aca="false">IF(C341="","",IFERROR(INDEX(Players!$C$5:$C$304,MATCH(C341,Players!$B$5:$B$304,0)),"UID not in Players sheet"))</f>
        <v/>
      </c>
      <c r="E341" s="12"/>
      <c r="F341" s="15"/>
      <c r="G341" s="21"/>
      <c r="H341" s="1"/>
      <c r="I341" s="1"/>
      <c r="J341" s="1"/>
    </row>
    <row r="342" customFormat="false" ht="21.75" hidden="false" customHeight="true" outlineLevel="0" collapsed="false">
      <c r="A342" s="1"/>
      <c r="B342" s="20"/>
      <c r="C342" s="15"/>
      <c r="D342" s="11" t="str">
        <f aca="false">IF(C342="","",IFERROR(INDEX(Players!$C$5:$C$304,MATCH(C342,Players!$B$5:$B$304,0)),"UID not in Players sheet"))</f>
        <v/>
      </c>
      <c r="E342" s="12"/>
      <c r="F342" s="15"/>
      <c r="G342" s="21"/>
      <c r="H342" s="1"/>
      <c r="I342" s="1"/>
      <c r="J342" s="1"/>
    </row>
    <row r="343" customFormat="false" ht="21.75" hidden="false" customHeight="true" outlineLevel="0" collapsed="false">
      <c r="A343" s="1"/>
      <c r="B343" s="20"/>
      <c r="C343" s="15"/>
      <c r="D343" s="11" t="str">
        <f aca="false">IF(C343="","",IFERROR(INDEX(Players!$C$5:$C$304,MATCH(C343,Players!$B$5:$B$304,0)),"UID not in Players sheet"))</f>
        <v/>
      </c>
      <c r="E343" s="12"/>
      <c r="F343" s="15"/>
      <c r="G343" s="21"/>
      <c r="H343" s="1"/>
      <c r="I343" s="1"/>
      <c r="J343" s="1"/>
    </row>
    <row r="344" customFormat="false" ht="21.75" hidden="false" customHeight="true" outlineLevel="0" collapsed="false">
      <c r="A344" s="1"/>
      <c r="B344" s="20"/>
      <c r="C344" s="15"/>
      <c r="D344" s="11" t="str">
        <f aca="false">IF(C344="","",IFERROR(INDEX(Players!$C$5:$C$304,MATCH(C344,Players!$B$5:$B$304,0)),"UID not in Players sheet"))</f>
        <v/>
      </c>
      <c r="E344" s="12"/>
      <c r="F344" s="15"/>
      <c r="G344" s="21"/>
      <c r="H344" s="1"/>
      <c r="I344" s="1"/>
      <c r="J344" s="1"/>
    </row>
    <row r="345" customFormat="false" ht="21.75" hidden="false" customHeight="true" outlineLevel="0" collapsed="false">
      <c r="A345" s="1"/>
      <c r="B345" s="20"/>
      <c r="C345" s="15"/>
      <c r="D345" s="11" t="str">
        <f aca="false">IF(C345="","",IFERROR(INDEX(Players!$C$5:$C$304,MATCH(C345,Players!$B$5:$B$304,0)),"UID not in Players sheet"))</f>
        <v/>
      </c>
      <c r="E345" s="12"/>
      <c r="F345" s="15"/>
      <c r="G345" s="21"/>
      <c r="H345" s="1"/>
      <c r="I345" s="1"/>
      <c r="J345" s="1"/>
    </row>
    <row r="346" customFormat="false" ht="21.75" hidden="false" customHeight="true" outlineLevel="0" collapsed="false">
      <c r="A346" s="1"/>
      <c r="B346" s="20"/>
      <c r="C346" s="15"/>
      <c r="D346" s="11" t="str">
        <f aca="false">IF(C346="","",IFERROR(INDEX(Players!$C$5:$C$304,MATCH(C346,Players!$B$5:$B$304,0)),"UID not in Players sheet"))</f>
        <v/>
      </c>
      <c r="E346" s="12"/>
      <c r="F346" s="15"/>
      <c r="G346" s="21"/>
      <c r="H346" s="1"/>
      <c r="I346" s="1"/>
      <c r="J346" s="1"/>
    </row>
    <row r="347" customFormat="false" ht="21.75" hidden="false" customHeight="true" outlineLevel="0" collapsed="false">
      <c r="A347" s="1"/>
      <c r="B347" s="20"/>
      <c r="C347" s="15"/>
      <c r="D347" s="11" t="str">
        <f aca="false">IF(C347="","",IFERROR(INDEX(Players!$C$5:$C$304,MATCH(C347,Players!$B$5:$B$304,0)),"UID not in Players sheet"))</f>
        <v/>
      </c>
      <c r="E347" s="12"/>
      <c r="F347" s="15"/>
      <c r="G347" s="21"/>
      <c r="H347" s="1"/>
      <c r="I347" s="1"/>
      <c r="J347" s="1"/>
    </row>
    <row r="348" customFormat="false" ht="21.75" hidden="false" customHeight="true" outlineLevel="0" collapsed="false">
      <c r="A348" s="1"/>
      <c r="B348" s="20"/>
      <c r="C348" s="15"/>
      <c r="D348" s="11" t="str">
        <f aca="false">IF(C348="","",IFERROR(INDEX(Players!$C$5:$C$304,MATCH(C348,Players!$B$5:$B$304,0)),"UID not in Players sheet"))</f>
        <v/>
      </c>
      <c r="E348" s="12"/>
      <c r="F348" s="15"/>
      <c r="G348" s="21"/>
      <c r="H348" s="1"/>
      <c r="I348" s="1"/>
      <c r="J348" s="1"/>
    </row>
    <row r="349" customFormat="false" ht="21.75" hidden="false" customHeight="true" outlineLevel="0" collapsed="false">
      <c r="A349" s="1"/>
      <c r="B349" s="20"/>
      <c r="C349" s="15"/>
      <c r="D349" s="11" t="str">
        <f aca="false">IF(C349="","",IFERROR(INDEX(Players!$C$5:$C$304,MATCH(C349,Players!$B$5:$B$304,0)),"UID not in Players sheet"))</f>
        <v/>
      </c>
      <c r="E349" s="12"/>
      <c r="F349" s="15"/>
      <c r="G349" s="21"/>
      <c r="H349" s="1"/>
      <c r="I349" s="1"/>
      <c r="J349" s="1"/>
    </row>
    <row r="350" customFormat="false" ht="21.75" hidden="false" customHeight="true" outlineLevel="0" collapsed="false">
      <c r="A350" s="1"/>
      <c r="B350" s="20"/>
      <c r="C350" s="15"/>
      <c r="D350" s="11" t="str">
        <f aca="false">IF(C350="","",IFERROR(INDEX(Players!$C$5:$C$304,MATCH(C350,Players!$B$5:$B$304,0)),"UID not in Players sheet"))</f>
        <v/>
      </c>
      <c r="E350" s="12"/>
      <c r="F350" s="15"/>
      <c r="G350" s="21"/>
      <c r="H350" s="1"/>
      <c r="I350" s="1"/>
      <c r="J350" s="1"/>
    </row>
    <row r="351" customFormat="false" ht="21.75" hidden="false" customHeight="true" outlineLevel="0" collapsed="false">
      <c r="A351" s="1"/>
      <c r="B351" s="20"/>
      <c r="C351" s="15"/>
      <c r="D351" s="11" t="str">
        <f aca="false">IF(C351="","",IFERROR(INDEX(Players!$C$5:$C$304,MATCH(C351,Players!$B$5:$B$304,0)),"UID not in Players sheet"))</f>
        <v/>
      </c>
      <c r="E351" s="12"/>
      <c r="F351" s="15"/>
      <c r="G351" s="21"/>
      <c r="H351" s="1"/>
      <c r="I351" s="1"/>
      <c r="J351" s="1"/>
    </row>
    <row r="352" customFormat="false" ht="21.75" hidden="false" customHeight="true" outlineLevel="0" collapsed="false">
      <c r="A352" s="1"/>
      <c r="B352" s="20"/>
      <c r="C352" s="15"/>
      <c r="D352" s="11" t="str">
        <f aca="false">IF(C352="","",IFERROR(INDEX(Players!$C$5:$C$304,MATCH(C352,Players!$B$5:$B$304,0)),"UID not in Players sheet"))</f>
        <v/>
      </c>
      <c r="E352" s="12"/>
      <c r="F352" s="15"/>
      <c r="G352" s="21"/>
      <c r="H352" s="1"/>
      <c r="I352" s="1"/>
      <c r="J352" s="1"/>
    </row>
    <row r="353" customFormat="false" ht="21.75" hidden="false" customHeight="true" outlineLevel="0" collapsed="false">
      <c r="A353" s="1"/>
      <c r="B353" s="20"/>
      <c r="C353" s="15"/>
      <c r="D353" s="11" t="str">
        <f aca="false">IF(C353="","",IFERROR(INDEX(Players!$C$5:$C$304,MATCH(C353,Players!$B$5:$B$304,0)),"UID not in Players sheet"))</f>
        <v/>
      </c>
      <c r="E353" s="12"/>
      <c r="F353" s="15"/>
      <c r="G353" s="21"/>
      <c r="H353" s="1"/>
      <c r="I353" s="1"/>
      <c r="J353" s="1"/>
    </row>
    <row r="354" customFormat="false" ht="21.75" hidden="false" customHeight="true" outlineLevel="0" collapsed="false">
      <c r="A354" s="1"/>
      <c r="B354" s="20"/>
      <c r="C354" s="15"/>
      <c r="D354" s="11" t="str">
        <f aca="false">IF(C354="","",IFERROR(INDEX(Players!$C$5:$C$304,MATCH(C354,Players!$B$5:$B$304,0)),"UID not in Players sheet"))</f>
        <v/>
      </c>
      <c r="E354" s="12"/>
      <c r="F354" s="15"/>
      <c r="G354" s="21"/>
      <c r="H354" s="1"/>
      <c r="I354" s="1"/>
      <c r="J354" s="1"/>
    </row>
    <row r="355" customFormat="false" ht="21.75" hidden="false" customHeight="true" outlineLevel="0" collapsed="false">
      <c r="A355" s="1"/>
      <c r="B355" s="20"/>
      <c r="C355" s="15"/>
      <c r="D355" s="11" t="str">
        <f aca="false">IF(C355="","",IFERROR(INDEX(Players!$C$5:$C$304,MATCH(C355,Players!$B$5:$B$304,0)),"UID not in Players sheet"))</f>
        <v/>
      </c>
      <c r="E355" s="12"/>
      <c r="F355" s="15"/>
      <c r="G355" s="21"/>
      <c r="H355" s="1"/>
      <c r="I355" s="1"/>
      <c r="J355" s="1"/>
    </row>
    <row r="356" customFormat="false" ht="21.75" hidden="false" customHeight="true" outlineLevel="0" collapsed="false">
      <c r="A356" s="1"/>
      <c r="B356" s="20"/>
      <c r="C356" s="15"/>
      <c r="D356" s="11" t="str">
        <f aca="false">IF(C356="","",IFERROR(INDEX(Players!$C$5:$C$304,MATCH(C356,Players!$B$5:$B$304,0)),"UID not in Players sheet"))</f>
        <v/>
      </c>
      <c r="E356" s="12"/>
      <c r="F356" s="15"/>
      <c r="G356" s="21"/>
      <c r="H356" s="1"/>
      <c r="I356" s="1"/>
      <c r="J356" s="1"/>
    </row>
    <row r="357" customFormat="false" ht="21.75" hidden="false" customHeight="true" outlineLevel="0" collapsed="false">
      <c r="A357" s="1"/>
      <c r="B357" s="20"/>
      <c r="C357" s="15"/>
      <c r="D357" s="11" t="str">
        <f aca="false">IF(C357="","",IFERROR(INDEX(Players!$C$5:$C$304,MATCH(C357,Players!$B$5:$B$304,0)),"UID not in Players sheet"))</f>
        <v/>
      </c>
      <c r="E357" s="12"/>
      <c r="F357" s="15"/>
      <c r="G357" s="21"/>
      <c r="H357" s="1"/>
      <c r="I357" s="1"/>
      <c r="J357" s="1"/>
    </row>
    <row r="358" customFormat="false" ht="21.75" hidden="false" customHeight="true" outlineLevel="0" collapsed="false">
      <c r="A358" s="1"/>
      <c r="B358" s="20"/>
      <c r="C358" s="15"/>
      <c r="D358" s="11" t="str">
        <f aca="false">IF(C358="","",IFERROR(INDEX(Players!$C$5:$C$304,MATCH(C358,Players!$B$5:$B$304,0)),"UID not in Players sheet"))</f>
        <v/>
      </c>
      <c r="E358" s="12"/>
      <c r="F358" s="15"/>
      <c r="G358" s="21"/>
      <c r="H358" s="1"/>
      <c r="I358" s="1"/>
      <c r="J358" s="1"/>
    </row>
    <row r="359" customFormat="false" ht="21.75" hidden="false" customHeight="true" outlineLevel="0" collapsed="false">
      <c r="A359" s="1"/>
      <c r="B359" s="20"/>
      <c r="C359" s="15"/>
      <c r="D359" s="11" t="str">
        <f aca="false">IF(C359="","",IFERROR(INDEX(Players!$C$5:$C$304,MATCH(C359,Players!$B$5:$B$304,0)),"UID not in Players sheet"))</f>
        <v/>
      </c>
      <c r="E359" s="12"/>
      <c r="F359" s="15"/>
      <c r="G359" s="21"/>
      <c r="H359" s="1"/>
      <c r="I359" s="1"/>
      <c r="J359" s="1"/>
    </row>
    <row r="360" customFormat="false" ht="21.75" hidden="false" customHeight="true" outlineLevel="0" collapsed="false">
      <c r="A360" s="1"/>
      <c r="B360" s="20"/>
      <c r="C360" s="15"/>
      <c r="D360" s="11" t="str">
        <f aca="false">IF(C360="","",IFERROR(INDEX(Players!$C$5:$C$304,MATCH(C360,Players!$B$5:$B$304,0)),"UID not in Players sheet"))</f>
        <v/>
      </c>
      <c r="E360" s="12"/>
      <c r="F360" s="15"/>
      <c r="G360" s="21"/>
      <c r="H360" s="1"/>
      <c r="I360" s="1"/>
      <c r="J360" s="1"/>
    </row>
    <row r="361" customFormat="false" ht="21.75" hidden="false" customHeight="true" outlineLevel="0" collapsed="false">
      <c r="A361" s="1"/>
      <c r="B361" s="20"/>
      <c r="C361" s="15"/>
      <c r="D361" s="11" t="str">
        <f aca="false">IF(C361="","",IFERROR(INDEX(Players!$C$5:$C$304,MATCH(C361,Players!$B$5:$B$304,0)),"UID not in Players sheet"))</f>
        <v/>
      </c>
      <c r="E361" s="12"/>
      <c r="F361" s="15"/>
      <c r="G361" s="21"/>
      <c r="H361" s="1"/>
      <c r="I361" s="1"/>
      <c r="J361" s="1"/>
    </row>
    <row r="362" customFormat="false" ht="21.75" hidden="false" customHeight="true" outlineLevel="0" collapsed="false">
      <c r="A362" s="1"/>
      <c r="B362" s="20"/>
      <c r="C362" s="15"/>
      <c r="D362" s="11" t="str">
        <f aca="false">IF(C362="","",IFERROR(INDEX(Players!$C$5:$C$304,MATCH(C362,Players!$B$5:$B$304,0)),"UID not in Players sheet"))</f>
        <v/>
      </c>
      <c r="E362" s="12"/>
      <c r="F362" s="15"/>
      <c r="G362" s="21"/>
      <c r="H362" s="1"/>
      <c r="I362" s="1"/>
      <c r="J362" s="1"/>
    </row>
    <row r="363" customFormat="false" ht="21.75" hidden="false" customHeight="true" outlineLevel="0" collapsed="false">
      <c r="A363" s="1"/>
      <c r="B363" s="20"/>
      <c r="C363" s="15"/>
      <c r="D363" s="11" t="str">
        <f aca="false">IF(C363="","",IFERROR(INDEX(Players!$C$5:$C$304,MATCH(C363,Players!$B$5:$B$304,0)),"UID not in Players sheet"))</f>
        <v/>
      </c>
      <c r="E363" s="12"/>
      <c r="F363" s="15"/>
      <c r="G363" s="21"/>
      <c r="H363" s="1"/>
      <c r="I363" s="1"/>
      <c r="J363" s="1"/>
    </row>
    <row r="364" customFormat="false" ht="21.75" hidden="false" customHeight="true" outlineLevel="0" collapsed="false">
      <c r="A364" s="1"/>
      <c r="B364" s="20"/>
      <c r="C364" s="15"/>
      <c r="D364" s="11" t="str">
        <f aca="false">IF(C364="","",IFERROR(INDEX(Players!$C$5:$C$304,MATCH(C364,Players!$B$5:$B$304,0)),"UID not in Players sheet"))</f>
        <v/>
      </c>
      <c r="E364" s="12"/>
      <c r="F364" s="15"/>
      <c r="G364" s="21"/>
      <c r="H364" s="1"/>
      <c r="I364" s="1"/>
      <c r="J364" s="1"/>
    </row>
    <row r="365" customFormat="false" ht="21.75" hidden="false" customHeight="true" outlineLevel="0" collapsed="false">
      <c r="A365" s="1"/>
      <c r="B365" s="20"/>
      <c r="C365" s="15"/>
      <c r="D365" s="11" t="str">
        <f aca="false">IF(C365="","",IFERROR(INDEX(Players!$C$5:$C$304,MATCH(C365,Players!$B$5:$B$304,0)),"UID not in Players sheet"))</f>
        <v/>
      </c>
      <c r="E365" s="12"/>
      <c r="F365" s="15"/>
      <c r="G365" s="21"/>
      <c r="H365" s="1"/>
      <c r="I365" s="1"/>
      <c r="J365" s="1"/>
    </row>
    <row r="366" customFormat="false" ht="21.75" hidden="false" customHeight="true" outlineLevel="0" collapsed="false">
      <c r="A366" s="1"/>
      <c r="B366" s="20"/>
      <c r="C366" s="15"/>
      <c r="D366" s="11" t="str">
        <f aca="false">IF(C366="","",IFERROR(INDEX(Players!$C$5:$C$304,MATCH(C366,Players!$B$5:$B$304,0)),"UID not in Players sheet"))</f>
        <v/>
      </c>
      <c r="E366" s="12"/>
      <c r="F366" s="15"/>
      <c r="G366" s="21"/>
      <c r="H366" s="1"/>
      <c r="I366" s="1"/>
      <c r="J366" s="1"/>
    </row>
    <row r="367" customFormat="false" ht="21.75" hidden="false" customHeight="true" outlineLevel="0" collapsed="false">
      <c r="A367" s="1"/>
      <c r="B367" s="20"/>
      <c r="C367" s="15"/>
      <c r="D367" s="11" t="str">
        <f aca="false">IF(C367="","",IFERROR(INDEX(Players!$C$5:$C$304,MATCH(C367,Players!$B$5:$B$304,0)),"UID not in Players sheet"))</f>
        <v/>
      </c>
      <c r="E367" s="12"/>
      <c r="F367" s="15"/>
      <c r="G367" s="21"/>
      <c r="H367" s="1"/>
      <c r="I367" s="1"/>
      <c r="J367" s="1"/>
    </row>
    <row r="368" customFormat="false" ht="21.75" hidden="false" customHeight="true" outlineLevel="0" collapsed="false">
      <c r="A368" s="1"/>
      <c r="B368" s="20"/>
      <c r="C368" s="15"/>
      <c r="D368" s="11" t="str">
        <f aca="false">IF(C368="","",IFERROR(INDEX(Players!$C$5:$C$304,MATCH(C368,Players!$B$5:$B$304,0)),"UID not in Players sheet"))</f>
        <v/>
      </c>
      <c r="E368" s="12"/>
      <c r="F368" s="15"/>
      <c r="G368" s="21"/>
      <c r="H368" s="1"/>
      <c r="I368" s="1"/>
      <c r="J368" s="1"/>
    </row>
    <row r="369" customFormat="false" ht="21.75" hidden="false" customHeight="true" outlineLevel="0" collapsed="false">
      <c r="A369" s="1"/>
      <c r="B369" s="20"/>
      <c r="C369" s="15"/>
      <c r="D369" s="11" t="str">
        <f aca="false">IF(C369="","",IFERROR(INDEX(Players!$C$5:$C$304,MATCH(C369,Players!$B$5:$B$304,0)),"UID not in Players sheet"))</f>
        <v/>
      </c>
      <c r="E369" s="12"/>
      <c r="F369" s="15"/>
      <c r="G369" s="21"/>
      <c r="H369" s="1"/>
      <c r="I369" s="1"/>
      <c r="J369" s="1"/>
    </row>
    <row r="370" customFormat="false" ht="21.75" hidden="false" customHeight="true" outlineLevel="0" collapsed="false">
      <c r="A370" s="1"/>
      <c r="B370" s="20"/>
      <c r="C370" s="15"/>
      <c r="D370" s="11" t="str">
        <f aca="false">IF(C370="","",IFERROR(INDEX(Players!$C$5:$C$304,MATCH(C370,Players!$B$5:$B$304,0)),"UID not in Players sheet"))</f>
        <v/>
      </c>
      <c r="E370" s="12"/>
      <c r="F370" s="15"/>
      <c r="G370" s="21"/>
      <c r="H370" s="1"/>
      <c r="I370" s="1"/>
      <c r="J370" s="1"/>
    </row>
    <row r="371" customFormat="false" ht="21.75" hidden="false" customHeight="true" outlineLevel="0" collapsed="false">
      <c r="A371" s="1"/>
      <c r="B371" s="20"/>
      <c r="C371" s="15"/>
      <c r="D371" s="11" t="str">
        <f aca="false">IF(C371="","",IFERROR(INDEX(Players!$C$5:$C$304,MATCH(C371,Players!$B$5:$B$304,0)),"UID not in Players sheet"))</f>
        <v/>
      </c>
      <c r="E371" s="12"/>
      <c r="F371" s="15"/>
      <c r="G371" s="21"/>
      <c r="H371" s="1"/>
      <c r="I371" s="1"/>
      <c r="J371" s="1"/>
    </row>
    <row r="372" customFormat="false" ht="21.75" hidden="false" customHeight="true" outlineLevel="0" collapsed="false">
      <c r="A372" s="1"/>
      <c r="B372" s="20"/>
      <c r="C372" s="15"/>
      <c r="D372" s="11" t="str">
        <f aca="false">IF(C372="","",IFERROR(INDEX(Players!$C$5:$C$304,MATCH(C372,Players!$B$5:$B$304,0)),"UID not in Players sheet"))</f>
        <v/>
      </c>
      <c r="E372" s="12"/>
      <c r="F372" s="15"/>
      <c r="G372" s="21"/>
      <c r="H372" s="1"/>
      <c r="I372" s="1"/>
      <c r="J372" s="1"/>
    </row>
    <row r="373" customFormat="false" ht="21.75" hidden="false" customHeight="true" outlineLevel="0" collapsed="false">
      <c r="A373" s="1"/>
      <c r="B373" s="20"/>
      <c r="C373" s="15"/>
      <c r="D373" s="11" t="str">
        <f aca="false">IF(C373="","",IFERROR(INDEX(Players!$C$5:$C$304,MATCH(C373,Players!$B$5:$B$304,0)),"UID not in Players sheet"))</f>
        <v/>
      </c>
      <c r="E373" s="12"/>
      <c r="F373" s="15"/>
      <c r="G373" s="21"/>
      <c r="H373" s="1"/>
      <c r="I373" s="1"/>
      <c r="J373" s="1"/>
    </row>
    <row r="374" customFormat="false" ht="21.75" hidden="false" customHeight="true" outlineLevel="0" collapsed="false">
      <c r="A374" s="1"/>
      <c r="B374" s="20"/>
      <c r="C374" s="15"/>
      <c r="D374" s="11" t="str">
        <f aca="false">IF(C374="","",IFERROR(INDEX(Players!$C$5:$C$304,MATCH(C374,Players!$B$5:$B$304,0)),"UID not in Players sheet"))</f>
        <v/>
      </c>
      <c r="E374" s="12"/>
      <c r="F374" s="15"/>
      <c r="G374" s="21"/>
      <c r="H374" s="1"/>
      <c r="I374" s="1"/>
      <c r="J374" s="1"/>
    </row>
    <row r="375" customFormat="false" ht="21.75" hidden="false" customHeight="true" outlineLevel="0" collapsed="false">
      <c r="A375" s="1"/>
      <c r="B375" s="20"/>
      <c r="C375" s="15"/>
      <c r="D375" s="11" t="str">
        <f aca="false">IF(C375="","",IFERROR(INDEX(Players!$C$5:$C$304,MATCH(C375,Players!$B$5:$B$304,0)),"UID not in Players sheet"))</f>
        <v/>
      </c>
      <c r="E375" s="12"/>
      <c r="F375" s="15"/>
      <c r="G375" s="21"/>
      <c r="H375" s="1"/>
      <c r="I375" s="1"/>
      <c r="J375" s="1"/>
    </row>
    <row r="376" customFormat="false" ht="21.75" hidden="false" customHeight="true" outlineLevel="0" collapsed="false">
      <c r="A376" s="1"/>
      <c r="B376" s="20"/>
      <c r="C376" s="15"/>
      <c r="D376" s="11" t="str">
        <f aca="false">IF(C376="","",IFERROR(INDEX(Players!$C$5:$C$304,MATCH(C376,Players!$B$5:$B$304,0)),"UID not in Players sheet"))</f>
        <v/>
      </c>
      <c r="E376" s="12"/>
      <c r="F376" s="15"/>
      <c r="G376" s="21"/>
      <c r="H376" s="1"/>
      <c r="I376" s="1"/>
      <c r="J376" s="1"/>
    </row>
    <row r="377" customFormat="false" ht="21.75" hidden="false" customHeight="true" outlineLevel="0" collapsed="false">
      <c r="A377" s="1"/>
      <c r="B377" s="20"/>
      <c r="C377" s="15"/>
      <c r="D377" s="11" t="str">
        <f aca="false">IF(C377="","",IFERROR(INDEX(Players!$C$5:$C$304,MATCH(C377,Players!$B$5:$B$304,0)),"UID not in Players sheet"))</f>
        <v/>
      </c>
      <c r="E377" s="12"/>
      <c r="F377" s="15"/>
      <c r="G377" s="21"/>
      <c r="H377" s="1"/>
      <c r="I377" s="1"/>
      <c r="J377" s="1"/>
    </row>
    <row r="378" customFormat="false" ht="21.75" hidden="false" customHeight="true" outlineLevel="0" collapsed="false">
      <c r="A378" s="1"/>
      <c r="B378" s="20"/>
      <c r="C378" s="15"/>
      <c r="D378" s="11" t="str">
        <f aca="false">IF(C378="","",IFERROR(INDEX(Players!$C$5:$C$304,MATCH(C378,Players!$B$5:$B$304,0)),"UID not in Players sheet"))</f>
        <v/>
      </c>
      <c r="E378" s="12"/>
      <c r="F378" s="15"/>
      <c r="G378" s="21"/>
      <c r="H378" s="1"/>
      <c r="I378" s="1"/>
      <c r="J378" s="1"/>
    </row>
    <row r="379" customFormat="false" ht="21.75" hidden="false" customHeight="true" outlineLevel="0" collapsed="false">
      <c r="A379" s="1"/>
      <c r="B379" s="20"/>
      <c r="C379" s="15"/>
      <c r="D379" s="11" t="str">
        <f aca="false">IF(C379="","",IFERROR(INDEX(Players!$C$5:$C$304,MATCH(C379,Players!$B$5:$B$304,0)),"UID not in Players sheet"))</f>
        <v/>
      </c>
      <c r="E379" s="12"/>
      <c r="F379" s="15"/>
      <c r="G379" s="21"/>
      <c r="H379" s="1"/>
      <c r="I379" s="1"/>
      <c r="J379" s="1"/>
    </row>
    <row r="380" customFormat="false" ht="21.75" hidden="false" customHeight="true" outlineLevel="0" collapsed="false">
      <c r="A380" s="1"/>
      <c r="B380" s="20"/>
      <c r="C380" s="15"/>
      <c r="D380" s="11" t="str">
        <f aca="false">IF(C380="","",IFERROR(INDEX(Players!$C$5:$C$304,MATCH(C380,Players!$B$5:$B$304,0)),"UID not in Players sheet"))</f>
        <v/>
      </c>
      <c r="E380" s="12"/>
      <c r="F380" s="15"/>
      <c r="G380" s="21"/>
      <c r="H380" s="1"/>
      <c r="I380" s="1"/>
      <c r="J380" s="1"/>
    </row>
    <row r="381" customFormat="false" ht="21.75" hidden="false" customHeight="true" outlineLevel="0" collapsed="false">
      <c r="A381" s="1"/>
      <c r="B381" s="20"/>
      <c r="C381" s="15"/>
      <c r="D381" s="11" t="str">
        <f aca="false">IF(C381="","",IFERROR(INDEX(Players!$C$5:$C$304,MATCH(C381,Players!$B$5:$B$304,0)),"UID not in Players sheet"))</f>
        <v/>
      </c>
      <c r="E381" s="12"/>
      <c r="F381" s="15"/>
      <c r="G381" s="21"/>
      <c r="H381" s="1"/>
      <c r="I381" s="1"/>
      <c r="J381" s="1"/>
    </row>
    <row r="382" customFormat="false" ht="21.75" hidden="false" customHeight="true" outlineLevel="0" collapsed="false">
      <c r="A382" s="1"/>
      <c r="B382" s="20"/>
      <c r="C382" s="15"/>
      <c r="D382" s="11" t="str">
        <f aca="false">IF(C382="","",IFERROR(INDEX(Players!$C$5:$C$304,MATCH(C382,Players!$B$5:$B$304,0)),"UID not in Players sheet"))</f>
        <v/>
      </c>
      <c r="E382" s="12"/>
      <c r="F382" s="15"/>
      <c r="G382" s="21"/>
      <c r="H382" s="1"/>
      <c r="I382" s="1"/>
      <c r="J382" s="1"/>
    </row>
    <row r="383" customFormat="false" ht="21.75" hidden="false" customHeight="true" outlineLevel="0" collapsed="false">
      <c r="A383" s="1"/>
      <c r="B383" s="20"/>
      <c r="C383" s="15"/>
      <c r="D383" s="11" t="str">
        <f aca="false">IF(C383="","",IFERROR(INDEX(Players!$C$5:$C$304,MATCH(C383,Players!$B$5:$B$304,0)),"UID not in Players sheet"))</f>
        <v/>
      </c>
      <c r="E383" s="12"/>
      <c r="F383" s="15"/>
      <c r="G383" s="21"/>
      <c r="H383" s="1"/>
      <c r="I383" s="1"/>
      <c r="J383" s="1"/>
    </row>
    <row r="384" customFormat="false" ht="21.75" hidden="false" customHeight="true" outlineLevel="0" collapsed="false">
      <c r="A384" s="1"/>
      <c r="B384" s="20"/>
      <c r="C384" s="15"/>
      <c r="D384" s="11" t="str">
        <f aca="false">IF(C384="","",IFERROR(INDEX(Players!$C$5:$C$304,MATCH(C384,Players!$B$5:$B$304,0)),"UID not in Players sheet"))</f>
        <v/>
      </c>
      <c r="E384" s="12"/>
      <c r="F384" s="15"/>
      <c r="G384" s="21"/>
      <c r="H384" s="1"/>
      <c r="I384" s="1"/>
      <c r="J384" s="1"/>
    </row>
    <row r="385" customFormat="false" ht="21.75" hidden="false" customHeight="true" outlineLevel="0" collapsed="false">
      <c r="A385" s="1"/>
      <c r="B385" s="20"/>
      <c r="C385" s="15"/>
      <c r="D385" s="11" t="str">
        <f aca="false">IF(C385="","",IFERROR(INDEX(Players!$C$5:$C$304,MATCH(C385,Players!$B$5:$B$304,0)),"UID not in Players sheet"))</f>
        <v/>
      </c>
      <c r="E385" s="12"/>
      <c r="F385" s="15"/>
      <c r="G385" s="21"/>
      <c r="H385" s="1"/>
      <c r="I385" s="1"/>
      <c r="J385" s="1"/>
    </row>
    <row r="386" customFormat="false" ht="21.75" hidden="false" customHeight="true" outlineLevel="0" collapsed="false">
      <c r="A386" s="1"/>
      <c r="B386" s="20"/>
      <c r="C386" s="15"/>
      <c r="D386" s="11" t="str">
        <f aca="false">IF(C386="","",IFERROR(INDEX(Players!$C$5:$C$304,MATCH(C386,Players!$B$5:$B$304,0)),"UID not in Players sheet"))</f>
        <v/>
      </c>
      <c r="E386" s="12"/>
      <c r="F386" s="15"/>
      <c r="G386" s="21"/>
      <c r="H386" s="1"/>
      <c r="I386" s="1"/>
      <c r="J386" s="1"/>
    </row>
    <row r="387" customFormat="false" ht="21.75" hidden="false" customHeight="true" outlineLevel="0" collapsed="false">
      <c r="A387" s="1"/>
      <c r="B387" s="20"/>
      <c r="C387" s="15"/>
      <c r="D387" s="11" t="str">
        <f aca="false">IF(C387="","",IFERROR(INDEX(Players!$C$5:$C$304,MATCH(C387,Players!$B$5:$B$304,0)),"UID not in Players sheet"))</f>
        <v/>
      </c>
      <c r="E387" s="12"/>
      <c r="F387" s="15"/>
      <c r="G387" s="21"/>
      <c r="H387" s="1"/>
      <c r="I387" s="1"/>
      <c r="J387" s="1"/>
    </row>
    <row r="388" customFormat="false" ht="21.75" hidden="false" customHeight="true" outlineLevel="0" collapsed="false">
      <c r="A388" s="1"/>
      <c r="B388" s="20"/>
      <c r="C388" s="15"/>
      <c r="D388" s="11" t="str">
        <f aca="false">IF(C388="","",IFERROR(INDEX(Players!$C$5:$C$304,MATCH(C388,Players!$B$5:$B$304,0)),"UID not in Players sheet"))</f>
        <v/>
      </c>
      <c r="E388" s="12"/>
      <c r="F388" s="15"/>
      <c r="G388" s="21"/>
      <c r="H388" s="1"/>
      <c r="I388" s="1"/>
      <c r="J388" s="1"/>
    </row>
    <row r="389" customFormat="false" ht="21.75" hidden="false" customHeight="true" outlineLevel="0" collapsed="false">
      <c r="A389" s="1"/>
      <c r="B389" s="20"/>
      <c r="C389" s="15"/>
      <c r="D389" s="11" t="str">
        <f aca="false">IF(C389="","",IFERROR(INDEX(Players!$C$5:$C$304,MATCH(C389,Players!$B$5:$B$304,0)),"UID not in Players sheet"))</f>
        <v/>
      </c>
      <c r="E389" s="12"/>
      <c r="F389" s="15"/>
      <c r="G389" s="21"/>
      <c r="H389" s="1"/>
      <c r="I389" s="1"/>
      <c r="J389" s="1"/>
    </row>
    <row r="390" customFormat="false" ht="21.75" hidden="false" customHeight="true" outlineLevel="0" collapsed="false">
      <c r="A390" s="1"/>
      <c r="B390" s="20"/>
      <c r="C390" s="15"/>
      <c r="D390" s="11" t="str">
        <f aca="false">IF(C390="","",IFERROR(INDEX(Players!$C$5:$C$304,MATCH(C390,Players!$B$5:$B$304,0)),"UID not in Players sheet"))</f>
        <v/>
      </c>
      <c r="E390" s="12"/>
      <c r="F390" s="15"/>
      <c r="G390" s="21"/>
      <c r="H390" s="1"/>
      <c r="I390" s="1"/>
      <c r="J390" s="1"/>
    </row>
    <row r="391" customFormat="false" ht="21.75" hidden="false" customHeight="true" outlineLevel="0" collapsed="false">
      <c r="A391" s="1"/>
      <c r="B391" s="20"/>
      <c r="C391" s="15"/>
      <c r="D391" s="11" t="str">
        <f aca="false">IF(C391="","",IFERROR(INDEX(Players!$C$5:$C$304,MATCH(C391,Players!$B$5:$B$304,0)),"UID not in Players sheet"))</f>
        <v/>
      </c>
      <c r="E391" s="12"/>
      <c r="F391" s="15"/>
      <c r="G391" s="21"/>
      <c r="H391" s="1"/>
      <c r="I391" s="1"/>
      <c r="J391" s="1"/>
    </row>
    <row r="392" customFormat="false" ht="21.75" hidden="false" customHeight="true" outlineLevel="0" collapsed="false">
      <c r="A392" s="1"/>
      <c r="B392" s="20"/>
      <c r="C392" s="15"/>
      <c r="D392" s="11" t="str">
        <f aca="false">IF(C392="","",IFERROR(INDEX(Players!$C$5:$C$304,MATCH(C392,Players!$B$5:$B$304,0)),"UID not in Players sheet"))</f>
        <v/>
      </c>
      <c r="E392" s="12"/>
      <c r="F392" s="15"/>
      <c r="G392" s="21"/>
      <c r="H392" s="1"/>
      <c r="I392" s="1"/>
      <c r="J392" s="1"/>
    </row>
    <row r="393" customFormat="false" ht="21.75" hidden="false" customHeight="true" outlineLevel="0" collapsed="false">
      <c r="A393" s="1"/>
      <c r="B393" s="20"/>
      <c r="C393" s="15"/>
      <c r="D393" s="11" t="str">
        <f aca="false">IF(C393="","",IFERROR(INDEX(Players!$C$5:$C$304,MATCH(C393,Players!$B$5:$B$304,0)),"UID not in Players sheet"))</f>
        <v/>
      </c>
      <c r="E393" s="12"/>
      <c r="F393" s="15"/>
      <c r="G393" s="21"/>
      <c r="H393" s="1"/>
      <c r="I393" s="1"/>
      <c r="J393" s="1"/>
    </row>
    <row r="394" customFormat="false" ht="21.75" hidden="false" customHeight="true" outlineLevel="0" collapsed="false">
      <c r="A394" s="1"/>
      <c r="B394" s="20"/>
      <c r="C394" s="15"/>
      <c r="D394" s="11" t="str">
        <f aca="false">IF(C394="","",IFERROR(INDEX(Players!$C$5:$C$304,MATCH(C394,Players!$B$5:$B$304,0)),"UID not in Players sheet"))</f>
        <v/>
      </c>
      <c r="E394" s="12"/>
      <c r="F394" s="15"/>
      <c r="G394" s="21"/>
      <c r="H394" s="1"/>
      <c r="I394" s="1"/>
      <c r="J394" s="1"/>
    </row>
    <row r="395" customFormat="false" ht="21.75" hidden="false" customHeight="true" outlineLevel="0" collapsed="false">
      <c r="A395" s="1"/>
      <c r="B395" s="20"/>
      <c r="C395" s="15"/>
      <c r="D395" s="11" t="str">
        <f aca="false">IF(C395="","",IFERROR(INDEX(Players!$C$5:$C$304,MATCH(C395,Players!$B$5:$B$304,0)),"UID not in Players sheet"))</f>
        <v/>
      </c>
      <c r="E395" s="12"/>
      <c r="F395" s="15"/>
      <c r="G395" s="21"/>
      <c r="H395" s="1"/>
      <c r="I395" s="1"/>
      <c r="J395" s="1"/>
    </row>
    <row r="396" customFormat="false" ht="21.75" hidden="false" customHeight="true" outlineLevel="0" collapsed="false">
      <c r="A396" s="1"/>
      <c r="B396" s="20"/>
      <c r="C396" s="15"/>
      <c r="D396" s="11" t="str">
        <f aca="false">IF(C396="","",IFERROR(INDEX(Players!$C$5:$C$304,MATCH(C396,Players!$B$5:$B$304,0)),"UID not in Players sheet"))</f>
        <v/>
      </c>
      <c r="E396" s="12"/>
      <c r="F396" s="15"/>
      <c r="G396" s="21"/>
      <c r="H396" s="1"/>
      <c r="I396" s="1"/>
      <c r="J396" s="1"/>
    </row>
    <row r="397" customFormat="false" ht="21.75" hidden="false" customHeight="true" outlineLevel="0" collapsed="false">
      <c r="A397" s="1"/>
      <c r="B397" s="20"/>
      <c r="C397" s="15"/>
      <c r="D397" s="11" t="str">
        <f aca="false">IF(C397="","",IFERROR(INDEX(Players!$C$5:$C$304,MATCH(C397,Players!$B$5:$B$304,0)),"UID not in Players sheet"))</f>
        <v/>
      </c>
      <c r="E397" s="12"/>
      <c r="F397" s="15"/>
      <c r="G397" s="21"/>
      <c r="H397" s="1"/>
      <c r="I397" s="1"/>
      <c r="J397" s="1"/>
    </row>
    <row r="398" customFormat="false" ht="21.75" hidden="false" customHeight="true" outlineLevel="0" collapsed="false">
      <c r="A398" s="1"/>
      <c r="B398" s="20"/>
      <c r="C398" s="15"/>
      <c r="D398" s="11" t="str">
        <f aca="false">IF(C398="","",IFERROR(INDEX(Players!$C$5:$C$304,MATCH(C398,Players!$B$5:$B$304,0)),"UID not in Players sheet"))</f>
        <v/>
      </c>
      <c r="E398" s="12"/>
      <c r="F398" s="15"/>
      <c r="G398" s="21"/>
      <c r="H398" s="1"/>
      <c r="I398" s="1"/>
      <c r="J398" s="1"/>
    </row>
    <row r="399" customFormat="false" ht="21.75" hidden="false" customHeight="true" outlineLevel="0" collapsed="false">
      <c r="A399" s="1"/>
      <c r="B399" s="20"/>
      <c r="C399" s="15"/>
      <c r="D399" s="11" t="str">
        <f aca="false">IF(C399="","",IFERROR(INDEX(Players!$C$5:$C$304,MATCH(C399,Players!$B$5:$B$304,0)),"UID not in Players sheet"))</f>
        <v/>
      </c>
      <c r="E399" s="12"/>
      <c r="F399" s="15"/>
      <c r="G399" s="21"/>
      <c r="H399" s="1"/>
      <c r="I399" s="1"/>
      <c r="J399" s="1"/>
    </row>
    <row r="400" customFormat="false" ht="21.75" hidden="false" customHeight="true" outlineLevel="0" collapsed="false">
      <c r="A400" s="1"/>
      <c r="B400" s="20"/>
      <c r="C400" s="15"/>
      <c r="D400" s="11" t="str">
        <f aca="false">IF(C400="","",IFERROR(INDEX(Players!$C$5:$C$304,MATCH(C400,Players!$B$5:$B$304,0)),"UID not in Players sheet"))</f>
        <v/>
      </c>
      <c r="E400" s="12"/>
      <c r="F400" s="15"/>
      <c r="G400" s="21"/>
      <c r="H400" s="1"/>
      <c r="I400" s="1"/>
      <c r="J400" s="1"/>
    </row>
    <row r="401" customFormat="false" ht="21.75" hidden="false" customHeight="true" outlineLevel="0" collapsed="false">
      <c r="A401" s="1"/>
      <c r="B401" s="20"/>
      <c r="C401" s="15"/>
      <c r="D401" s="11" t="str">
        <f aca="false">IF(C401="","",IFERROR(INDEX(Players!$C$5:$C$304,MATCH(C401,Players!$B$5:$B$304,0)),"UID not in Players sheet"))</f>
        <v/>
      </c>
      <c r="E401" s="12"/>
      <c r="F401" s="15"/>
      <c r="G401" s="21"/>
      <c r="H401" s="1"/>
      <c r="I401" s="1"/>
      <c r="J401" s="1"/>
    </row>
    <row r="402" customFormat="false" ht="21.75" hidden="false" customHeight="true" outlineLevel="0" collapsed="false">
      <c r="A402" s="1"/>
      <c r="B402" s="20"/>
      <c r="C402" s="15"/>
      <c r="D402" s="11" t="str">
        <f aca="false">IF(C402="","",IFERROR(INDEX(Players!$C$5:$C$304,MATCH(C402,Players!$B$5:$B$304,0)),"UID not in Players sheet"))</f>
        <v/>
      </c>
      <c r="E402" s="12"/>
      <c r="F402" s="15"/>
      <c r="G402" s="21"/>
      <c r="H402" s="1"/>
      <c r="I402" s="1"/>
      <c r="J402" s="1"/>
    </row>
    <row r="403" customFormat="false" ht="21.75" hidden="false" customHeight="true" outlineLevel="0" collapsed="false">
      <c r="A403" s="1"/>
      <c r="B403" s="20"/>
      <c r="C403" s="15"/>
      <c r="D403" s="11" t="str">
        <f aca="false">IF(C403="","",IFERROR(INDEX(Players!$C$5:$C$304,MATCH(C403,Players!$B$5:$B$304,0)),"UID not in Players sheet"))</f>
        <v/>
      </c>
      <c r="E403" s="12"/>
      <c r="F403" s="15"/>
      <c r="G403" s="21"/>
      <c r="H403" s="1"/>
      <c r="I403" s="1"/>
      <c r="J403" s="1"/>
    </row>
    <row r="404" customFormat="false" ht="21.75" hidden="false" customHeight="true" outlineLevel="0" collapsed="false">
      <c r="A404" s="1"/>
      <c r="B404" s="20"/>
      <c r="C404" s="15"/>
      <c r="D404" s="11" t="str">
        <f aca="false">IF(C404="","",IFERROR(INDEX(Players!$C$5:$C$304,MATCH(C404,Players!$B$5:$B$304,0)),"UID not in Players sheet"))</f>
        <v/>
      </c>
      <c r="E404" s="12"/>
      <c r="F404" s="15"/>
      <c r="G404" s="21"/>
      <c r="H404" s="1"/>
      <c r="I404" s="1"/>
      <c r="J404" s="1"/>
    </row>
    <row r="405" customFormat="false" ht="21.75" hidden="false" customHeight="true" outlineLevel="0" collapsed="false">
      <c r="A405" s="1"/>
      <c r="B405" s="20"/>
      <c r="C405" s="15"/>
      <c r="D405" s="11" t="str">
        <f aca="false">IF(C405="","",IFERROR(INDEX(Players!$C$5:$C$304,MATCH(C405,Players!$B$5:$B$304,0)),"UID not in Players sheet"))</f>
        <v/>
      </c>
      <c r="E405" s="12"/>
      <c r="F405" s="15"/>
      <c r="G405" s="21"/>
      <c r="H405" s="1"/>
      <c r="I405" s="1"/>
      <c r="J405" s="1"/>
    </row>
    <row r="406" customFormat="false" ht="21.75" hidden="false" customHeight="true" outlineLevel="0" collapsed="false">
      <c r="A406" s="1"/>
      <c r="B406" s="20"/>
      <c r="C406" s="15"/>
      <c r="D406" s="11" t="str">
        <f aca="false">IF(C406="","",IFERROR(INDEX(Players!$C$5:$C$304,MATCH(C406,Players!$B$5:$B$304,0)),"UID not in Players sheet"))</f>
        <v/>
      </c>
      <c r="E406" s="12"/>
      <c r="F406" s="15"/>
      <c r="G406" s="21"/>
      <c r="H406" s="1"/>
      <c r="I406" s="1"/>
      <c r="J406" s="1"/>
    </row>
    <row r="407" customFormat="false" ht="21.75" hidden="false" customHeight="true" outlineLevel="0" collapsed="false">
      <c r="A407" s="1"/>
      <c r="B407" s="20"/>
      <c r="C407" s="15"/>
      <c r="D407" s="11" t="str">
        <f aca="false">IF(C407="","",IFERROR(INDEX(Players!$C$5:$C$304,MATCH(C407,Players!$B$5:$B$304,0)),"UID not in Players sheet"))</f>
        <v/>
      </c>
      <c r="E407" s="12"/>
      <c r="F407" s="15"/>
      <c r="G407" s="21"/>
      <c r="H407" s="1"/>
      <c r="I407" s="1"/>
      <c r="J407" s="1"/>
    </row>
    <row r="408" customFormat="false" ht="21.75" hidden="false" customHeight="true" outlineLevel="0" collapsed="false">
      <c r="A408" s="1"/>
      <c r="B408" s="20"/>
      <c r="C408" s="15"/>
      <c r="D408" s="11" t="str">
        <f aca="false">IF(C408="","",IFERROR(INDEX(Players!$C$5:$C$304,MATCH(C408,Players!$B$5:$B$304,0)),"UID not in Players sheet"))</f>
        <v/>
      </c>
      <c r="E408" s="12"/>
      <c r="F408" s="15"/>
      <c r="G408" s="21"/>
      <c r="H408" s="1"/>
      <c r="I408" s="1"/>
      <c r="J408" s="1"/>
    </row>
    <row r="409" customFormat="false" ht="21.75" hidden="false" customHeight="true" outlineLevel="0" collapsed="false">
      <c r="A409" s="1"/>
      <c r="B409" s="20"/>
      <c r="C409" s="15"/>
      <c r="D409" s="11" t="str">
        <f aca="false">IF(C409="","",IFERROR(INDEX(Players!$C$5:$C$304,MATCH(C409,Players!$B$5:$B$304,0)),"UID not in Players sheet"))</f>
        <v/>
      </c>
      <c r="E409" s="12"/>
      <c r="F409" s="15"/>
      <c r="G409" s="21"/>
      <c r="H409" s="1"/>
      <c r="I409" s="1"/>
      <c r="J409" s="1"/>
    </row>
    <row r="410" customFormat="false" ht="21.75" hidden="false" customHeight="true" outlineLevel="0" collapsed="false">
      <c r="A410" s="1"/>
      <c r="B410" s="20"/>
      <c r="C410" s="15"/>
      <c r="D410" s="11" t="str">
        <f aca="false">IF(C410="","",IFERROR(INDEX(Players!$C$5:$C$304,MATCH(C410,Players!$B$5:$B$304,0)),"UID not in Players sheet"))</f>
        <v/>
      </c>
      <c r="E410" s="12"/>
      <c r="F410" s="15"/>
      <c r="G410" s="21"/>
      <c r="H410" s="1"/>
      <c r="I410" s="1"/>
      <c r="J410" s="1"/>
    </row>
    <row r="411" customFormat="false" ht="21.75" hidden="false" customHeight="true" outlineLevel="0" collapsed="false">
      <c r="A411" s="1"/>
      <c r="B411" s="20"/>
      <c r="C411" s="15"/>
      <c r="D411" s="11" t="str">
        <f aca="false">IF(C411="","",IFERROR(INDEX(Players!$C$5:$C$304,MATCH(C411,Players!$B$5:$B$304,0)),"UID not in Players sheet"))</f>
        <v/>
      </c>
      <c r="E411" s="12"/>
      <c r="F411" s="15"/>
      <c r="G411" s="21"/>
      <c r="H411" s="1"/>
      <c r="I411" s="1"/>
      <c r="J411" s="1"/>
    </row>
    <row r="412" customFormat="false" ht="21.75" hidden="false" customHeight="true" outlineLevel="0" collapsed="false">
      <c r="A412" s="1"/>
      <c r="B412" s="20"/>
      <c r="C412" s="15"/>
      <c r="D412" s="11" t="str">
        <f aca="false">IF(C412="","",IFERROR(INDEX(Players!$C$5:$C$304,MATCH(C412,Players!$B$5:$B$304,0)),"UID not in Players sheet"))</f>
        <v/>
      </c>
      <c r="E412" s="12"/>
      <c r="F412" s="15"/>
      <c r="G412" s="21"/>
      <c r="H412" s="1"/>
      <c r="I412" s="1"/>
      <c r="J412" s="1"/>
    </row>
    <row r="413" customFormat="false" ht="21.75" hidden="false" customHeight="true" outlineLevel="0" collapsed="false">
      <c r="A413" s="1"/>
      <c r="B413" s="20"/>
      <c r="C413" s="15"/>
      <c r="D413" s="11" t="str">
        <f aca="false">IF(C413="","",IFERROR(INDEX(Players!$C$5:$C$304,MATCH(C413,Players!$B$5:$B$304,0)),"UID not in Players sheet"))</f>
        <v/>
      </c>
      <c r="E413" s="12"/>
      <c r="F413" s="15"/>
      <c r="G413" s="21"/>
      <c r="H413" s="1"/>
      <c r="I413" s="1"/>
      <c r="J413" s="1"/>
    </row>
    <row r="414" customFormat="false" ht="21.75" hidden="false" customHeight="true" outlineLevel="0" collapsed="false">
      <c r="A414" s="1"/>
      <c r="B414" s="20"/>
      <c r="C414" s="15"/>
      <c r="D414" s="11" t="str">
        <f aca="false">IF(C414="","",IFERROR(INDEX(Players!$C$5:$C$304,MATCH(C414,Players!$B$5:$B$304,0)),"UID not in Players sheet"))</f>
        <v/>
      </c>
      <c r="E414" s="12"/>
      <c r="F414" s="15"/>
      <c r="G414" s="21"/>
      <c r="H414" s="1"/>
      <c r="I414" s="1"/>
      <c r="J414" s="1"/>
    </row>
    <row r="415" customFormat="false" ht="21.75" hidden="false" customHeight="true" outlineLevel="0" collapsed="false">
      <c r="A415" s="1"/>
      <c r="B415" s="20"/>
      <c r="C415" s="15"/>
      <c r="D415" s="11" t="str">
        <f aca="false">IF(C415="","",IFERROR(INDEX(Players!$C$5:$C$304,MATCH(C415,Players!$B$5:$B$304,0)),"UID not in Players sheet"))</f>
        <v/>
      </c>
      <c r="E415" s="12"/>
      <c r="F415" s="15"/>
      <c r="G415" s="21"/>
      <c r="H415" s="1"/>
      <c r="I415" s="1"/>
      <c r="J415" s="1"/>
    </row>
    <row r="416" customFormat="false" ht="21.75" hidden="false" customHeight="true" outlineLevel="0" collapsed="false">
      <c r="A416" s="1"/>
      <c r="B416" s="20"/>
      <c r="C416" s="15"/>
      <c r="D416" s="11" t="str">
        <f aca="false">IF(C416="","",IFERROR(INDEX(Players!$C$5:$C$304,MATCH(C416,Players!$B$5:$B$304,0)),"UID not in Players sheet"))</f>
        <v/>
      </c>
      <c r="E416" s="12"/>
      <c r="F416" s="15"/>
      <c r="G416" s="21"/>
      <c r="H416" s="1"/>
      <c r="I416" s="1"/>
      <c r="J416" s="1"/>
    </row>
    <row r="417" customFormat="false" ht="21.75" hidden="false" customHeight="true" outlineLevel="0" collapsed="false">
      <c r="A417" s="1"/>
      <c r="B417" s="20"/>
      <c r="C417" s="15"/>
      <c r="D417" s="11" t="str">
        <f aca="false">IF(C417="","",IFERROR(INDEX(Players!$C$5:$C$304,MATCH(C417,Players!$B$5:$B$304,0)),"UID not in Players sheet"))</f>
        <v/>
      </c>
      <c r="E417" s="12"/>
      <c r="F417" s="15"/>
      <c r="G417" s="21"/>
      <c r="H417" s="1"/>
      <c r="I417" s="1"/>
      <c r="J417" s="1"/>
    </row>
    <row r="418" customFormat="false" ht="21.75" hidden="false" customHeight="true" outlineLevel="0" collapsed="false">
      <c r="A418" s="1"/>
      <c r="B418" s="20"/>
      <c r="C418" s="15"/>
      <c r="D418" s="11" t="str">
        <f aca="false">IF(C418="","",IFERROR(INDEX(Players!$C$5:$C$304,MATCH(C418,Players!$B$5:$B$304,0)),"UID not in Players sheet"))</f>
        <v/>
      </c>
      <c r="E418" s="12"/>
      <c r="F418" s="15"/>
      <c r="G418" s="21"/>
      <c r="H418" s="1"/>
      <c r="I418" s="1"/>
      <c r="J418" s="1"/>
    </row>
    <row r="419" customFormat="false" ht="21.75" hidden="false" customHeight="true" outlineLevel="0" collapsed="false">
      <c r="A419" s="1"/>
      <c r="B419" s="20"/>
      <c r="C419" s="15"/>
      <c r="D419" s="11" t="str">
        <f aca="false">IF(C419="","",IFERROR(INDEX(Players!$C$5:$C$304,MATCH(C419,Players!$B$5:$B$304,0)),"UID not in Players sheet"))</f>
        <v/>
      </c>
      <c r="E419" s="12"/>
      <c r="F419" s="15"/>
      <c r="G419" s="21"/>
      <c r="H419" s="1"/>
      <c r="I419" s="1"/>
      <c r="J419" s="1"/>
    </row>
    <row r="420" customFormat="false" ht="21.75" hidden="false" customHeight="true" outlineLevel="0" collapsed="false">
      <c r="A420" s="1"/>
      <c r="B420" s="20"/>
      <c r="C420" s="15"/>
      <c r="D420" s="11" t="str">
        <f aca="false">IF(C420="","",IFERROR(INDEX(Players!$C$5:$C$304,MATCH(C420,Players!$B$5:$B$304,0)),"UID not in Players sheet"))</f>
        <v/>
      </c>
      <c r="E420" s="12"/>
      <c r="F420" s="15"/>
      <c r="G420" s="21"/>
      <c r="H420" s="1"/>
      <c r="I420" s="1"/>
      <c r="J420" s="1"/>
    </row>
    <row r="421" customFormat="false" ht="21.75" hidden="false" customHeight="true" outlineLevel="0" collapsed="false">
      <c r="A421" s="1"/>
      <c r="B421" s="20"/>
      <c r="C421" s="15"/>
      <c r="D421" s="11" t="str">
        <f aca="false">IF(C421="","",IFERROR(INDEX(Players!$C$5:$C$304,MATCH(C421,Players!$B$5:$B$304,0)),"UID not in Players sheet"))</f>
        <v/>
      </c>
      <c r="E421" s="12"/>
      <c r="F421" s="15"/>
      <c r="G421" s="21"/>
      <c r="H421" s="1"/>
      <c r="I421" s="1"/>
      <c r="J421" s="1"/>
    </row>
    <row r="422" customFormat="false" ht="21.75" hidden="false" customHeight="true" outlineLevel="0" collapsed="false">
      <c r="A422" s="1"/>
      <c r="B422" s="20"/>
      <c r="C422" s="15"/>
      <c r="D422" s="11" t="str">
        <f aca="false">IF(C422="","",IFERROR(INDEX(Players!$C$5:$C$304,MATCH(C422,Players!$B$5:$B$304,0)),"UID not in Players sheet"))</f>
        <v/>
      </c>
      <c r="E422" s="12"/>
      <c r="F422" s="15"/>
      <c r="G422" s="21"/>
      <c r="H422" s="1"/>
      <c r="I422" s="1"/>
      <c r="J422" s="1"/>
    </row>
    <row r="423" customFormat="false" ht="21.75" hidden="false" customHeight="true" outlineLevel="0" collapsed="false">
      <c r="A423" s="1"/>
      <c r="B423" s="20"/>
      <c r="C423" s="15"/>
      <c r="D423" s="11" t="str">
        <f aca="false">IF(C423="","",IFERROR(INDEX(Players!$C$5:$C$304,MATCH(C423,Players!$B$5:$B$304,0)),"UID not in Players sheet"))</f>
        <v/>
      </c>
      <c r="E423" s="12"/>
      <c r="F423" s="15"/>
      <c r="G423" s="21"/>
      <c r="H423" s="1"/>
      <c r="I423" s="1"/>
      <c r="J423" s="1"/>
    </row>
    <row r="424" customFormat="false" ht="21.75" hidden="false" customHeight="true" outlineLevel="0" collapsed="false">
      <c r="A424" s="1"/>
      <c r="B424" s="20"/>
      <c r="C424" s="15"/>
      <c r="D424" s="11" t="str">
        <f aca="false">IF(C424="","",IFERROR(INDEX(Players!$C$5:$C$304,MATCH(C424,Players!$B$5:$B$304,0)),"UID not in Players sheet"))</f>
        <v/>
      </c>
      <c r="E424" s="12"/>
      <c r="F424" s="15"/>
      <c r="G424" s="21"/>
      <c r="H424" s="1"/>
      <c r="I424" s="1"/>
      <c r="J424" s="1"/>
    </row>
    <row r="425" customFormat="false" ht="21.75" hidden="false" customHeight="true" outlineLevel="0" collapsed="false">
      <c r="A425" s="1"/>
      <c r="B425" s="20"/>
      <c r="C425" s="15"/>
      <c r="D425" s="11" t="str">
        <f aca="false">IF(C425="","",IFERROR(INDEX(Players!$C$5:$C$304,MATCH(C425,Players!$B$5:$B$304,0)),"UID not in Players sheet"))</f>
        <v/>
      </c>
      <c r="E425" s="12"/>
      <c r="F425" s="15"/>
      <c r="G425" s="21"/>
      <c r="H425" s="1"/>
      <c r="I425" s="1"/>
      <c r="J425" s="1"/>
    </row>
    <row r="426" customFormat="false" ht="21.75" hidden="false" customHeight="true" outlineLevel="0" collapsed="false">
      <c r="A426" s="1"/>
      <c r="B426" s="20"/>
      <c r="C426" s="15"/>
      <c r="D426" s="11" t="str">
        <f aca="false">IF(C426="","",IFERROR(INDEX(Players!$C$5:$C$304,MATCH(C426,Players!$B$5:$B$304,0)),"UID not in Players sheet"))</f>
        <v/>
      </c>
      <c r="E426" s="12"/>
      <c r="F426" s="15"/>
      <c r="G426" s="21"/>
      <c r="H426" s="1"/>
      <c r="I426" s="1"/>
      <c r="J426" s="1"/>
    </row>
    <row r="427" customFormat="false" ht="21.75" hidden="false" customHeight="true" outlineLevel="0" collapsed="false">
      <c r="A427" s="1"/>
      <c r="B427" s="20"/>
      <c r="C427" s="15"/>
      <c r="D427" s="11" t="str">
        <f aca="false">IF(C427="","",IFERROR(INDEX(Players!$C$5:$C$304,MATCH(C427,Players!$B$5:$B$304,0)),"UID not in Players sheet"))</f>
        <v/>
      </c>
      <c r="E427" s="12"/>
      <c r="F427" s="15"/>
      <c r="G427" s="21"/>
      <c r="H427" s="1"/>
      <c r="I427" s="1"/>
      <c r="J427" s="1"/>
    </row>
    <row r="428" customFormat="false" ht="21.75" hidden="false" customHeight="true" outlineLevel="0" collapsed="false">
      <c r="A428" s="1"/>
      <c r="B428" s="20"/>
      <c r="C428" s="15"/>
      <c r="D428" s="11" t="str">
        <f aca="false">IF(C428="","",IFERROR(INDEX(Players!$C$5:$C$304,MATCH(C428,Players!$B$5:$B$304,0)),"UID not in Players sheet"))</f>
        <v/>
      </c>
      <c r="E428" s="12"/>
      <c r="F428" s="15"/>
      <c r="G428" s="21"/>
      <c r="H428" s="1"/>
      <c r="I428" s="1"/>
      <c r="J428" s="1"/>
    </row>
    <row r="429" customFormat="false" ht="21.75" hidden="false" customHeight="true" outlineLevel="0" collapsed="false">
      <c r="A429" s="1"/>
      <c r="B429" s="20"/>
      <c r="C429" s="15"/>
      <c r="D429" s="11" t="str">
        <f aca="false">IF(C429="","",IFERROR(INDEX(Players!$C$5:$C$304,MATCH(C429,Players!$B$5:$B$304,0)),"UID not in Players sheet"))</f>
        <v/>
      </c>
      <c r="E429" s="12"/>
      <c r="F429" s="15"/>
      <c r="G429" s="21"/>
      <c r="H429" s="1"/>
      <c r="I429" s="1"/>
      <c r="J429" s="1"/>
    </row>
    <row r="430" customFormat="false" ht="21.75" hidden="false" customHeight="true" outlineLevel="0" collapsed="false">
      <c r="A430" s="1"/>
      <c r="B430" s="20"/>
      <c r="C430" s="15"/>
      <c r="D430" s="11" t="str">
        <f aca="false">IF(C430="","",IFERROR(INDEX(Players!$C$5:$C$304,MATCH(C430,Players!$B$5:$B$304,0)),"UID not in Players sheet"))</f>
        <v/>
      </c>
      <c r="E430" s="12"/>
      <c r="F430" s="15"/>
      <c r="G430" s="21"/>
      <c r="H430" s="1"/>
      <c r="I430" s="1"/>
      <c r="J430" s="1"/>
    </row>
    <row r="431" customFormat="false" ht="21.75" hidden="false" customHeight="true" outlineLevel="0" collapsed="false">
      <c r="A431" s="1"/>
      <c r="B431" s="20"/>
      <c r="C431" s="15"/>
      <c r="D431" s="11" t="str">
        <f aca="false">IF(C431="","",IFERROR(INDEX(Players!$C$5:$C$304,MATCH(C431,Players!$B$5:$B$304,0)),"UID not in Players sheet"))</f>
        <v/>
      </c>
      <c r="E431" s="12"/>
      <c r="F431" s="15"/>
      <c r="G431" s="21"/>
      <c r="H431" s="1"/>
      <c r="I431" s="1"/>
      <c r="J431" s="1"/>
    </row>
    <row r="432" customFormat="false" ht="21.75" hidden="false" customHeight="true" outlineLevel="0" collapsed="false">
      <c r="A432" s="1"/>
      <c r="B432" s="20"/>
      <c r="C432" s="15"/>
      <c r="D432" s="11" t="str">
        <f aca="false">IF(C432="","",IFERROR(INDEX(Players!$C$5:$C$304,MATCH(C432,Players!$B$5:$B$304,0)),"UID not in Players sheet"))</f>
        <v/>
      </c>
      <c r="E432" s="12"/>
      <c r="F432" s="15"/>
      <c r="G432" s="21"/>
      <c r="H432" s="1"/>
      <c r="I432" s="1"/>
      <c r="J432" s="1"/>
    </row>
    <row r="433" customFormat="false" ht="21.75" hidden="false" customHeight="true" outlineLevel="0" collapsed="false">
      <c r="A433" s="1"/>
      <c r="B433" s="20"/>
      <c r="C433" s="15"/>
      <c r="D433" s="11" t="str">
        <f aca="false">IF(C433="","",IFERROR(INDEX(Players!$C$5:$C$304,MATCH(C433,Players!$B$5:$B$304,0)),"UID not in Players sheet"))</f>
        <v/>
      </c>
      <c r="E433" s="12"/>
      <c r="F433" s="15"/>
      <c r="G433" s="21"/>
      <c r="H433" s="1"/>
      <c r="I433" s="1"/>
      <c r="J433" s="1"/>
    </row>
    <row r="434" customFormat="false" ht="21.75" hidden="false" customHeight="true" outlineLevel="0" collapsed="false">
      <c r="A434" s="1"/>
      <c r="B434" s="20"/>
      <c r="C434" s="15"/>
      <c r="D434" s="11" t="str">
        <f aca="false">IF(C434="","",IFERROR(INDEX(Players!$C$5:$C$304,MATCH(C434,Players!$B$5:$B$304,0)),"UID not in Players sheet"))</f>
        <v/>
      </c>
      <c r="E434" s="12"/>
      <c r="F434" s="15"/>
      <c r="G434" s="21"/>
      <c r="H434" s="1"/>
      <c r="I434" s="1"/>
      <c r="J434" s="1"/>
    </row>
    <row r="435" customFormat="false" ht="21.75" hidden="false" customHeight="true" outlineLevel="0" collapsed="false">
      <c r="A435" s="1"/>
      <c r="B435" s="20"/>
      <c r="C435" s="15"/>
      <c r="D435" s="11" t="str">
        <f aca="false">IF(C435="","",IFERROR(INDEX(Players!$C$5:$C$304,MATCH(C435,Players!$B$5:$B$304,0)),"UID not in Players sheet"))</f>
        <v/>
      </c>
      <c r="E435" s="12"/>
      <c r="F435" s="15"/>
      <c r="G435" s="21"/>
      <c r="H435" s="1"/>
      <c r="I435" s="1"/>
      <c r="J435" s="1"/>
    </row>
    <row r="436" customFormat="false" ht="21.75" hidden="false" customHeight="true" outlineLevel="0" collapsed="false">
      <c r="A436" s="1"/>
      <c r="B436" s="20"/>
      <c r="C436" s="15"/>
      <c r="D436" s="11" t="str">
        <f aca="false">IF(C436="","",IFERROR(INDEX(Players!$C$5:$C$304,MATCH(C436,Players!$B$5:$B$304,0)),"UID not in Players sheet"))</f>
        <v/>
      </c>
      <c r="E436" s="12"/>
      <c r="F436" s="15"/>
      <c r="G436" s="21"/>
      <c r="H436" s="1"/>
      <c r="I436" s="1"/>
      <c r="J436" s="1"/>
    </row>
    <row r="437" customFormat="false" ht="21.75" hidden="false" customHeight="true" outlineLevel="0" collapsed="false">
      <c r="A437" s="1"/>
      <c r="B437" s="20"/>
      <c r="C437" s="15"/>
      <c r="D437" s="11" t="str">
        <f aca="false">IF(C437="","",IFERROR(INDEX(Players!$C$5:$C$304,MATCH(C437,Players!$B$5:$B$304,0)),"UID not in Players sheet"))</f>
        <v/>
      </c>
      <c r="E437" s="12"/>
      <c r="F437" s="15"/>
      <c r="G437" s="21"/>
      <c r="H437" s="1"/>
      <c r="I437" s="1"/>
      <c r="J437" s="1"/>
    </row>
    <row r="438" customFormat="false" ht="21.75" hidden="false" customHeight="true" outlineLevel="0" collapsed="false">
      <c r="A438" s="1"/>
      <c r="B438" s="20"/>
      <c r="C438" s="15"/>
      <c r="D438" s="11" t="str">
        <f aca="false">IF(C438="","",IFERROR(INDEX(Players!$C$5:$C$304,MATCH(C438,Players!$B$5:$B$304,0)),"UID not in Players sheet"))</f>
        <v/>
      </c>
      <c r="E438" s="12"/>
      <c r="F438" s="15"/>
      <c r="G438" s="21"/>
      <c r="H438" s="1"/>
      <c r="I438" s="1"/>
      <c r="J438" s="1"/>
    </row>
    <row r="439" customFormat="false" ht="21.75" hidden="false" customHeight="true" outlineLevel="0" collapsed="false">
      <c r="A439" s="1"/>
      <c r="B439" s="20"/>
      <c r="C439" s="15"/>
      <c r="D439" s="11" t="str">
        <f aca="false">IF(C439="","",IFERROR(INDEX(Players!$C$5:$C$304,MATCH(C439,Players!$B$5:$B$304,0)),"UID not in Players sheet"))</f>
        <v/>
      </c>
      <c r="E439" s="12"/>
      <c r="F439" s="15"/>
      <c r="G439" s="21"/>
      <c r="H439" s="1"/>
      <c r="I439" s="1"/>
      <c r="J439" s="1"/>
    </row>
    <row r="440" customFormat="false" ht="21.75" hidden="false" customHeight="true" outlineLevel="0" collapsed="false">
      <c r="A440" s="1"/>
      <c r="B440" s="20"/>
      <c r="C440" s="15"/>
      <c r="D440" s="11" t="str">
        <f aca="false">IF(C440="","",IFERROR(INDEX(Players!$C$5:$C$304,MATCH(C440,Players!$B$5:$B$304,0)),"UID not in Players sheet"))</f>
        <v/>
      </c>
      <c r="E440" s="12"/>
      <c r="F440" s="15"/>
      <c r="G440" s="21"/>
      <c r="H440" s="1"/>
      <c r="I440" s="1"/>
      <c r="J440" s="1"/>
    </row>
    <row r="441" customFormat="false" ht="21.75" hidden="false" customHeight="true" outlineLevel="0" collapsed="false">
      <c r="A441" s="1"/>
      <c r="B441" s="20"/>
      <c r="C441" s="15"/>
      <c r="D441" s="11" t="str">
        <f aca="false">IF(C441="","",IFERROR(INDEX(Players!$C$5:$C$304,MATCH(C441,Players!$B$5:$B$304,0)),"UID not in Players sheet"))</f>
        <v/>
      </c>
      <c r="E441" s="12"/>
      <c r="F441" s="15"/>
      <c r="G441" s="21"/>
      <c r="H441" s="1"/>
      <c r="I441" s="1"/>
      <c r="J441" s="1"/>
    </row>
    <row r="442" customFormat="false" ht="21.75" hidden="false" customHeight="true" outlineLevel="0" collapsed="false">
      <c r="A442" s="1"/>
      <c r="B442" s="20"/>
      <c r="C442" s="15"/>
      <c r="D442" s="11" t="str">
        <f aca="false">IF(C442="","",IFERROR(INDEX(Players!$C$5:$C$304,MATCH(C442,Players!$B$5:$B$304,0)),"UID not in Players sheet"))</f>
        <v/>
      </c>
      <c r="E442" s="12"/>
      <c r="F442" s="15"/>
      <c r="G442" s="21"/>
      <c r="H442" s="1"/>
      <c r="I442" s="1"/>
      <c r="J442" s="1"/>
    </row>
    <row r="443" customFormat="false" ht="21.75" hidden="false" customHeight="true" outlineLevel="0" collapsed="false">
      <c r="A443" s="1"/>
      <c r="B443" s="20"/>
      <c r="C443" s="15"/>
      <c r="D443" s="11" t="str">
        <f aca="false">IF(C443="","",IFERROR(INDEX(Players!$C$5:$C$304,MATCH(C443,Players!$B$5:$B$304,0)),"UID not in Players sheet"))</f>
        <v/>
      </c>
      <c r="E443" s="12"/>
      <c r="F443" s="15"/>
      <c r="G443" s="21"/>
      <c r="H443" s="1"/>
      <c r="I443" s="1"/>
      <c r="J443" s="1"/>
    </row>
    <row r="444" customFormat="false" ht="21.75" hidden="false" customHeight="true" outlineLevel="0" collapsed="false">
      <c r="A444" s="1"/>
      <c r="B444" s="20"/>
      <c r="C444" s="15"/>
      <c r="D444" s="11" t="str">
        <f aca="false">IF(C444="","",IFERROR(INDEX(Players!$C$5:$C$304,MATCH(C444,Players!$B$5:$B$304,0)),"UID not in Players sheet"))</f>
        <v/>
      </c>
      <c r="E444" s="12"/>
      <c r="F444" s="15"/>
      <c r="G444" s="21"/>
      <c r="H444" s="1"/>
      <c r="I444" s="1"/>
      <c r="J444" s="1"/>
    </row>
    <row r="445" customFormat="false" ht="21.75" hidden="false" customHeight="true" outlineLevel="0" collapsed="false">
      <c r="A445" s="1"/>
      <c r="B445" s="20"/>
      <c r="C445" s="15"/>
      <c r="D445" s="11" t="str">
        <f aca="false">IF(C445="","",IFERROR(INDEX(Players!$C$5:$C$304,MATCH(C445,Players!$B$5:$B$304,0)),"UID not in Players sheet"))</f>
        <v/>
      </c>
      <c r="E445" s="12"/>
      <c r="F445" s="15"/>
      <c r="G445" s="21"/>
      <c r="H445" s="1"/>
      <c r="I445" s="1"/>
      <c r="J445" s="1"/>
    </row>
    <row r="446" customFormat="false" ht="21.75" hidden="false" customHeight="true" outlineLevel="0" collapsed="false">
      <c r="A446" s="1"/>
      <c r="B446" s="20"/>
      <c r="C446" s="15"/>
      <c r="D446" s="11" t="str">
        <f aca="false">IF(C446="","",IFERROR(INDEX(Players!$C$5:$C$304,MATCH(C446,Players!$B$5:$B$304,0)),"UID not in Players sheet"))</f>
        <v/>
      </c>
      <c r="E446" s="12"/>
      <c r="F446" s="15"/>
      <c r="G446" s="21"/>
      <c r="H446" s="1"/>
      <c r="I446" s="1"/>
      <c r="J446" s="1"/>
    </row>
    <row r="447" customFormat="false" ht="21.75" hidden="false" customHeight="true" outlineLevel="0" collapsed="false">
      <c r="A447" s="1"/>
      <c r="B447" s="20"/>
      <c r="C447" s="15"/>
      <c r="D447" s="11" t="str">
        <f aca="false">IF(C447="","",IFERROR(INDEX(Players!$C$5:$C$304,MATCH(C447,Players!$B$5:$B$304,0)),"UID not in Players sheet"))</f>
        <v/>
      </c>
      <c r="E447" s="12"/>
      <c r="F447" s="15"/>
      <c r="G447" s="21"/>
      <c r="H447" s="1"/>
      <c r="I447" s="1"/>
      <c r="J447" s="1"/>
    </row>
    <row r="448" customFormat="false" ht="21.75" hidden="false" customHeight="true" outlineLevel="0" collapsed="false">
      <c r="A448" s="1"/>
      <c r="B448" s="20"/>
      <c r="C448" s="15"/>
      <c r="D448" s="11" t="str">
        <f aca="false">IF(C448="","",IFERROR(INDEX(Players!$C$5:$C$304,MATCH(C448,Players!$B$5:$B$304,0)),"UID not in Players sheet"))</f>
        <v/>
      </c>
      <c r="E448" s="12"/>
      <c r="F448" s="15"/>
      <c r="G448" s="21"/>
      <c r="H448" s="1"/>
      <c r="I448" s="1"/>
      <c r="J448" s="1"/>
    </row>
    <row r="449" customFormat="false" ht="21.75" hidden="false" customHeight="true" outlineLevel="0" collapsed="false">
      <c r="A449" s="1"/>
      <c r="B449" s="20"/>
      <c r="C449" s="15"/>
      <c r="D449" s="11" t="str">
        <f aca="false">IF(C449="","",IFERROR(INDEX(Players!$C$5:$C$304,MATCH(C449,Players!$B$5:$B$304,0)),"UID not in Players sheet"))</f>
        <v/>
      </c>
      <c r="E449" s="12"/>
      <c r="F449" s="15"/>
      <c r="G449" s="21"/>
      <c r="H449" s="1"/>
      <c r="I449" s="1"/>
      <c r="J449" s="1"/>
    </row>
    <row r="450" customFormat="false" ht="21.75" hidden="false" customHeight="true" outlineLevel="0" collapsed="false">
      <c r="A450" s="1"/>
      <c r="B450" s="20"/>
      <c r="C450" s="15"/>
      <c r="D450" s="11" t="str">
        <f aca="false">IF(C450="","",IFERROR(INDEX(Players!$C$5:$C$304,MATCH(C450,Players!$B$5:$B$304,0)),"UID not in Players sheet"))</f>
        <v/>
      </c>
      <c r="E450" s="12"/>
      <c r="F450" s="15"/>
      <c r="G450" s="21"/>
      <c r="H450" s="1"/>
      <c r="I450" s="1"/>
      <c r="J450" s="1"/>
    </row>
    <row r="451" customFormat="false" ht="21.75" hidden="false" customHeight="true" outlineLevel="0" collapsed="false">
      <c r="A451" s="1"/>
      <c r="B451" s="20"/>
      <c r="C451" s="15"/>
      <c r="D451" s="11" t="str">
        <f aca="false">IF(C451="","",IFERROR(INDEX(Players!$C$5:$C$304,MATCH(C451,Players!$B$5:$B$304,0)),"UID not in Players sheet"))</f>
        <v/>
      </c>
      <c r="E451" s="12"/>
      <c r="F451" s="15"/>
      <c r="G451" s="21"/>
      <c r="H451" s="1"/>
      <c r="I451" s="1"/>
      <c r="J451" s="1"/>
    </row>
    <row r="452" customFormat="false" ht="21.75" hidden="false" customHeight="true" outlineLevel="0" collapsed="false">
      <c r="A452" s="1"/>
      <c r="B452" s="20"/>
      <c r="C452" s="15"/>
      <c r="D452" s="11" t="str">
        <f aca="false">IF(C452="","",IFERROR(INDEX(Players!$C$5:$C$304,MATCH(C452,Players!$B$5:$B$304,0)),"UID not in Players sheet"))</f>
        <v/>
      </c>
      <c r="E452" s="12"/>
      <c r="F452" s="15"/>
      <c r="G452" s="21"/>
      <c r="H452" s="1"/>
      <c r="I452" s="1"/>
      <c r="J452" s="1"/>
    </row>
    <row r="453" customFormat="false" ht="21.75" hidden="false" customHeight="true" outlineLevel="0" collapsed="false">
      <c r="A453" s="1"/>
      <c r="B453" s="20"/>
      <c r="C453" s="15"/>
      <c r="D453" s="11" t="str">
        <f aca="false">IF(C453="","",IFERROR(INDEX(Players!$C$5:$C$304,MATCH(C453,Players!$B$5:$B$304,0)),"UID not in Players sheet"))</f>
        <v/>
      </c>
      <c r="E453" s="12"/>
      <c r="F453" s="15"/>
      <c r="G453" s="21"/>
      <c r="H453" s="1"/>
      <c r="I453" s="1"/>
      <c r="J453" s="1"/>
    </row>
    <row r="454" customFormat="false" ht="21.75" hidden="false" customHeight="true" outlineLevel="0" collapsed="false">
      <c r="A454" s="1"/>
      <c r="B454" s="20"/>
      <c r="C454" s="15"/>
      <c r="D454" s="11" t="str">
        <f aca="false">IF(C454="","",IFERROR(INDEX(Players!$C$5:$C$304,MATCH(C454,Players!$B$5:$B$304,0)),"UID not in Players sheet"))</f>
        <v/>
      </c>
      <c r="E454" s="12"/>
      <c r="F454" s="15"/>
      <c r="G454" s="21"/>
      <c r="H454" s="1"/>
      <c r="I454" s="1"/>
      <c r="J454" s="1"/>
    </row>
    <row r="455" customFormat="false" ht="21.75" hidden="false" customHeight="true" outlineLevel="0" collapsed="false">
      <c r="A455" s="1"/>
      <c r="B455" s="20"/>
      <c r="C455" s="15"/>
      <c r="D455" s="11" t="str">
        <f aca="false">IF(C455="","",IFERROR(INDEX(Players!$C$5:$C$304,MATCH(C455,Players!$B$5:$B$304,0)),"UID not in Players sheet"))</f>
        <v/>
      </c>
      <c r="E455" s="12"/>
      <c r="F455" s="15"/>
      <c r="G455" s="21"/>
      <c r="H455" s="1"/>
      <c r="I455" s="1"/>
      <c r="J455" s="1"/>
    </row>
    <row r="456" customFormat="false" ht="21.75" hidden="false" customHeight="true" outlineLevel="0" collapsed="false">
      <c r="A456" s="1"/>
      <c r="B456" s="20"/>
      <c r="C456" s="15"/>
      <c r="D456" s="11" t="str">
        <f aca="false">IF(C456="","",IFERROR(INDEX(Players!$C$5:$C$304,MATCH(C456,Players!$B$5:$B$304,0)),"UID not in Players sheet"))</f>
        <v/>
      </c>
      <c r="E456" s="12"/>
      <c r="F456" s="15"/>
      <c r="G456" s="21"/>
      <c r="H456" s="1"/>
      <c r="I456" s="1"/>
      <c r="J456" s="1"/>
    </row>
    <row r="457" customFormat="false" ht="21.75" hidden="false" customHeight="true" outlineLevel="0" collapsed="false">
      <c r="A457" s="1"/>
      <c r="B457" s="20"/>
      <c r="C457" s="15"/>
      <c r="D457" s="11" t="str">
        <f aca="false">IF(C457="","",IFERROR(INDEX(Players!$C$5:$C$304,MATCH(C457,Players!$B$5:$B$304,0)),"UID not in Players sheet"))</f>
        <v/>
      </c>
      <c r="E457" s="12"/>
      <c r="F457" s="15"/>
      <c r="G457" s="21"/>
      <c r="H457" s="1"/>
      <c r="I457" s="1"/>
      <c r="J457" s="1"/>
    </row>
    <row r="458" customFormat="false" ht="21.75" hidden="false" customHeight="true" outlineLevel="0" collapsed="false">
      <c r="A458" s="1"/>
      <c r="B458" s="20"/>
      <c r="C458" s="15"/>
      <c r="D458" s="11" t="str">
        <f aca="false">IF(C458="","",IFERROR(INDEX(Players!$C$5:$C$304,MATCH(C458,Players!$B$5:$B$304,0)),"UID not in Players sheet"))</f>
        <v/>
      </c>
      <c r="E458" s="12"/>
      <c r="F458" s="15"/>
      <c r="G458" s="21"/>
      <c r="H458" s="1"/>
      <c r="I458" s="1"/>
      <c r="J458" s="1"/>
    </row>
    <row r="459" customFormat="false" ht="21.75" hidden="false" customHeight="true" outlineLevel="0" collapsed="false">
      <c r="A459" s="1"/>
      <c r="B459" s="20"/>
      <c r="C459" s="15"/>
      <c r="D459" s="11" t="str">
        <f aca="false">IF(C459="","",IFERROR(INDEX(Players!$C$5:$C$304,MATCH(C459,Players!$B$5:$B$304,0)),"UID not in Players sheet"))</f>
        <v/>
      </c>
      <c r="E459" s="12"/>
      <c r="F459" s="15"/>
      <c r="G459" s="21"/>
      <c r="H459" s="1"/>
      <c r="I459" s="1"/>
      <c r="J459" s="1"/>
    </row>
    <row r="460" customFormat="false" ht="21.75" hidden="false" customHeight="true" outlineLevel="0" collapsed="false">
      <c r="A460" s="1"/>
      <c r="B460" s="20"/>
      <c r="C460" s="15"/>
      <c r="D460" s="11" t="str">
        <f aca="false">IF(C460="","",IFERROR(INDEX(Players!$C$5:$C$304,MATCH(C460,Players!$B$5:$B$304,0)),"UID not in Players sheet"))</f>
        <v/>
      </c>
      <c r="E460" s="12"/>
      <c r="F460" s="15"/>
      <c r="G460" s="21"/>
      <c r="H460" s="1"/>
      <c r="I460" s="1"/>
      <c r="J460" s="1"/>
    </row>
    <row r="461" customFormat="false" ht="21.75" hidden="false" customHeight="true" outlineLevel="0" collapsed="false">
      <c r="A461" s="1"/>
      <c r="B461" s="20"/>
      <c r="C461" s="15"/>
      <c r="D461" s="11" t="str">
        <f aca="false">IF(C461="","",IFERROR(INDEX(Players!$C$5:$C$304,MATCH(C461,Players!$B$5:$B$304,0)),"UID not in Players sheet"))</f>
        <v/>
      </c>
      <c r="E461" s="12"/>
      <c r="F461" s="15"/>
      <c r="G461" s="21"/>
      <c r="H461" s="1"/>
      <c r="I461" s="1"/>
      <c r="J461" s="1"/>
    </row>
    <row r="462" customFormat="false" ht="21.75" hidden="false" customHeight="true" outlineLevel="0" collapsed="false">
      <c r="A462" s="1"/>
      <c r="B462" s="20"/>
      <c r="C462" s="15"/>
      <c r="D462" s="11" t="str">
        <f aca="false">IF(C462="","",IFERROR(INDEX(Players!$C$5:$C$304,MATCH(C462,Players!$B$5:$B$304,0)),"UID not in Players sheet"))</f>
        <v/>
      </c>
      <c r="E462" s="12"/>
      <c r="F462" s="15"/>
      <c r="G462" s="21"/>
      <c r="H462" s="1"/>
      <c r="I462" s="1"/>
      <c r="J462" s="1"/>
    </row>
    <row r="463" customFormat="false" ht="21.75" hidden="false" customHeight="true" outlineLevel="0" collapsed="false">
      <c r="A463" s="1"/>
      <c r="B463" s="20"/>
      <c r="C463" s="15"/>
      <c r="D463" s="11" t="str">
        <f aca="false">IF(C463="","",IFERROR(INDEX(Players!$C$5:$C$304,MATCH(C463,Players!$B$5:$B$304,0)),"UID not in Players sheet"))</f>
        <v/>
      </c>
      <c r="E463" s="12"/>
      <c r="F463" s="15"/>
      <c r="G463" s="21"/>
      <c r="H463" s="1"/>
      <c r="I463" s="1"/>
      <c r="J463" s="1"/>
    </row>
    <row r="464" customFormat="false" ht="21.75" hidden="false" customHeight="true" outlineLevel="0" collapsed="false">
      <c r="A464" s="1"/>
      <c r="B464" s="20"/>
      <c r="C464" s="15"/>
      <c r="D464" s="11" t="str">
        <f aca="false">IF(C464="","",IFERROR(INDEX(Players!$C$5:$C$304,MATCH(C464,Players!$B$5:$B$304,0)),"UID not in Players sheet"))</f>
        <v/>
      </c>
      <c r="E464" s="12"/>
      <c r="F464" s="15"/>
      <c r="G464" s="21"/>
      <c r="H464" s="1"/>
      <c r="I464" s="1"/>
      <c r="J464" s="1"/>
    </row>
    <row r="465" customFormat="false" ht="21.75" hidden="false" customHeight="true" outlineLevel="0" collapsed="false">
      <c r="A465" s="1"/>
      <c r="B465" s="20"/>
      <c r="C465" s="15"/>
      <c r="D465" s="11" t="str">
        <f aca="false">IF(C465="","",IFERROR(INDEX(Players!$C$5:$C$304,MATCH(C465,Players!$B$5:$B$304,0)),"UID not in Players sheet"))</f>
        <v/>
      </c>
      <c r="E465" s="12"/>
      <c r="F465" s="15"/>
      <c r="G465" s="21"/>
      <c r="H465" s="1"/>
      <c r="I465" s="1"/>
      <c r="J465" s="1"/>
    </row>
    <row r="466" customFormat="false" ht="21.75" hidden="false" customHeight="true" outlineLevel="0" collapsed="false">
      <c r="A466" s="1"/>
      <c r="B466" s="20"/>
      <c r="C466" s="15"/>
      <c r="D466" s="11" t="str">
        <f aca="false">IF(C466="","",IFERROR(INDEX(Players!$C$5:$C$304,MATCH(C466,Players!$B$5:$B$304,0)),"UID not in Players sheet"))</f>
        <v/>
      </c>
      <c r="E466" s="12"/>
      <c r="F466" s="15"/>
      <c r="G466" s="21"/>
      <c r="H466" s="1"/>
      <c r="I466" s="1"/>
      <c r="J466" s="1"/>
    </row>
    <row r="467" customFormat="false" ht="21.75" hidden="false" customHeight="true" outlineLevel="0" collapsed="false">
      <c r="A467" s="1"/>
      <c r="B467" s="20"/>
      <c r="C467" s="15"/>
      <c r="D467" s="11" t="str">
        <f aca="false">IF(C467="","",IFERROR(INDEX(Players!$C$5:$C$304,MATCH(C467,Players!$B$5:$B$304,0)),"UID not in Players sheet"))</f>
        <v/>
      </c>
      <c r="E467" s="12"/>
      <c r="F467" s="15"/>
      <c r="G467" s="21"/>
      <c r="H467" s="1"/>
      <c r="I467" s="1"/>
      <c r="J467" s="1"/>
    </row>
    <row r="468" customFormat="false" ht="21.75" hidden="false" customHeight="true" outlineLevel="0" collapsed="false">
      <c r="A468" s="1"/>
      <c r="B468" s="20"/>
      <c r="C468" s="15"/>
      <c r="D468" s="11" t="str">
        <f aca="false">IF(C468="","",IFERROR(INDEX(Players!$C$5:$C$304,MATCH(C468,Players!$B$5:$B$304,0)),"UID not in Players sheet"))</f>
        <v/>
      </c>
      <c r="E468" s="12"/>
      <c r="F468" s="15"/>
      <c r="G468" s="21"/>
      <c r="H468" s="1"/>
      <c r="I468" s="1"/>
      <c r="J468" s="1"/>
    </row>
    <row r="469" customFormat="false" ht="21.75" hidden="false" customHeight="true" outlineLevel="0" collapsed="false">
      <c r="A469" s="1"/>
      <c r="B469" s="20"/>
      <c r="C469" s="15"/>
      <c r="D469" s="11" t="str">
        <f aca="false">IF(C469="","",IFERROR(INDEX(Players!$C$5:$C$304,MATCH(C469,Players!$B$5:$B$304,0)),"UID not in Players sheet"))</f>
        <v/>
      </c>
      <c r="E469" s="12"/>
      <c r="F469" s="15"/>
      <c r="G469" s="21"/>
      <c r="H469" s="1"/>
      <c r="I469" s="1"/>
      <c r="J469" s="1"/>
    </row>
    <row r="470" customFormat="false" ht="21.75" hidden="false" customHeight="true" outlineLevel="0" collapsed="false">
      <c r="A470" s="1"/>
      <c r="B470" s="20"/>
      <c r="C470" s="15"/>
      <c r="D470" s="11" t="str">
        <f aca="false">IF(C470="","",IFERROR(INDEX(Players!$C$5:$C$304,MATCH(C470,Players!$B$5:$B$304,0)),"UID not in Players sheet"))</f>
        <v/>
      </c>
      <c r="E470" s="12"/>
      <c r="F470" s="15"/>
      <c r="G470" s="21"/>
      <c r="H470" s="1"/>
      <c r="I470" s="1"/>
      <c r="J470" s="1"/>
    </row>
    <row r="471" customFormat="false" ht="21.75" hidden="false" customHeight="true" outlineLevel="0" collapsed="false">
      <c r="A471" s="1"/>
      <c r="B471" s="20"/>
      <c r="C471" s="15"/>
      <c r="D471" s="11" t="str">
        <f aca="false">IF(C471="","",IFERROR(INDEX(Players!$C$5:$C$304,MATCH(C471,Players!$B$5:$B$304,0)),"UID not in Players sheet"))</f>
        <v/>
      </c>
      <c r="E471" s="12"/>
      <c r="F471" s="15"/>
      <c r="G471" s="21"/>
      <c r="H471" s="1"/>
      <c r="I471" s="1"/>
      <c r="J471" s="1"/>
    </row>
    <row r="472" customFormat="false" ht="21.75" hidden="false" customHeight="true" outlineLevel="0" collapsed="false">
      <c r="A472" s="1"/>
      <c r="B472" s="20"/>
      <c r="C472" s="15"/>
      <c r="D472" s="11" t="str">
        <f aca="false">IF(C472="","",IFERROR(INDEX(Players!$C$5:$C$304,MATCH(C472,Players!$B$5:$B$304,0)),"UID not in Players sheet"))</f>
        <v/>
      </c>
      <c r="E472" s="12"/>
      <c r="F472" s="15"/>
      <c r="G472" s="21"/>
      <c r="H472" s="1"/>
      <c r="I472" s="1"/>
      <c r="J472" s="1"/>
    </row>
    <row r="473" customFormat="false" ht="21.75" hidden="false" customHeight="true" outlineLevel="0" collapsed="false">
      <c r="A473" s="1"/>
      <c r="B473" s="20"/>
      <c r="C473" s="15"/>
      <c r="D473" s="11" t="str">
        <f aca="false">IF(C473="","",IFERROR(INDEX(Players!$C$5:$C$304,MATCH(C473,Players!$B$5:$B$304,0)),"UID not in Players sheet"))</f>
        <v/>
      </c>
      <c r="E473" s="12"/>
      <c r="F473" s="15"/>
      <c r="G473" s="21"/>
      <c r="H473" s="1"/>
      <c r="I473" s="1"/>
      <c r="J473" s="1"/>
    </row>
    <row r="474" customFormat="false" ht="21.75" hidden="false" customHeight="true" outlineLevel="0" collapsed="false">
      <c r="A474" s="1"/>
      <c r="B474" s="20"/>
      <c r="C474" s="15"/>
      <c r="D474" s="11" t="str">
        <f aca="false">IF(C474="","",IFERROR(INDEX(Players!$C$5:$C$304,MATCH(C474,Players!$B$5:$B$304,0)),"UID not in Players sheet"))</f>
        <v/>
      </c>
      <c r="E474" s="12"/>
      <c r="F474" s="15"/>
      <c r="G474" s="21"/>
      <c r="H474" s="1"/>
      <c r="I474" s="1"/>
      <c r="J474" s="1"/>
    </row>
    <row r="475" customFormat="false" ht="21.75" hidden="false" customHeight="true" outlineLevel="0" collapsed="false">
      <c r="A475" s="1"/>
      <c r="B475" s="20"/>
      <c r="C475" s="15"/>
      <c r="D475" s="11" t="str">
        <f aca="false">IF(C475="","",IFERROR(INDEX(Players!$C$5:$C$304,MATCH(C475,Players!$B$5:$B$304,0)),"UID not in Players sheet"))</f>
        <v/>
      </c>
      <c r="E475" s="12"/>
      <c r="F475" s="15"/>
      <c r="G475" s="21"/>
      <c r="H475" s="1"/>
      <c r="I475" s="1"/>
      <c r="J475" s="1"/>
    </row>
    <row r="476" customFormat="false" ht="21.75" hidden="false" customHeight="true" outlineLevel="0" collapsed="false">
      <c r="A476" s="1"/>
      <c r="B476" s="20"/>
      <c r="C476" s="15"/>
      <c r="D476" s="11" t="str">
        <f aca="false">IF(C476="","",IFERROR(INDEX(Players!$C$5:$C$304,MATCH(C476,Players!$B$5:$B$304,0)),"UID not in Players sheet"))</f>
        <v/>
      </c>
      <c r="E476" s="12"/>
      <c r="F476" s="15"/>
      <c r="G476" s="21"/>
      <c r="H476" s="1"/>
      <c r="I476" s="1"/>
      <c r="J476" s="1"/>
    </row>
    <row r="477" customFormat="false" ht="21.75" hidden="false" customHeight="true" outlineLevel="0" collapsed="false">
      <c r="A477" s="1"/>
      <c r="B477" s="20"/>
      <c r="C477" s="15"/>
      <c r="D477" s="11" t="str">
        <f aca="false">IF(C477="","",IFERROR(INDEX(Players!$C$5:$C$304,MATCH(C477,Players!$B$5:$B$304,0)),"UID not in Players sheet"))</f>
        <v/>
      </c>
      <c r="E477" s="12"/>
      <c r="F477" s="15"/>
      <c r="G477" s="21"/>
      <c r="H477" s="1"/>
      <c r="I477" s="1"/>
      <c r="J477" s="1"/>
    </row>
    <row r="478" customFormat="false" ht="21.75" hidden="false" customHeight="true" outlineLevel="0" collapsed="false">
      <c r="A478" s="1"/>
      <c r="B478" s="20"/>
      <c r="C478" s="15"/>
      <c r="D478" s="11" t="str">
        <f aca="false">IF(C478="","",IFERROR(INDEX(Players!$C$5:$C$304,MATCH(C478,Players!$B$5:$B$304,0)),"UID not in Players sheet"))</f>
        <v/>
      </c>
      <c r="E478" s="12"/>
      <c r="F478" s="15"/>
      <c r="G478" s="21"/>
      <c r="H478" s="1"/>
      <c r="I478" s="1"/>
      <c r="J478" s="1"/>
    </row>
    <row r="479" customFormat="false" ht="21.75" hidden="false" customHeight="true" outlineLevel="0" collapsed="false">
      <c r="A479" s="1"/>
      <c r="B479" s="20"/>
      <c r="C479" s="15"/>
      <c r="D479" s="11" t="str">
        <f aca="false">IF(C479="","",IFERROR(INDEX(Players!$C$5:$C$304,MATCH(C479,Players!$B$5:$B$304,0)),"UID not in Players sheet"))</f>
        <v/>
      </c>
      <c r="E479" s="12"/>
      <c r="F479" s="15"/>
      <c r="G479" s="21"/>
      <c r="H479" s="1"/>
      <c r="I479" s="1"/>
      <c r="J479" s="1"/>
    </row>
    <row r="480" customFormat="false" ht="21.75" hidden="false" customHeight="true" outlineLevel="0" collapsed="false">
      <c r="A480" s="1"/>
      <c r="B480" s="20"/>
      <c r="C480" s="15"/>
      <c r="D480" s="11" t="str">
        <f aca="false">IF(C480="","",IFERROR(INDEX(Players!$C$5:$C$304,MATCH(C480,Players!$B$5:$B$304,0)),"UID not in Players sheet"))</f>
        <v/>
      </c>
      <c r="E480" s="12"/>
      <c r="F480" s="15"/>
      <c r="G480" s="21"/>
      <c r="H480" s="1"/>
      <c r="I480" s="1"/>
      <c r="J480" s="1"/>
    </row>
    <row r="481" customFormat="false" ht="21.75" hidden="false" customHeight="true" outlineLevel="0" collapsed="false">
      <c r="A481" s="1"/>
      <c r="B481" s="20"/>
      <c r="C481" s="15"/>
      <c r="D481" s="11" t="str">
        <f aca="false">IF(C481="","",IFERROR(INDEX(Players!$C$5:$C$304,MATCH(C481,Players!$B$5:$B$304,0)),"UID not in Players sheet"))</f>
        <v/>
      </c>
      <c r="E481" s="12"/>
      <c r="F481" s="15"/>
      <c r="G481" s="21"/>
      <c r="H481" s="1"/>
      <c r="I481" s="1"/>
      <c r="J481" s="1"/>
    </row>
    <row r="482" customFormat="false" ht="21.75" hidden="false" customHeight="true" outlineLevel="0" collapsed="false">
      <c r="A482" s="1"/>
      <c r="B482" s="20"/>
      <c r="C482" s="15"/>
      <c r="D482" s="11" t="str">
        <f aca="false">IF(C482="","",IFERROR(INDEX(Players!$C$5:$C$304,MATCH(C482,Players!$B$5:$B$304,0)),"UID not in Players sheet"))</f>
        <v/>
      </c>
      <c r="E482" s="12"/>
      <c r="F482" s="15"/>
      <c r="G482" s="21"/>
      <c r="H482" s="1"/>
      <c r="I482" s="1"/>
      <c r="J482" s="1"/>
    </row>
    <row r="483" customFormat="false" ht="21.75" hidden="false" customHeight="true" outlineLevel="0" collapsed="false">
      <c r="A483" s="1"/>
      <c r="B483" s="20"/>
      <c r="C483" s="15"/>
      <c r="D483" s="11" t="str">
        <f aca="false">IF(C483="","",IFERROR(INDEX(Players!$C$5:$C$304,MATCH(C483,Players!$B$5:$B$304,0)),"UID not in Players sheet"))</f>
        <v/>
      </c>
      <c r="E483" s="12"/>
      <c r="F483" s="15"/>
      <c r="G483" s="21"/>
      <c r="H483" s="1"/>
      <c r="I483" s="1"/>
      <c r="J483" s="1"/>
    </row>
    <row r="484" customFormat="false" ht="21.75" hidden="false" customHeight="true" outlineLevel="0" collapsed="false">
      <c r="A484" s="1"/>
      <c r="B484" s="20"/>
      <c r="C484" s="15"/>
      <c r="D484" s="11" t="str">
        <f aca="false">IF(C484="","",IFERROR(INDEX(Players!$C$5:$C$304,MATCH(C484,Players!$B$5:$B$304,0)),"UID not in Players sheet"))</f>
        <v/>
      </c>
      <c r="E484" s="12"/>
      <c r="F484" s="15"/>
      <c r="G484" s="21"/>
      <c r="H484" s="1"/>
      <c r="I484" s="1"/>
      <c r="J484" s="1"/>
    </row>
    <row r="485" customFormat="false" ht="21.75" hidden="false" customHeight="true" outlineLevel="0" collapsed="false">
      <c r="A485" s="1"/>
      <c r="B485" s="20"/>
      <c r="C485" s="15"/>
      <c r="D485" s="11" t="str">
        <f aca="false">IF(C485="","",IFERROR(INDEX(Players!$C$5:$C$304,MATCH(C485,Players!$B$5:$B$304,0)),"UID not in Players sheet"))</f>
        <v/>
      </c>
      <c r="E485" s="12"/>
      <c r="F485" s="15"/>
      <c r="G485" s="21"/>
      <c r="H485" s="1"/>
      <c r="I485" s="1"/>
      <c r="J485" s="1"/>
    </row>
    <row r="486" customFormat="false" ht="21.75" hidden="false" customHeight="true" outlineLevel="0" collapsed="false">
      <c r="A486" s="1"/>
      <c r="B486" s="20"/>
      <c r="C486" s="15"/>
      <c r="D486" s="11" t="str">
        <f aca="false">IF(C486="","",IFERROR(INDEX(Players!$C$5:$C$304,MATCH(C486,Players!$B$5:$B$304,0)),"UID not in Players sheet"))</f>
        <v/>
      </c>
      <c r="E486" s="12"/>
      <c r="F486" s="15"/>
      <c r="G486" s="21"/>
      <c r="H486" s="1"/>
      <c r="I486" s="1"/>
      <c r="J486" s="1"/>
    </row>
    <row r="487" customFormat="false" ht="21.75" hidden="false" customHeight="true" outlineLevel="0" collapsed="false">
      <c r="A487" s="1"/>
      <c r="B487" s="20"/>
      <c r="C487" s="15"/>
      <c r="D487" s="11" t="str">
        <f aca="false">IF(C487="","",IFERROR(INDEX(Players!$C$5:$C$304,MATCH(C487,Players!$B$5:$B$304,0)),"UID not in Players sheet"))</f>
        <v/>
      </c>
      <c r="E487" s="12"/>
      <c r="F487" s="15"/>
      <c r="G487" s="21"/>
      <c r="H487" s="1"/>
      <c r="I487" s="1"/>
      <c r="J487" s="1"/>
    </row>
    <row r="488" customFormat="false" ht="21.75" hidden="false" customHeight="true" outlineLevel="0" collapsed="false">
      <c r="A488" s="1"/>
      <c r="B488" s="20"/>
      <c r="C488" s="15"/>
      <c r="D488" s="11" t="str">
        <f aca="false">IF(C488="","",IFERROR(INDEX(Players!$C$5:$C$304,MATCH(C488,Players!$B$5:$B$304,0)),"UID not in Players sheet"))</f>
        <v/>
      </c>
      <c r="E488" s="12"/>
      <c r="F488" s="15"/>
      <c r="G488" s="21"/>
      <c r="H488" s="1"/>
      <c r="I488" s="1"/>
      <c r="J488" s="1"/>
    </row>
    <row r="489" customFormat="false" ht="21.75" hidden="false" customHeight="true" outlineLevel="0" collapsed="false">
      <c r="A489" s="1"/>
      <c r="B489" s="20"/>
      <c r="C489" s="15"/>
      <c r="D489" s="11" t="str">
        <f aca="false">IF(C489="","",IFERROR(INDEX(Players!$C$5:$C$304,MATCH(C489,Players!$B$5:$B$304,0)),"UID not in Players sheet"))</f>
        <v/>
      </c>
      <c r="E489" s="12"/>
      <c r="F489" s="15"/>
      <c r="G489" s="21"/>
      <c r="H489" s="1"/>
      <c r="I489" s="1"/>
      <c r="J489" s="1"/>
    </row>
    <row r="490" customFormat="false" ht="21.75" hidden="false" customHeight="true" outlineLevel="0" collapsed="false">
      <c r="A490" s="1"/>
      <c r="B490" s="20"/>
      <c r="C490" s="15"/>
      <c r="D490" s="11" t="str">
        <f aca="false">IF(C490="","",IFERROR(INDEX(Players!$C$5:$C$304,MATCH(C490,Players!$B$5:$B$304,0)),"UID not in Players sheet"))</f>
        <v/>
      </c>
      <c r="E490" s="12"/>
      <c r="F490" s="15"/>
      <c r="G490" s="21"/>
      <c r="H490" s="1"/>
      <c r="I490" s="1"/>
      <c r="J490" s="1"/>
    </row>
    <row r="491" customFormat="false" ht="21.75" hidden="false" customHeight="true" outlineLevel="0" collapsed="false">
      <c r="A491" s="1"/>
      <c r="B491" s="20"/>
      <c r="C491" s="15"/>
      <c r="D491" s="11" t="str">
        <f aca="false">IF(C491="","",IFERROR(INDEX(Players!$C$5:$C$304,MATCH(C491,Players!$B$5:$B$304,0)),"UID not in Players sheet"))</f>
        <v/>
      </c>
      <c r="E491" s="12"/>
      <c r="F491" s="15"/>
      <c r="G491" s="21"/>
      <c r="H491" s="1"/>
      <c r="I491" s="1"/>
      <c r="J491" s="1"/>
    </row>
    <row r="492" customFormat="false" ht="21.75" hidden="false" customHeight="true" outlineLevel="0" collapsed="false">
      <c r="A492" s="1"/>
      <c r="B492" s="20"/>
      <c r="C492" s="15"/>
      <c r="D492" s="11" t="str">
        <f aca="false">IF(C492="","",IFERROR(INDEX(Players!$C$5:$C$304,MATCH(C492,Players!$B$5:$B$304,0)),"UID not in Players sheet"))</f>
        <v/>
      </c>
      <c r="E492" s="12"/>
      <c r="F492" s="15"/>
      <c r="G492" s="21"/>
      <c r="H492" s="1"/>
      <c r="I492" s="1"/>
      <c r="J492" s="1"/>
    </row>
    <row r="493" customFormat="false" ht="21.75" hidden="false" customHeight="true" outlineLevel="0" collapsed="false">
      <c r="A493" s="1"/>
      <c r="B493" s="20"/>
      <c r="C493" s="15"/>
      <c r="D493" s="11" t="str">
        <f aca="false">IF(C493="","",IFERROR(INDEX(Players!$C$5:$C$304,MATCH(C493,Players!$B$5:$B$304,0)),"UID not in Players sheet"))</f>
        <v/>
      </c>
      <c r="E493" s="12"/>
      <c r="F493" s="15"/>
      <c r="G493" s="21"/>
      <c r="H493" s="1"/>
      <c r="I493" s="1"/>
      <c r="J493" s="1"/>
    </row>
    <row r="494" customFormat="false" ht="21.75" hidden="false" customHeight="true" outlineLevel="0" collapsed="false">
      <c r="A494" s="1"/>
      <c r="B494" s="20"/>
      <c r="C494" s="15"/>
      <c r="D494" s="11" t="str">
        <f aca="false">IF(C494="","",IFERROR(INDEX(Players!$C$5:$C$304,MATCH(C494,Players!$B$5:$B$304,0)),"UID not in Players sheet"))</f>
        <v/>
      </c>
      <c r="E494" s="12"/>
      <c r="F494" s="15"/>
      <c r="G494" s="21"/>
      <c r="H494" s="1"/>
      <c r="I494" s="1"/>
      <c r="J494" s="1"/>
    </row>
    <row r="495" customFormat="false" ht="21.75" hidden="false" customHeight="true" outlineLevel="0" collapsed="false">
      <c r="A495" s="1"/>
      <c r="B495" s="20"/>
      <c r="C495" s="15"/>
      <c r="D495" s="11" t="str">
        <f aca="false">IF(C495="","",IFERROR(INDEX(Players!$C$5:$C$304,MATCH(C495,Players!$B$5:$B$304,0)),"UID not in Players sheet"))</f>
        <v/>
      </c>
      <c r="E495" s="12"/>
      <c r="F495" s="15"/>
      <c r="G495" s="21"/>
      <c r="H495" s="1"/>
      <c r="I495" s="1"/>
      <c r="J495" s="1"/>
    </row>
    <row r="496" customFormat="false" ht="21.75" hidden="false" customHeight="true" outlineLevel="0" collapsed="false">
      <c r="A496" s="1"/>
      <c r="B496" s="20"/>
      <c r="C496" s="15"/>
      <c r="D496" s="11" t="str">
        <f aca="false">IF(C496="","",IFERROR(INDEX(Players!$C$5:$C$304,MATCH(C496,Players!$B$5:$B$304,0)),"UID not in Players sheet"))</f>
        <v/>
      </c>
      <c r="E496" s="12"/>
      <c r="F496" s="15"/>
      <c r="G496" s="21"/>
      <c r="H496" s="1"/>
      <c r="I496" s="1"/>
      <c r="J496" s="1"/>
    </row>
    <row r="497" customFormat="false" ht="21.75" hidden="false" customHeight="true" outlineLevel="0" collapsed="false">
      <c r="A497" s="1"/>
      <c r="B497" s="20"/>
      <c r="C497" s="15"/>
      <c r="D497" s="11" t="str">
        <f aca="false">IF(C497="","",IFERROR(INDEX(Players!$C$5:$C$304,MATCH(C497,Players!$B$5:$B$304,0)),"UID not in Players sheet"))</f>
        <v/>
      </c>
      <c r="E497" s="12"/>
      <c r="F497" s="15"/>
      <c r="G497" s="21"/>
      <c r="H497" s="1"/>
      <c r="I497" s="1"/>
      <c r="J497" s="1"/>
    </row>
    <row r="498" customFormat="false" ht="21.75" hidden="false" customHeight="true" outlineLevel="0" collapsed="false">
      <c r="A498" s="1"/>
      <c r="B498" s="20"/>
      <c r="C498" s="15"/>
      <c r="D498" s="11" t="str">
        <f aca="false">IF(C498="","",IFERROR(INDEX(Players!$C$5:$C$304,MATCH(C498,Players!$B$5:$B$304,0)),"UID not in Players sheet"))</f>
        <v/>
      </c>
      <c r="E498" s="12"/>
      <c r="F498" s="15"/>
      <c r="G498" s="21"/>
      <c r="H498" s="1"/>
      <c r="I498" s="1"/>
      <c r="J498" s="1"/>
    </row>
    <row r="499" customFormat="false" ht="21.75" hidden="false" customHeight="true" outlineLevel="0" collapsed="false">
      <c r="A499" s="1"/>
      <c r="B499" s="20"/>
      <c r="C499" s="15"/>
      <c r="D499" s="11" t="str">
        <f aca="false">IF(C499="","",IFERROR(INDEX(Players!$C$5:$C$304,MATCH(C499,Players!$B$5:$B$304,0)),"UID not in Players sheet"))</f>
        <v/>
      </c>
      <c r="E499" s="12"/>
      <c r="F499" s="15"/>
      <c r="G499" s="21"/>
      <c r="H499" s="1"/>
      <c r="I499" s="1"/>
      <c r="J499" s="1"/>
    </row>
    <row r="500" customFormat="false" ht="21.75" hidden="false" customHeight="true" outlineLevel="0" collapsed="false">
      <c r="A500" s="1"/>
      <c r="B500" s="20"/>
      <c r="C500" s="15"/>
      <c r="D500" s="11" t="str">
        <f aca="false">IF(C500="","",IFERROR(INDEX(Players!$C$5:$C$304,MATCH(C500,Players!$B$5:$B$304,0)),"UID not in Players sheet"))</f>
        <v/>
      </c>
      <c r="E500" s="12"/>
      <c r="F500" s="15"/>
      <c r="G500" s="21"/>
      <c r="H500" s="1"/>
      <c r="I500" s="1"/>
      <c r="J500" s="1"/>
    </row>
    <row r="501" customFormat="false" ht="21.75" hidden="false" customHeight="true" outlineLevel="0" collapsed="false">
      <c r="A501" s="1"/>
      <c r="B501" s="20"/>
      <c r="C501" s="15"/>
      <c r="D501" s="11" t="str">
        <f aca="false">IF(C501="","",IFERROR(INDEX(Players!$C$5:$C$304,MATCH(C501,Players!$B$5:$B$304,0)),"UID not in Players sheet"))</f>
        <v/>
      </c>
      <c r="E501" s="12"/>
      <c r="F501" s="15"/>
      <c r="G501" s="21"/>
      <c r="H501" s="1"/>
      <c r="I501" s="1"/>
      <c r="J501" s="1"/>
    </row>
    <row r="502" customFormat="false" ht="21.75" hidden="false" customHeight="true" outlineLevel="0" collapsed="false">
      <c r="A502" s="1"/>
      <c r="B502" s="20"/>
      <c r="C502" s="15"/>
      <c r="D502" s="11" t="str">
        <f aca="false">IF(C502="","",IFERROR(INDEX(Players!$C$5:$C$304,MATCH(C502,Players!$B$5:$B$304,0)),"UID not in Players sheet"))</f>
        <v/>
      </c>
      <c r="E502" s="12"/>
      <c r="F502" s="15"/>
      <c r="G502" s="21"/>
      <c r="H502" s="1"/>
      <c r="I502" s="1"/>
      <c r="J502" s="1"/>
    </row>
    <row r="503" customFormat="false" ht="21.75" hidden="false" customHeight="true" outlineLevel="0" collapsed="false">
      <c r="A503" s="1"/>
      <c r="B503" s="20"/>
      <c r="C503" s="15"/>
      <c r="D503" s="11" t="str">
        <f aca="false">IF(C503="","",IFERROR(INDEX(Players!$C$5:$C$304,MATCH(C503,Players!$B$5:$B$304,0)),"UID not in Players sheet"))</f>
        <v/>
      </c>
      <c r="E503" s="12"/>
      <c r="F503" s="15"/>
      <c r="G503" s="21"/>
      <c r="H503" s="1"/>
      <c r="I503" s="1"/>
      <c r="J503" s="1"/>
    </row>
    <row r="504" customFormat="false" ht="21.75" hidden="false" customHeight="true" outlineLevel="0" collapsed="false">
      <c r="A504" s="1"/>
      <c r="B504" s="20"/>
      <c r="C504" s="15"/>
      <c r="D504" s="11" t="str">
        <f aca="false">IF(C504="","",IFERROR(INDEX(Players!$C$5:$C$304,MATCH(C504,Players!$B$5:$B$304,0)),"UID not in Players sheet"))</f>
        <v/>
      </c>
      <c r="E504" s="12"/>
      <c r="F504" s="15"/>
      <c r="G504" s="21"/>
      <c r="H504" s="1"/>
      <c r="I504" s="1"/>
      <c r="J504" s="1"/>
    </row>
    <row r="505" customFormat="false" ht="21.75" hidden="false" customHeight="true" outlineLevel="0" collapsed="false">
      <c r="A505" s="1"/>
      <c r="B505" s="20"/>
      <c r="C505" s="15"/>
      <c r="D505" s="11" t="str">
        <f aca="false">IF(C505="","",IFERROR(INDEX(Players!$C$5:$C$304,MATCH(C505,Players!$B$5:$B$304,0)),"UID not in Players sheet"))</f>
        <v/>
      </c>
      <c r="E505" s="12"/>
      <c r="F505" s="15"/>
      <c r="G505" s="21"/>
      <c r="H505" s="1"/>
      <c r="I505" s="1"/>
      <c r="J505" s="1"/>
    </row>
    <row r="506" customFormat="false" ht="21.75" hidden="false" customHeight="true" outlineLevel="0" collapsed="false">
      <c r="A506" s="1"/>
      <c r="B506" s="20"/>
      <c r="C506" s="15"/>
      <c r="D506" s="11" t="str">
        <f aca="false">IF(C506="","",IFERROR(INDEX(Players!$C$5:$C$304,MATCH(C506,Players!$B$5:$B$304,0)),"UID not in Players sheet"))</f>
        <v/>
      </c>
      <c r="E506" s="12"/>
      <c r="F506" s="15"/>
      <c r="G506" s="21"/>
      <c r="H506" s="1"/>
      <c r="I506" s="1"/>
      <c r="J506" s="1"/>
    </row>
    <row r="507" customFormat="false" ht="21.75" hidden="false" customHeight="true" outlineLevel="0" collapsed="false">
      <c r="A507" s="1"/>
      <c r="B507" s="20"/>
      <c r="C507" s="15"/>
      <c r="D507" s="11" t="str">
        <f aca="false">IF(C507="","",IFERROR(INDEX(Players!$C$5:$C$304,MATCH(C507,Players!$B$5:$B$304,0)),"UID not in Players sheet"))</f>
        <v/>
      </c>
      <c r="E507" s="12"/>
      <c r="F507" s="15"/>
      <c r="G507" s="21"/>
      <c r="H507" s="1"/>
      <c r="I507" s="1"/>
      <c r="J507" s="1"/>
    </row>
    <row r="508" customFormat="false" ht="21.75" hidden="false" customHeight="true" outlineLevel="0" collapsed="false">
      <c r="A508" s="1"/>
      <c r="B508" s="20"/>
      <c r="C508" s="15"/>
      <c r="D508" s="11" t="str">
        <f aca="false">IF(C508="","",IFERROR(INDEX(Players!$C$5:$C$304,MATCH(C508,Players!$B$5:$B$304,0)),"UID not in Players sheet"))</f>
        <v/>
      </c>
      <c r="E508" s="12"/>
      <c r="F508" s="15"/>
      <c r="G508" s="21"/>
      <c r="H508" s="1"/>
      <c r="I508" s="1"/>
      <c r="J508" s="1"/>
    </row>
    <row r="509" customFormat="false" ht="21.75" hidden="false" customHeight="true" outlineLevel="0" collapsed="false">
      <c r="A509" s="1"/>
      <c r="B509" s="20"/>
      <c r="C509" s="15"/>
      <c r="D509" s="11" t="str">
        <f aca="false">IF(C509="","",IFERROR(INDEX(Players!$C$5:$C$304,MATCH(C509,Players!$B$5:$B$304,0)),"UID not in Players sheet"))</f>
        <v/>
      </c>
      <c r="E509" s="12"/>
      <c r="F509" s="15"/>
      <c r="G509" s="21"/>
      <c r="H509" s="1"/>
      <c r="I509" s="1"/>
      <c r="J509" s="1"/>
    </row>
    <row r="510" customFormat="false" ht="21.75" hidden="false" customHeight="true" outlineLevel="0" collapsed="false">
      <c r="A510" s="1"/>
      <c r="B510" s="20"/>
      <c r="C510" s="15"/>
      <c r="D510" s="11" t="str">
        <f aca="false">IF(C510="","",IFERROR(INDEX(Players!$C$5:$C$304,MATCH(C510,Players!$B$5:$B$304,0)),"UID not in Players sheet"))</f>
        <v/>
      </c>
      <c r="E510" s="12"/>
      <c r="F510" s="15"/>
      <c r="G510" s="21"/>
      <c r="H510" s="1"/>
      <c r="I510" s="1"/>
      <c r="J510" s="1"/>
    </row>
    <row r="511" customFormat="false" ht="21.75" hidden="false" customHeight="true" outlineLevel="0" collapsed="false">
      <c r="A511" s="1"/>
      <c r="B511" s="20"/>
      <c r="C511" s="15"/>
      <c r="D511" s="11" t="str">
        <f aca="false">IF(C511="","",IFERROR(INDEX(Players!$C$5:$C$304,MATCH(C511,Players!$B$5:$B$304,0)),"UID not in Players sheet"))</f>
        <v/>
      </c>
      <c r="E511" s="12"/>
      <c r="F511" s="15"/>
      <c r="G511" s="21"/>
      <c r="H511" s="1"/>
      <c r="I511" s="1"/>
      <c r="J511" s="1"/>
    </row>
    <row r="512" customFormat="false" ht="21.75" hidden="false" customHeight="true" outlineLevel="0" collapsed="false">
      <c r="A512" s="1"/>
      <c r="B512" s="20"/>
      <c r="C512" s="15"/>
      <c r="D512" s="11" t="str">
        <f aca="false">IF(C512="","",IFERROR(INDEX(Players!$C$5:$C$304,MATCH(C512,Players!$B$5:$B$304,0)),"UID not in Players sheet"))</f>
        <v/>
      </c>
      <c r="E512" s="12"/>
      <c r="F512" s="15"/>
      <c r="G512" s="21"/>
      <c r="H512" s="1"/>
      <c r="I512" s="1"/>
      <c r="J512" s="1"/>
    </row>
    <row r="513" customFormat="false" ht="21.75" hidden="false" customHeight="true" outlineLevel="0" collapsed="false">
      <c r="A513" s="1"/>
      <c r="B513" s="20"/>
      <c r="C513" s="15"/>
      <c r="D513" s="11" t="str">
        <f aca="false">IF(C513="","",IFERROR(INDEX(Players!$C$5:$C$304,MATCH(C513,Players!$B$5:$B$304,0)),"UID not in Players sheet"))</f>
        <v/>
      </c>
      <c r="E513" s="12"/>
      <c r="F513" s="15"/>
      <c r="G513" s="21"/>
      <c r="H513" s="1"/>
      <c r="I513" s="1"/>
      <c r="J513" s="1"/>
    </row>
    <row r="514" customFormat="false" ht="21.75" hidden="false" customHeight="true" outlineLevel="0" collapsed="false">
      <c r="A514" s="1"/>
      <c r="B514" s="20"/>
      <c r="C514" s="15"/>
      <c r="D514" s="11" t="str">
        <f aca="false">IF(C514="","",IFERROR(INDEX(Players!$C$5:$C$304,MATCH(C514,Players!$B$5:$B$304,0)),"UID not in Players sheet"))</f>
        <v/>
      </c>
      <c r="E514" s="12"/>
      <c r="F514" s="15"/>
      <c r="G514" s="21"/>
      <c r="H514" s="1"/>
      <c r="I514" s="1"/>
      <c r="J514" s="1"/>
    </row>
    <row r="515" customFormat="false" ht="21.75" hidden="false" customHeight="true" outlineLevel="0" collapsed="false">
      <c r="A515" s="1"/>
      <c r="B515" s="20"/>
      <c r="C515" s="15"/>
      <c r="D515" s="11" t="str">
        <f aca="false">IF(C515="","",IFERROR(INDEX(Players!$C$5:$C$304,MATCH(C515,Players!$B$5:$B$304,0)),"UID not in Players sheet"))</f>
        <v/>
      </c>
      <c r="E515" s="12"/>
      <c r="F515" s="15"/>
      <c r="G515" s="21"/>
      <c r="H515" s="1"/>
      <c r="I515" s="1"/>
      <c r="J515" s="1"/>
    </row>
    <row r="516" customFormat="false" ht="21.75" hidden="false" customHeight="true" outlineLevel="0" collapsed="false">
      <c r="A516" s="1"/>
      <c r="B516" s="20"/>
      <c r="C516" s="15"/>
      <c r="D516" s="11" t="str">
        <f aca="false">IF(C516="","",IFERROR(INDEX(Players!$C$5:$C$304,MATCH(C516,Players!$B$5:$B$304,0)),"UID not in Players sheet"))</f>
        <v/>
      </c>
      <c r="E516" s="12"/>
      <c r="F516" s="15"/>
      <c r="G516" s="21"/>
      <c r="H516" s="1"/>
      <c r="I516" s="1"/>
      <c r="J516" s="1"/>
    </row>
    <row r="517" customFormat="false" ht="21.75" hidden="false" customHeight="true" outlineLevel="0" collapsed="false">
      <c r="A517" s="1"/>
      <c r="B517" s="20"/>
      <c r="C517" s="15"/>
      <c r="D517" s="11" t="str">
        <f aca="false">IF(C517="","",IFERROR(INDEX(Players!$C$5:$C$304,MATCH(C517,Players!$B$5:$B$304,0)),"UID not in Players sheet"))</f>
        <v/>
      </c>
      <c r="E517" s="12"/>
      <c r="F517" s="15"/>
      <c r="G517" s="21"/>
      <c r="H517" s="1"/>
      <c r="I517" s="1"/>
      <c r="J517" s="1"/>
    </row>
    <row r="518" customFormat="false" ht="21.75" hidden="false" customHeight="true" outlineLevel="0" collapsed="false">
      <c r="A518" s="1"/>
      <c r="B518" s="20"/>
      <c r="C518" s="15"/>
      <c r="D518" s="11" t="str">
        <f aca="false">IF(C518="","",IFERROR(INDEX(Players!$C$5:$C$304,MATCH(C518,Players!$B$5:$B$304,0)),"UID not in Players sheet"))</f>
        <v/>
      </c>
      <c r="E518" s="12"/>
      <c r="F518" s="15"/>
      <c r="G518" s="21"/>
      <c r="H518" s="1"/>
      <c r="I518" s="1"/>
      <c r="J518" s="1"/>
    </row>
    <row r="519" customFormat="false" ht="21.75" hidden="false" customHeight="true" outlineLevel="0" collapsed="false">
      <c r="A519" s="1"/>
      <c r="B519" s="20"/>
      <c r="C519" s="15"/>
      <c r="D519" s="11" t="str">
        <f aca="false">IF(C519="","",IFERROR(INDEX(Players!$C$5:$C$304,MATCH(C519,Players!$B$5:$B$304,0)),"UID not in Players sheet"))</f>
        <v/>
      </c>
      <c r="E519" s="12"/>
      <c r="F519" s="15"/>
      <c r="G519" s="21"/>
      <c r="H519" s="1"/>
      <c r="I519" s="1"/>
      <c r="J519" s="1"/>
    </row>
    <row r="520" customFormat="false" ht="21.75" hidden="false" customHeight="true" outlineLevel="0" collapsed="false">
      <c r="A520" s="1"/>
      <c r="B520" s="20"/>
      <c r="C520" s="15"/>
      <c r="D520" s="11" t="str">
        <f aca="false">IF(C520="","",IFERROR(INDEX(Players!$C$5:$C$304,MATCH(C520,Players!$B$5:$B$304,0)),"UID not in Players sheet"))</f>
        <v/>
      </c>
      <c r="E520" s="12"/>
      <c r="F520" s="15"/>
      <c r="G520" s="21"/>
      <c r="H520" s="1"/>
      <c r="I520" s="1"/>
      <c r="J520" s="1"/>
    </row>
    <row r="521" customFormat="false" ht="21.75" hidden="false" customHeight="true" outlineLevel="0" collapsed="false">
      <c r="A521" s="1"/>
      <c r="B521" s="20"/>
      <c r="C521" s="15"/>
      <c r="D521" s="11" t="str">
        <f aca="false">IF(C521="","",IFERROR(INDEX(Players!$C$5:$C$304,MATCH(C521,Players!$B$5:$B$304,0)),"UID not in Players sheet"))</f>
        <v/>
      </c>
      <c r="E521" s="12"/>
      <c r="F521" s="15"/>
      <c r="G521" s="21"/>
      <c r="H521" s="1"/>
      <c r="I521" s="1"/>
      <c r="J521" s="1"/>
    </row>
    <row r="522" customFormat="false" ht="21.75" hidden="false" customHeight="true" outlineLevel="0" collapsed="false">
      <c r="A522" s="1"/>
      <c r="B522" s="20"/>
      <c r="C522" s="15"/>
      <c r="D522" s="11" t="str">
        <f aca="false">IF(C522="","",IFERROR(INDEX(Players!$C$5:$C$304,MATCH(C522,Players!$B$5:$B$304,0)),"UID not in Players sheet"))</f>
        <v/>
      </c>
      <c r="E522" s="12"/>
      <c r="F522" s="15"/>
      <c r="G522" s="21"/>
      <c r="H522" s="1"/>
      <c r="I522" s="1"/>
      <c r="J522" s="1"/>
    </row>
    <row r="523" customFormat="false" ht="21.75" hidden="false" customHeight="true" outlineLevel="0" collapsed="false">
      <c r="A523" s="1"/>
      <c r="B523" s="20"/>
      <c r="C523" s="15"/>
      <c r="D523" s="11" t="str">
        <f aca="false">IF(C523="","",IFERROR(INDEX(Players!$C$5:$C$304,MATCH(C523,Players!$B$5:$B$304,0)),"UID not in Players sheet"))</f>
        <v/>
      </c>
      <c r="E523" s="12"/>
      <c r="F523" s="15"/>
      <c r="G523" s="21"/>
      <c r="H523" s="1"/>
      <c r="I523" s="1"/>
      <c r="J523" s="1"/>
    </row>
    <row r="524" customFormat="false" ht="21.75" hidden="false" customHeight="true" outlineLevel="0" collapsed="false">
      <c r="A524" s="1"/>
      <c r="B524" s="20"/>
      <c r="C524" s="15"/>
      <c r="D524" s="11" t="str">
        <f aca="false">IF(C524="","",IFERROR(INDEX(Players!$C$5:$C$304,MATCH(C524,Players!$B$5:$B$304,0)),"UID not in Players sheet"))</f>
        <v/>
      </c>
      <c r="E524" s="12"/>
      <c r="F524" s="15"/>
      <c r="G524" s="21"/>
      <c r="H524" s="1"/>
      <c r="I524" s="1"/>
      <c r="J524" s="1"/>
    </row>
    <row r="525" customFormat="false" ht="21.75" hidden="false" customHeight="true" outlineLevel="0" collapsed="false">
      <c r="A525" s="1"/>
      <c r="B525" s="20"/>
      <c r="C525" s="15"/>
      <c r="D525" s="11" t="str">
        <f aca="false">IF(C525="","",IFERROR(INDEX(Players!$C$5:$C$304,MATCH(C525,Players!$B$5:$B$304,0)),"UID not in Players sheet"))</f>
        <v/>
      </c>
      <c r="E525" s="12"/>
      <c r="F525" s="15"/>
      <c r="G525" s="21"/>
      <c r="H525" s="1"/>
      <c r="I525" s="1"/>
      <c r="J525" s="1"/>
    </row>
    <row r="526" customFormat="false" ht="21.75" hidden="false" customHeight="true" outlineLevel="0" collapsed="false">
      <c r="A526" s="1"/>
      <c r="B526" s="20"/>
      <c r="C526" s="15"/>
      <c r="D526" s="11" t="str">
        <f aca="false">IF(C526="","",IFERROR(INDEX(Players!$C$5:$C$304,MATCH(C526,Players!$B$5:$B$304,0)),"UID not in Players sheet"))</f>
        <v/>
      </c>
      <c r="E526" s="12"/>
      <c r="F526" s="15"/>
      <c r="G526" s="21"/>
      <c r="H526" s="1"/>
      <c r="I526" s="1"/>
      <c r="J526" s="1"/>
    </row>
    <row r="527" customFormat="false" ht="21.75" hidden="false" customHeight="true" outlineLevel="0" collapsed="false">
      <c r="A527" s="1"/>
      <c r="B527" s="20"/>
      <c r="C527" s="15"/>
      <c r="D527" s="11" t="str">
        <f aca="false">IF(C527="","",IFERROR(INDEX(Players!$C$5:$C$304,MATCH(C527,Players!$B$5:$B$304,0)),"UID not in Players sheet"))</f>
        <v/>
      </c>
      <c r="E527" s="12"/>
      <c r="F527" s="15"/>
      <c r="G527" s="21"/>
      <c r="H527" s="1"/>
      <c r="I527" s="1"/>
      <c r="J527" s="1"/>
    </row>
    <row r="528" customFormat="false" ht="21.75" hidden="false" customHeight="true" outlineLevel="0" collapsed="false">
      <c r="A528" s="1"/>
      <c r="B528" s="20"/>
      <c r="C528" s="15"/>
      <c r="D528" s="11" t="str">
        <f aca="false">IF(C528="","",IFERROR(INDEX(Players!$C$5:$C$304,MATCH(C528,Players!$B$5:$B$304,0)),"UID not in Players sheet"))</f>
        <v/>
      </c>
      <c r="E528" s="12"/>
      <c r="F528" s="15"/>
      <c r="G528" s="21"/>
      <c r="H528" s="1"/>
      <c r="I528" s="1"/>
      <c r="J528" s="1"/>
    </row>
    <row r="529" customFormat="false" ht="21.75" hidden="false" customHeight="true" outlineLevel="0" collapsed="false">
      <c r="A529" s="1"/>
      <c r="B529" s="20"/>
      <c r="C529" s="15"/>
      <c r="D529" s="11" t="str">
        <f aca="false">IF(C529="","",IFERROR(INDEX(Players!$C$5:$C$304,MATCH(C529,Players!$B$5:$B$304,0)),"UID not in Players sheet"))</f>
        <v/>
      </c>
      <c r="E529" s="12"/>
      <c r="F529" s="15"/>
      <c r="G529" s="21"/>
      <c r="H529" s="1"/>
      <c r="I529" s="1"/>
      <c r="J529" s="1"/>
    </row>
    <row r="530" customFormat="false" ht="21.75" hidden="false" customHeight="true" outlineLevel="0" collapsed="false">
      <c r="A530" s="1"/>
      <c r="B530" s="20"/>
      <c r="C530" s="15"/>
      <c r="D530" s="11" t="str">
        <f aca="false">IF(C530="","",IFERROR(INDEX(Players!$C$5:$C$304,MATCH(C530,Players!$B$5:$B$304,0)),"UID not in Players sheet"))</f>
        <v/>
      </c>
      <c r="E530" s="12"/>
      <c r="F530" s="15"/>
      <c r="G530" s="21"/>
      <c r="H530" s="1"/>
      <c r="I530" s="1"/>
      <c r="J530" s="1"/>
    </row>
    <row r="531" customFormat="false" ht="21.75" hidden="false" customHeight="true" outlineLevel="0" collapsed="false">
      <c r="A531" s="1"/>
      <c r="B531" s="20"/>
      <c r="C531" s="15"/>
      <c r="D531" s="11" t="str">
        <f aca="false">IF(C531="","",IFERROR(INDEX(Players!$C$5:$C$304,MATCH(C531,Players!$B$5:$B$304,0)),"UID not in Players sheet"))</f>
        <v/>
      </c>
      <c r="E531" s="12"/>
      <c r="F531" s="15"/>
      <c r="G531" s="21"/>
      <c r="H531" s="1"/>
      <c r="I531" s="1"/>
      <c r="J531" s="1"/>
    </row>
    <row r="532" customFormat="false" ht="21.75" hidden="false" customHeight="true" outlineLevel="0" collapsed="false">
      <c r="A532" s="1"/>
      <c r="B532" s="20"/>
      <c r="C532" s="15"/>
      <c r="D532" s="11" t="str">
        <f aca="false">IF(C532="","",IFERROR(INDEX(Players!$C$5:$C$304,MATCH(C532,Players!$B$5:$B$304,0)),"UID not in Players sheet"))</f>
        <v/>
      </c>
      <c r="E532" s="12"/>
      <c r="F532" s="15"/>
      <c r="G532" s="21"/>
      <c r="H532" s="1"/>
      <c r="I532" s="1"/>
      <c r="J532" s="1"/>
    </row>
    <row r="533" customFormat="false" ht="21.75" hidden="false" customHeight="true" outlineLevel="0" collapsed="false">
      <c r="A533" s="1"/>
      <c r="B533" s="20"/>
      <c r="C533" s="15"/>
      <c r="D533" s="11" t="str">
        <f aca="false">IF(C533="","",IFERROR(INDEX(Players!$C$5:$C$304,MATCH(C533,Players!$B$5:$B$304,0)),"UID not in Players sheet"))</f>
        <v/>
      </c>
      <c r="E533" s="12"/>
      <c r="F533" s="15"/>
      <c r="G533" s="21"/>
      <c r="H533" s="1"/>
      <c r="I533" s="1"/>
      <c r="J533" s="1"/>
    </row>
    <row r="534" customFormat="false" ht="21.75" hidden="false" customHeight="true" outlineLevel="0" collapsed="false">
      <c r="A534" s="1"/>
      <c r="B534" s="20"/>
      <c r="C534" s="15"/>
      <c r="D534" s="11" t="str">
        <f aca="false">IF(C534="","",IFERROR(INDEX(Players!$C$5:$C$304,MATCH(C534,Players!$B$5:$B$304,0)),"UID not in Players sheet"))</f>
        <v/>
      </c>
      <c r="E534" s="12"/>
      <c r="F534" s="15"/>
      <c r="G534" s="21"/>
      <c r="H534" s="1"/>
      <c r="I534" s="1"/>
      <c r="J534" s="1"/>
    </row>
    <row r="535" customFormat="false" ht="21.75" hidden="false" customHeight="true" outlineLevel="0" collapsed="false">
      <c r="A535" s="1"/>
      <c r="B535" s="20"/>
      <c r="C535" s="15"/>
      <c r="D535" s="11" t="str">
        <f aca="false">IF(C535="","",IFERROR(INDEX(Players!$C$5:$C$304,MATCH(C535,Players!$B$5:$B$304,0)),"UID not in Players sheet"))</f>
        <v/>
      </c>
      <c r="E535" s="12"/>
      <c r="F535" s="15"/>
      <c r="G535" s="21"/>
      <c r="H535" s="1"/>
      <c r="I535" s="1"/>
      <c r="J535" s="1"/>
    </row>
    <row r="536" customFormat="false" ht="21.75" hidden="false" customHeight="true" outlineLevel="0" collapsed="false">
      <c r="A536" s="1"/>
      <c r="B536" s="20"/>
      <c r="C536" s="15"/>
      <c r="D536" s="11" t="str">
        <f aca="false">IF(C536="","",IFERROR(INDEX(Players!$C$5:$C$304,MATCH(C536,Players!$B$5:$B$304,0)),"UID not in Players sheet"))</f>
        <v/>
      </c>
      <c r="E536" s="12"/>
      <c r="F536" s="15"/>
      <c r="G536" s="21"/>
      <c r="H536" s="1"/>
      <c r="I536" s="1"/>
      <c r="J536" s="1"/>
    </row>
    <row r="537" customFormat="false" ht="21.75" hidden="false" customHeight="true" outlineLevel="0" collapsed="false">
      <c r="A537" s="1"/>
      <c r="B537" s="20"/>
      <c r="C537" s="15"/>
      <c r="D537" s="11" t="str">
        <f aca="false">IF(C537="","",IFERROR(INDEX(Players!$C$5:$C$304,MATCH(C537,Players!$B$5:$B$304,0)),"UID not in Players sheet"))</f>
        <v/>
      </c>
      <c r="E537" s="12"/>
      <c r="F537" s="15"/>
      <c r="G537" s="21"/>
      <c r="H537" s="1"/>
      <c r="I537" s="1"/>
      <c r="J537" s="1"/>
    </row>
    <row r="538" customFormat="false" ht="21.75" hidden="false" customHeight="true" outlineLevel="0" collapsed="false">
      <c r="A538" s="1"/>
      <c r="B538" s="20"/>
      <c r="C538" s="15"/>
      <c r="D538" s="11" t="str">
        <f aca="false">IF(C538="","",IFERROR(INDEX(Players!$C$5:$C$304,MATCH(C538,Players!$B$5:$B$304,0)),"UID not in Players sheet"))</f>
        <v/>
      </c>
      <c r="E538" s="12"/>
      <c r="F538" s="15"/>
      <c r="G538" s="21"/>
      <c r="H538" s="1"/>
      <c r="I538" s="1"/>
      <c r="J538" s="1"/>
    </row>
    <row r="539" customFormat="false" ht="21.75" hidden="false" customHeight="true" outlineLevel="0" collapsed="false">
      <c r="A539" s="1"/>
      <c r="B539" s="20"/>
      <c r="C539" s="15"/>
      <c r="D539" s="11" t="str">
        <f aca="false">IF(C539="","",IFERROR(INDEX(Players!$C$5:$C$304,MATCH(C539,Players!$B$5:$B$304,0)),"UID not in Players sheet"))</f>
        <v/>
      </c>
      <c r="E539" s="12"/>
      <c r="F539" s="15"/>
      <c r="G539" s="21"/>
      <c r="H539" s="1"/>
      <c r="I539" s="1"/>
      <c r="J539" s="1"/>
    </row>
    <row r="540" customFormat="false" ht="21.75" hidden="false" customHeight="true" outlineLevel="0" collapsed="false">
      <c r="A540" s="1"/>
      <c r="B540" s="20"/>
      <c r="C540" s="15"/>
      <c r="D540" s="11" t="str">
        <f aca="false">IF(C540="","",IFERROR(INDEX(Players!$C$5:$C$304,MATCH(C540,Players!$B$5:$B$304,0)),"UID not in Players sheet"))</f>
        <v/>
      </c>
      <c r="E540" s="12"/>
      <c r="F540" s="15"/>
      <c r="G540" s="21"/>
      <c r="H540" s="1"/>
      <c r="I540" s="1"/>
      <c r="J540" s="1"/>
    </row>
    <row r="541" customFormat="false" ht="21.75" hidden="false" customHeight="true" outlineLevel="0" collapsed="false">
      <c r="A541" s="1"/>
      <c r="B541" s="20"/>
      <c r="C541" s="15"/>
      <c r="D541" s="11" t="str">
        <f aca="false">IF(C541="","",IFERROR(INDEX(Players!$C$5:$C$304,MATCH(C541,Players!$B$5:$B$304,0)),"UID not in Players sheet"))</f>
        <v/>
      </c>
      <c r="E541" s="12"/>
      <c r="F541" s="15"/>
      <c r="G541" s="21"/>
      <c r="H541" s="1"/>
      <c r="I541" s="1"/>
      <c r="J541" s="1"/>
    </row>
    <row r="542" customFormat="false" ht="21.75" hidden="false" customHeight="true" outlineLevel="0" collapsed="false">
      <c r="A542" s="1"/>
      <c r="B542" s="20"/>
      <c r="C542" s="15"/>
      <c r="D542" s="11" t="str">
        <f aca="false">IF(C542="","",IFERROR(INDEX(Players!$C$5:$C$304,MATCH(C542,Players!$B$5:$B$304,0)),"UID not in Players sheet"))</f>
        <v/>
      </c>
      <c r="E542" s="12"/>
      <c r="F542" s="15"/>
      <c r="G542" s="21"/>
      <c r="H542" s="1"/>
      <c r="I542" s="1"/>
      <c r="J542" s="1"/>
    </row>
    <row r="543" customFormat="false" ht="21.75" hidden="false" customHeight="true" outlineLevel="0" collapsed="false">
      <c r="A543" s="1"/>
      <c r="B543" s="20"/>
      <c r="C543" s="15"/>
      <c r="D543" s="11" t="str">
        <f aca="false">IF(C543="","",IFERROR(INDEX(Players!$C$5:$C$304,MATCH(C543,Players!$B$5:$B$304,0)),"UID not in Players sheet"))</f>
        <v/>
      </c>
      <c r="E543" s="12"/>
      <c r="F543" s="15"/>
      <c r="G543" s="21"/>
      <c r="H543" s="1"/>
      <c r="I543" s="1"/>
      <c r="J543" s="1"/>
    </row>
    <row r="544" customFormat="false" ht="21.75" hidden="false" customHeight="true" outlineLevel="0" collapsed="false">
      <c r="A544" s="1"/>
      <c r="B544" s="20"/>
      <c r="C544" s="15"/>
      <c r="D544" s="11" t="str">
        <f aca="false">IF(C544="","",IFERROR(INDEX(Players!$C$5:$C$304,MATCH(C544,Players!$B$5:$B$304,0)),"UID not in Players sheet"))</f>
        <v/>
      </c>
      <c r="E544" s="12"/>
      <c r="F544" s="15"/>
      <c r="G544" s="21"/>
      <c r="H544" s="1"/>
      <c r="I544" s="1"/>
      <c r="J544" s="1"/>
    </row>
    <row r="545" customFormat="false" ht="21.75" hidden="false" customHeight="true" outlineLevel="0" collapsed="false">
      <c r="A545" s="1"/>
      <c r="B545" s="20"/>
      <c r="C545" s="15"/>
      <c r="D545" s="11" t="str">
        <f aca="false">IF(C545="","",IFERROR(INDEX(Players!$C$5:$C$304,MATCH(C545,Players!$B$5:$B$304,0)),"UID not in Players sheet"))</f>
        <v/>
      </c>
      <c r="E545" s="12"/>
      <c r="F545" s="15"/>
      <c r="G545" s="21"/>
      <c r="H545" s="1"/>
      <c r="I545" s="1"/>
      <c r="J545" s="1"/>
    </row>
    <row r="546" customFormat="false" ht="21.75" hidden="false" customHeight="true" outlineLevel="0" collapsed="false">
      <c r="A546" s="1"/>
      <c r="B546" s="20"/>
      <c r="C546" s="15"/>
      <c r="D546" s="11" t="str">
        <f aca="false">IF(C546="","",IFERROR(INDEX(Players!$C$5:$C$304,MATCH(C546,Players!$B$5:$B$304,0)),"UID not in Players sheet"))</f>
        <v/>
      </c>
      <c r="E546" s="12"/>
      <c r="F546" s="15"/>
      <c r="G546" s="21"/>
      <c r="H546" s="1"/>
      <c r="I546" s="1"/>
      <c r="J546" s="1"/>
    </row>
    <row r="547" customFormat="false" ht="21.75" hidden="false" customHeight="true" outlineLevel="0" collapsed="false">
      <c r="A547" s="1"/>
      <c r="B547" s="20"/>
      <c r="C547" s="15"/>
      <c r="D547" s="11" t="str">
        <f aca="false">IF(C547="","",IFERROR(INDEX(Players!$C$5:$C$304,MATCH(C547,Players!$B$5:$B$304,0)),"UID not in Players sheet"))</f>
        <v/>
      </c>
      <c r="E547" s="12"/>
      <c r="F547" s="15"/>
      <c r="G547" s="21"/>
      <c r="H547" s="1"/>
      <c r="I547" s="1"/>
      <c r="J547" s="1"/>
    </row>
    <row r="548" customFormat="false" ht="21.75" hidden="false" customHeight="true" outlineLevel="0" collapsed="false">
      <c r="A548" s="1"/>
      <c r="B548" s="20"/>
      <c r="C548" s="15"/>
      <c r="D548" s="11" t="str">
        <f aca="false">IF(C548="","",IFERROR(INDEX(Players!$C$5:$C$304,MATCH(C548,Players!$B$5:$B$304,0)),"UID not in Players sheet"))</f>
        <v/>
      </c>
      <c r="E548" s="12"/>
      <c r="F548" s="15"/>
      <c r="G548" s="21"/>
      <c r="H548" s="1"/>
      <c r="I548" s="1"/>
      <c r="J548" s="1"/>
    </row>
    <row r="549" customFormat="false" ht="21.75" hidden="false" customHeight="true" outlineLevel="0" collapsed="false">
      <c r="A549" s="1"/>
      <c r="B549" s="20"/>
      <c r="C549" s="15"/>
      <c r="D549" s="11" t="str">
        <f aca="false">IF(C549="","",IFERROR(INDEX(Players!$C$5:$C$304,MATCH(C549,Players!$B$5:$B$304,0)),"UID not in Players sheet"))</f>
        <v/>
      </c>
      <c r="E549" s="12"/>
      <c r="F549" s="15"/>
      <c r="G549" s="21"/>
      <c r="H549" s="1"/>
      <c r="I549" s="1"/>
      <c r="J549" s="1"/>
    </row>
    <row r="550" customFormat="false" ht="21.75" hidden="false" customHeight="true" outlineLevel="0" collapsed="false">
      <c r="A550" s="1"/>
      <c r="B550" s="20"/>
      <c r="C550" s="15"/>
      <c r="D550" s="11" t="str">
        <f aca="false">IF(C550="","",IFERROR(INDEX(Players!$C$5:$C$304,MATCH(C550,Players!$B$5:$B$304,0)),"UID not in Players sheet"))</f>
        <v/>
      </c>
      <c r="E550" s="12"/>
      <c r="F550" s="15"/>
      <c r="G550" s="21"/>
      <c r="H550" s="1"/>
      <c r="I550" s="1"/>
      <c r="J550" s="1"/>
    </row>
    <row r="551" customFormat="false" ht="21.75" hidden="false" customHeight="true" outlineLevel="0" collapsed="false">
      <c r="A551" s="1"/>
      <c r="B551" s="20"/>
      <c r="C551" s="15"/>
      <c r="D551" s="11" t="str">
        <f aca="false">IF(C551="","",IFERROR(INDEX(Players!$C$5:$C$304,MATCH(C551,Players!$B$5:$B$304,0)),"UID not in Players sheet"))</f>
        <v/>
      </c>
      <c r="E551" s="12"/>
      <c r="F551" s="15"/>
      <c r="G551" s="21"/>
      <c r="H551" s="1"/>
      <c r="I551" s="1"/>
      <c r="J551" s="1"/>
    </row>
    <row r="552" customFormat="false" ht="21.75" hidden="false" customHeight="true" outlineLevel="0" collapsed="false">
      <c r="A552" s="1"/>
      <c r="B552" s="20"/>
      <c r="C552" s="15"/>
      <c r="D552" s="11" t="str">
        <f aca="false">IF(C552="","",IFERROR(INDEX(Players!$C$5:$C$304,MATCH(C552,Players!$B$5:$B$304,0)),"UID not in Players sheet"))</f>
        <v/>
      </c>
      <c r="E552" s="12"/>
      <c r="F552" s="15"/>
      <c r="G552" s="21"/>
      <c r="H552" s="1"/>
      <c r="I552" s="1"/>
      <c r="J552" s="1"/>
    </row>
    <row r="553" customFormat="false" ht="21.75" hidden="false" customHeight="true" outlineLevel="0" collapsed="false">
      <c r="A553" s="1"/>
      <c r="B553" s="20"/>
      <c r="C553" s="15"/>
      <c r="D553" s="11" t="str">
        <f aca="false">IF(C553="","",IFERROR(INDEX(Players!$C$5:$C$304,MATCH(C553,Players!$B$5:$B$304,0)),"UID not in Players sheet"))</f>
        <v/>
      </c>
      <c r="E553" s="12"/>
      <c r="F553" s="15"/>
      <c r="G553" s="21"/>
      <c r="H553" s="1"/>
      <c r="I553" s="1"/>
      <c r="J553" s="1"/>
    </row>
    <row r="554" customFormat="false" ht="21.75" hidden="false" customHeight="true" outlineLevel="0" collapsed="false">
      <c r="A554" s="1"/>
      <c r="B554" s="20"/>
      <c r="C554" s="15"/>
      <c r="D554" s="11" t="str">
        <f aca="false">IF(C554="","",IFERROR(INDEX(Players!$C$5:$C$304,MATCH(C554,Players!$B$5:$B$304,0)),"UID not in Players sheet"))</f>
        <v/>
      </c>
      <c r="E554" s="12"/>
      <c r="F554" s="15"/>
      <c r="G554" s="21"/>
      <c r="H554" s="1"/>
      <c r="I554" s="1"/>
      <c r="J554" s="1"/>
    </row>
    <row r="555" customFormat="false" ht="21.75" hidden="false" customHeight="true" outlineLevel="0" collapsed="false">
      <c r="A555" s="1"/>
      <c r="B555" s="20"/>
      <c r="C555" s="15"/>
      <c r="D555" s="11" t="str">
        <f aca="false">IF(C555="","",IFERROR(INDEX(Players!$C$5:$C$304,MATCH(C555,Players!$B$5:$B$304,0)),"UID not in Players sheet"))</f>
        <v/>
      </c>
      <c r="E555" s="12"/>
      <c r="F555" s="15"/>
      <c r="G555" s="21"/>
      <c r="H555" s="1"/>
      <c r="I555" s="1"/>
      <c r="J555" s="1"/>
    </row>
    <row r="556" customFormat="false" ht="21.75" hidden="false" customHeight="true" outlineLevel="0" collapsed="false">
      <c r="A556" s="1"/>
      <c r="B556" s="20"/>
      <c r="C556" s="15"/>
      <c r="D556" s="11" t="str">
        <f aca="false">IF(C556="","",IFERROR(INDEX(Players!$C$5:$C$304,MATCH(C556,Players!$B$5:$B$304,0)),"UID not in Players sheet"))</f>
        <v/>
      </c>
      <c r="E556" s="12"/>
      <c r="F556" s="15"/>
      <c r="G556" s="21"/>
      <c r="H556" s="1"/>
      <c r="I556" s="1"/>
      <c r="J556" s="1"/>
    </row>
    <row r="557" customFormat="false" ht="21.75" hidden="false" customHeight="true" outlineLevel="0" collapsed="false">
      <c r="A557" s="1"/>
      <c r="B557" s="20"/>
      <c r="C557" s="15"/>
      <c r="D557" s="11" t="str">
        <f aca="false">IF(C557="","",IFERROR(INDEX(Players!$C$5:$C$304,MATCH(C557,Players!$B$5:$B$304,0)),"UID not in Players sheet"))</f>
        <v/>
      </c>
      <c r="E557" s="12"/>
      <c r="F557" s="15"/>
      <c r="G557" s="21"/>
      <c r="H557" s="1"/>
      <c r="I557" s="1"/>
      <c r="J557" s="1"/>
    </row>
    <row r="558" customFormat="false" ht="21.75" hidden="false" customHeight="true" outlineLevel="0" collapsed="false">
      <c r="A558" s="1"/>
      <c r="B558" s="20"/>
      <c r="C558" s="15"/>
      <c r="D558" s="11" t="str">
        <f aca="false">IF(C558="","",IFERROR(INDEX(Players!$C$5:$C$304,MATCH(C558,Players!$B$5:$B$304,0)),"UID not in Players sheet"))</f>
        <v/>
      </c>
      <c r="E558" s="12"/>
      <c r="F558" s="15"/>
      <c r="G558" s="21"/>
      <c r="H558" s="1"/>
      <c r="I558" s="1"/>
      <c r="J558" s="1"/>
    </row>
    <row r="559" customFormat="false" ht="21.75" hidden="false" customHeight="true" outlineLevel="0" collapsed="false">
      <c r="A559" s="1"/>
      <c r="B559" s="20"/>
      <c r="C559" s="15"/>
      <c r="D559" s="11" t="str">
        <f aca="false">IF(C559="","",IFERROR(INDEX(Players!$C$5:$C$304,MATCH(C559,Players!$B$5:$B$304,0)),"UID not in Players sheet"))</f>
        <v/>
      </c>
      <c r="E559" s="12"/>
      <c r="F559" s="15"/>
      <c r="G559" s="21"/>
      <c r="H559" s="1"/>
      <c r="I559" s="1"/>
      <c r="J559" s="1"/>
    </row>
    <row r="560" customFormat="false" ht="21.75" hidden="false" customHeight="true" outlineLevel="0" collapsed="false">
      <c r="A560" s="1"/>
      <c r="B560" s="20"/>
      <c r="C560" s="15"/>
      <c r="D560" s="11" t="str">
        <f aca="false">IF(C560="","",IFERROR(INDEX(Players!$C$5:$C$304,MATCH(C560,Players!$B$5:$B$304,0)),"UID not in Players sheet"))</f>
        <v/>
      </c>
      <c r="E560" s="12"/>
      <c r="F560" s="15"/>
      <c r="G560" s="21"/>
      <c r="H560" s="1"/>
      <c r="I560" s="1"/>
      <c r="J560" s="1"/>
    </row>
    <row r="561" customFormat="false" ht="21.75" hidden="false" customHeight="true" outlineLevel="0" collapsed="false">
      <c r="A561" s="1"/>
      <c r="B561" s="20"/>
      <c r="C561" s="15"/>
      <c r="D561" s="11" t="str">
        <f aca="false">IF(C561="","",IFERROR(INDEX(Players!$C$5:$C$304,MATCH(C561,Players!$B$5:$B$304,0)),"UID not in Players sheet"))</f>
        <v/>
      </c>
      <c r="E561" s="12"/>
      <c r="F561" s="15"/>
      <c r="G561" s="21"/>
      <c r="H561" s="1"/>
      <c r="I561" s="1"/>
      <c r="J561" s="1"/>
    </row>
    <row r="562" customFormat="false" ht="21.75" hidden="false" customHeight="true" outlineLevel="0" collapsed="false">
      <c r="A562" s="1"/>
      <c r="B562" s="20"/>
      <c r="C562" s="15"/>
      <c r="D562" s="11" t="str">
        <f aca="false">IF(C562="","",IFERROR(INDEX(Players!$C$5:$C$304,MATCH(C562,Players!$B$5:$B$304,0)),"UID not in Players sheet"))</f>
        <v/>
      </c>
      <c r="E562" s="12"/>
      <c r="F562" s="15"/>
      <c r="G562" s="21"/>
      <c r="H562" s="1"/>
      <c r="I562" s="1"/>
      <c r="J562" s="1"/>
    </row>
    <row r="563" customFormat="false" ht="21.75" hidden="false" customHeight="true" outlineLevel="0" collapsed="false">
      <c r="A563" s="1"/>
      <c r="B563" s="20"/>
      <c r="C563" s="15"/>
      <c r="D563" s="11" t="str">
        <f aca="false">IF(C563="","",IFERROR(INDEX(Players!$C$5:$C$304,MATCH(C563,Players!$B$5:$B$304,0)),"UID not in Players sheet"))</f>
        <v/>
      </c>
      <c r="E563" s="12"/>
      <c r="F563" s="15"/>
      <c r="G563" s="21"/>
      <c r="H563" s="1"/>
      <c r="I563" s="1"/>
      <c r="J563" s="1"/>
    </row>
    <row r="564" customFormat="false" ht="21.75" hidden="false" customHeight="true" outlineLevel="0" collapsed="false">
      <c r="A564" s="1"/>
      <c r="B564" s="20"/>
      <c r="C564" s="15"/>
      <c r="D564" s="11" t="str">
        <f aca="false">IF(C564="","",IFERROR(INDEX(Players!$C$5:$C$304,MATCH(C564,Players!$B$5:$B$304,0)),"UID not in Players sheet"))</f>
        <v/>
      </c>
      <c r="E564" s="12"/>
      <c r="F564" s="15"/>
      <c r="G564" s="21"/>
      <c r="H564" s="1"/>
      <c r="I564" s="1"/>
      <c r="J564" s="1"/>
    </row>
    <row r="565" customFormat="false" ht="21.75" hidden="false" customHeight="true" outlineLevel="0" collapsed="false">
      <c r="A565" s="1"/>
      <c r="B565" s="20"/>
      <c r="C565" s="15"/>
      <c r="D565" s="11" t="str">
        <f aca="false">IF(C565="","",IFERROR(INDEX(Players!$C$5:$C$304,MATCH(C565,Players!$B$5:$B$304,0)),"UID not in Players sheet"))</f>
        <v/>
      </c>
      <c r="E565" s="12"/>
      <c r="F565" s="15"/>
      <c r="G565" s="21"/>
      <c r="H565" s="1"/>
      <c r="I565" s="1"/>
      <c r="J565" s="1"/>
    </row>
    <row r="566" customFormat="false" ht="21.75" hidden="false" customHeight="true" outlineLevel="0" collapsed="false">
      <c r="A566" s="1"/>
      <c r="B566" s="20"/>
      <c r="C566" s="15"/>
      <c r="D566" s="11" t="str">
        <f aca="false">IF(C566="","",IFERROR(INDEX(Players!$C$5:$C$304,MATCH(C566,Players!$B$5:$B$304,0)),"UID not in Players sheet"))</f>
        <v/>
      </c>
      <c r="E566" s="12"/>
      <c r="F566" s="15"/>
      <c r="G566" s="21"/>
      <c r="H566" s="1"/>
      <c r="I566" s="1"/>
      <c r="J566" s="1"/>
    </row>
    <row r="567" customFormat="false" ht="21.75" hidden="false" customHeight="true" outlineLevel="0" collapsed="false">
      <c r="A567" s="1"/>
      <c r="B567" s="20"/>
      <c r="C567" s="15"/>
      <c r="D567" s="11" t="str">
        <f aca="false">IF(C567="","",IFERROR(INDEX(Players!$C$5:$C$304,MATCH(C567,Players!$B$5:$B$304,0)),"UID not in Players sheet"))</f>
        <v/>
      </c>
      <c r="E567" s="12"/>
      <c r="F567" s="15"/>
      <c r="G567" s="21"/>
      <c r="H567" s="1"/>
      <c r="I567" s="1"/>
      <c r="J567" s="1"/>
    </row>
    <row r="568" customFormat="false" ht="21.75" hidden="false" customHeight="true" outlineLevel="0" collapsed="false">
      <c r="A568" s="1"/>
      <c r="B568" s="20"/>
      <c r="C568" s="15"/>
      <c r="D568" s="11" t="str">
        <f aca="false">IF(C568="","",IFERROR(INDEX(Players!$C$5:$C$304,MATCH(C568,Players!$B$5:$B$304,0)),"UID not in Players sheet"))</f>
        <v/>
      </c>
      <c r="E568" s="12"/>
      <c r="F568" s="15"/>
      <c r="G568" s="21"/>
      <c r="H568" s="1"/>
      <c r="I568" s="1"/>
      <c r="J568" s="1"/>
    </row>
    <row r="569" customFormat="false" ht="21.75" hidden="false" customHeight="true" outlineLevel="0" collapsed="false">
      <c r="A569" s="1"/>
      <c r="B569" s="20"/>
      <c r="C569" s="15"/>
      <c r="D569" s="11" t="str">
        <f aca="false">IF(C569="","",IFERROR(INDEX(Players!$C$5:$C$304,MATCH(C569,Players!$B$5:$B$304,0)),"UID not in Players sheet"))</f>
        <v/>
      </c>
      <c r="E569" s="12"/>
      <c r="F569" s="15"/>
      <c r="G569" s="21"/>
      <c r="H569" s="1"/>
      <c r="I569" s="1"/>
      <c r="J569" s="1"/>
    </row>
    <row r="570" customFormat="false" ht="21.75" hidden="false" customHeight="true" outlineLevel="0" collapsed="false">
      <c r="A570" s="1"/>
      <c r="B570" s="20"/>
      <c r="C570" s="15"/>
      <c r="D570" s="11" t="str">
        <f aca="false">IF(C570="","",IFERROR(INDEX(Players!$C$5:$C$304,MATCH(C570,Players!$B$5:$B$304,0)),"UID not in Players sheet"))</f>
        <v/>
      </c>
      <c r="E570" s="12"/>
      <c r="F570" s="15"/>
      <c r="G570" s="21"/>
      <c r="H570" s="1"/>
      <c r="I570" s="1"/>
      <c r="J570" s="1"/>
    </row>
    <row r="571" customFormat="false" ht="21.75" hidden="false" customHeight="true" outlineLevel="0" collapsed="false">
      <c r="A571" s="1"/>
      <c r="B571" s="20"/>
      <c r="C571" s="15"/>
      <c r="D571" s="11" t="str">
        <f aca="false">IF(C571="","",IFERROR(INDEX(Players!$C$5:$C$304,MATCH(C571,Players!$B$5:$B$304,0)),"UID not in Players sheet"))</f>
        <v/>
      </c>
      <c r="E571" s="12"/>
      <c r="F571" s="15"/>
      <c r="G571" s="21"/>
      <c r="H571" s="1"/>
      <c r="I571" s="1"/>
      <c r="J571" s="1"/>
    </row>
    <row r="572" customFormat="false" ht="21.75" hidden="false" customHeight="true" outlineLevel="0" collapsed="false">
      <c r="A572" s="1"/>
      <c r="B572" s="20"/>
      <c r="C572" s="15"/>
      <c r="D572" s="11" t="str">
        <f aca="false">IF(C572="","",IFERROR(INDEX(Players!$C$5:$C$304,MATCH(C572,Players!$B$5:$B$304,0)),"UID not in Players sheet"))</f>
        <v/>
      </c>
      <c r="E572" s="12"/>
      <c r="F572" s="15"/>
      <c r="G572" s="21"/>
      <c r="H572" s="1"/>
      <c r="I572" s="1"/>
      <c r="J572" s="1"/>
    </row>
    <row r="573" customFormat="false" ht="21.75" hidden="false" customHeight="true" outlineLevel="0" collapsed="false">
      <c r="A573" s="1"/>
      <c r="B573" s="20"/>
      <c r="C573" s="15"/>
      <c r="D573" s="11" t="str">
        <f aca="false">IF(C573="","",IFERROR(INDEX(Players!$C$5:$C$304,MATCH(C573,Players!$B$5:$B$304,0)),"UID not in Players sheet"))</f>
        <v/>
      </c>
      <c r="E573" s="12"/>
      <c r="F573" s="15"/>
      <c r="G573" s="21"/>
      <c r="H573" s="1"/>
      <c r="I573" s="1"/>
      <c r="J573" s="1"/>
    </row>
    <row r="574" customFormat="false" ht="21.75" hidden="false" customHeight="true" outlineLevel="0" collapsed="false">
      <c r="A574" s="1"/>
      <c r="B574" s="20"/>
      <c r="C574" s="15"/>
      <c r="D574" s="11" t="str">
        <f aca="false">IF(C574="","",IFERROR(INDEX(Players!$C$5:$C$304,MATCH(C574,Players!$B$5:$B$304,0)),"UID not in Players sheet"))</f>
        <v/>
      </c>
      <c r="E574" s="12"/>
      <c r="F574" s="15"/>
      <c r="G574" s="21"/>
      <c r="H574" s="1"/>
      <c r="I574" s="1"/>
      <c r="J574" s="1"/>
    </row>
    <row r="575" customFormat="false" ht="21.75" hidden="false" customHeight="true" outlineLevel="0" collapsed="false">
      <c r="A575" s="1"/>
      <c r="B575" s="20"/>
      <c r="C575" s="15"/>
      <c r="D575" s="11" t="str">
        <f aca="false">IF(C575="","",IFERROR(INDEX(Players!$C$5:$C$304,MATCH(C575,Players!$B$5:$B$304,0)),"UID not in Players sheet"))</f>
        <v/>
      </c>
      <c r="E575" s="12"/>
      <c r="F575" s="15"/>
      <c r="G575" s="21"/>
      <c r="H575" s="1"/>
      <c r="I575" s="1"/>
      <c r="J575" s="1"/>
    </row>
    <row r="576" customFormat="false" ht="21.75" hidden="false" customHeight="true" outlineLevel="0" collapsed="false">
      <c r="A576" s="1"/>
      <c r="B576" s="20"/>
      <c r="C576" s="15"/>
      <c r="D576" s="11" t="str">
        <f aca="false">IF(C576="","",IFERROR(INDEX(Players!$C$5:$C$304,MATCH(C576,Players!$B$5:$B$304,0)),"UID not in Players sheet"))</f>
        <v/>
      </c>
      <c r="E576" s="12"/>
      <c r="F576" s="15"/>
      <c r="G576" s="21"/>
      <c r="H576" s="1"/>
      <c r="I576" s="1"/>
      <c r="J576" s="1"/>
    </row>
    <row r="577" customFormat="false" ht="21.75" hidden="false" customHeight="true" outlineLevel="0" collapsed="false">
      <c r="A577" s="1"/>
      <c r="B577" s="20"/>
      <c r="C577" s="15"/>
      <c r="D577" s="11" t="str">
        <f aca="false">IF(C577="","",IFERROR(INDEX(Players!$C$5:$C$304,MATCH(C577,Players!$B$5:$B$304,0)),"UID not in Players sheet"))</f>
        <v/>
      </c>
      <c r="E577" s="12"/>
      <c r="F577" s="15"/>
      <c r="G577" s="21"/>
      <c r="H577" s="1"/>
      <c r="I577" s="1"/>
      <c r="J577" s="1"/>
    </row>
    <row r="578" customFormat="false" ht="21.75" hidden="false" customHeight="true" outlineLevel="0" collapsed="false">
      <c r="A578" s="1"/>
      <c r="B578" s="20"/>
      <c r="C578" s="15"/>
      <c r="D578" s="11" t="str">
        <f aca="false">IF(C578="","",IFERROR(INDEX(Players!$C$5:$C$304,MATCH(C578,Players!$B$5:$B$304,0)),"UID not in Players sheet"))</f>
        <v/>
      </c>
      <c r="E578" s="12"/>
      <c r="F578" s="15"/>
      <c r="G578" s="21"/>
      <c r="H578" s="1"/>
      <c r="I578" s="1"/>
      <c r="J578" s="1"/>
    </row>
    <row r="579" customFormat="false" ht="21.75" hidden="false" customHeight="true" outlineLevel="0" collapsed="false">
      <c r="A579" s="1"/>
      <c r="B579" s="20"/>
      <c r="C579" s="15"/>
      <c r="D579" s="11" t="str">
        <f aca="false">IF(C579="","",IFERROR(INDEX(Players!$C$5:$C$304,MATCH(C579,Players!$B$5:$B$304,0)),"UID not in Players sheet"))</f>
        <v/>
      </c>
      <c r="E579" s="12"/>
      <c r="F579" s="15"/>
      <c r="G579" s="21"/>
      <c r="H579" s="1"/>
      <c r="I579" s="1"/>
      <c r="J579" s="1"/>
    </row>
    <row r="580" customFormat="false" ht="21.75" hidden="false" customHeight="true" outlineLevel="0" collapsed="false">
      <c r="A580" s="1"/>
      <c r="B580" s="20"/>
      <c r="C580" s="15"/>
      <c r="D580" s="11" t="str">
        <f aca="false">IF(C580="","",IFERROR(INDEX(Players!$C$5:$C$304,MATCH(C580,Players!$B$5:$B$304,0)),"UID not in Players sheet"))</f>
        <v/>
      </c>
      <c r="E580" s="12"/>
      <c r="F580" s="15"/>
      <c r="G580" s="21"/>
      <c r="H580" s="1"/>
      <c r="I580" s="1"/>
      <c r="J580" s="1"/>
    </row>
    <row r="581" customFormat="false" ht="21.75" hidden="false" customHeight="true" outlineLevel="0" collapsed="false">
      <c r="A581" s="1"/>
      <c r="B581" s="20"/>
      <c r="C581" s="15"/>
      <c r="D581" s="11" t="str">
        <f aca="false">IF(C581="","",IFERROR(INDEX(Players!$C$5:$C$304,MATCH(C581,Players!$B$5:$B$304,0)),"UID not in Players sheet"))</f>
        <v/>
      </c>
      <c r="E581" s="12"/>
      <c r="F581" s="15"/>
      <c r="G581" s="21"/>
      <c r="H581" s="1"/>
      <c r="I581" s="1"/>
      <c r="J581" s="1"/>
    </row>
    <row r="582" customFormat="false" ht="21.75" hidden="false" customHeight="true" outlineLevel="0" collapsed="false">
      <c r="A582" s="1"/>
      <c r="B582" s="20"/>
      <c r="C582" s="15"/>
      <c r="D582" s="11" t="str">
        <f aca="false">IF(C582="","",IFERROR(INDEX(Players!$C$5:$C$304,MATCH(C582,Players!$B$5:$B$304,0)),"UID not in Players sheet"))</f>
        <v/>
      </c>
      <c r="E582" s="12"/>
      <c r="F582" s="15"/>
      <c r="G582" s="21"/>
      <c r="H582" s="1"/>
      <c r="I582" s="1"/>
      <c r="J582" s="1"/>
    </row>
    <row r="583" customFormat="false" ht="21.75" hidden="false" customHeight="true" outlineLevel="0" collapsed="false">
      <c r="A583" s="1"/>
      <c r="B583" s="20"/>
      <c r="C583" s="15"/>
      <c r="D583" s="11" t="str">
        <f aca="false">IF(C583="","",IFERROR(INDEX(Players!$C$5:$C$304,MATCH(C583,Players!$B$5:$B$304,0)),"UID not in Players sheet"))</f>
        <v/>
      </c>
      <c r="E583" s="12"/>
      <c r="F583" s="15"/>
      <c r="G583" s="21"/>
      <c r="H583" s="1"/>
      <c r="I583" s="1"/>
      <c r="J583" s="1"/>
    </row>
    <row r="584" customFormat="false" ht="21.75" hidden="false" customHeight="true" outlineLevel="0" collapsed="false">
      <c r="A584" s="1"/>
      <c r="B584" s="20"/>
      <c r="C584" s="15"/>
      <c r="D584" s="11" t="str">
        <f aca="false">IF(C584="","",IFERROR(INDEX(Players!$C$5:$C$304,MATCH(C584,Players!$B$5:$B$304,0)),"UID not in Players sheet"))</f>
        <v/>
      </c>
      <c r="E584" s="12"/>
      <c r="F584" s="15"/>
      <c r="G584" s="21"/>
      <c r="H584" s="1"/>
      <c r="I584" s="1"/>
      <c r="J584" s="1"/>
    </row>
    <row r="585" customFormat="false" ht="21.75" hidden="false" customHeight="true" outlineLevel="0" collapsed="false">
      <c r="A585" s="1"/>
      <c r="B585" s="20"/>
      <c r="C585" s="15"/>
      <c r="D585" s="11" t="str">
        <f aca="false">IF(C585="","",IFERROR(INDEX(Players!$C$5:$C$304,MATCH(C585,Players!$B$5:$B$304,0)),"UID not in Players sheet"))</f>
        <v/>
      </c>
      <c r="E585" s="12"/>
      <c r="F585" s="15"/>
      <c r="G585" s="21"/>
      <c r="H585" s="1"/>
      <c r="I585" s="1"/>
      <c r="J585" s="1"/>
    </row>
    <row r="586" customFormat="false" ht="21.75" hidden="false" customHeight="true" outlineLevel="0" collapsed="false">
      <c r="A586" s="1"/>
      <c r="B586" s="20"/>
      <c r="C586" s="15"/>
      <c r="D586" s="11" t="str">
        <f aca="false">IF(C586="","",IFERROR(INDEX(Players!$C$5:$C$304,MATCH(C586,Players!$B$5:$B$304,0)),"UID not in Players sheet"))</f>
        <v/>
      </c>
      <c r="E586" s="12"/>
      <c r="F586" s="15"/>
      <c r="G586" s="21"/>
      <c r="H586" s="1"/>
      <c r="I586" s="1"/>
      <c r="J586" s="1"/>
    </row>
    <row r="587" customFormat="false" ht="21.75" hidden="false" customHeight="true" outlineLevel="0" collapsed="false">
      <c r="A587" s="1"/>
      <c r="B587" s="20"/>
      <c r="C587" s="15"/>
      <c r="D587" s="11" t="str">
        <f aca="false">IF(C587="","",IFERROR(INDEX(Players!$C$5:$C$304,MATCH(C587,Players!$B$5:$B$304,0)),"UID not in Players sheet"))</f>
        <v/>
      </c>
      <c r="E587" s="12"/>
      <c r="F587" s="15"/>
      <c r="G587" s="21"/>
      <c r="H587" s="1"/>
      <c r="I587" s="1"/>
      <c r="J587" s="1"/>
    </row>
    <row r="588" customFormat="false" ht="21.75" hidden="false" customHeight="true" outlineLevel="0" collapsed="false">
      <c r="A588" s="1"/>
      <c r="B588" s="20"/>
      <c r="C588" s="15"/>
      <c r="D588" s="11" t="str">
        <f aca="false">IF(C588="","",IFERROR(INDEX(Players!$C$5:$C$304,MATCH(C588,Players!$B$5:$B$304,0)),"UID not in Players sheet"))</f>
        <v/>
      </c>
      <c r="E588" s="12"/>
      <c r="F588" s="15"/>
      <c r="G588" s="21"/>
      <c r="H588" s="1"/>
      <c r="I588" s="1"/>
      <c r="J588" s="1"/>
    </row>
    <row r="589" customFormat="false" ht="21.75" hidden="false" customHeight="true" outlineLevel="0" collapsed="false">
      <c r="A589" s="1"/>
      <c r="B589" s="20"/>
      <c r="C589" s="15"/>
      <c r="D589" s="11" t="str">
        <f aca="false">IF(C589="","",IFERROR(INDEX(Players!$C$5:$C$304,MATCH(C589,Players!$B$5:$B$304,0)),"UID not in Players sheet"))</f>
        <v/>
      </c>
      <c r="E589" s="12"/>
      <c r="F589" s="15"/>
      <c r="G589" s="21"/>
      <c r="H589" s="1"/>
      <c r="I589" s="1"/>
      <c r="J589" s="1"/>
    </row>
    <row r="590" customFormat="false" ht="21.75" hidden="false" customHeight="true" outlineLevel="0" collapsed="false">
      <c r="A590" s="1"/>
      <c r="B590" s="20"/>
      <c r="C590" s="15"/>
      <c r="D590" s="11" t="str">
        <f aca="false">IF(C590="","",IFERROR(INDEX(Players!$C$5:$C$304,MATCH(C590,Players!$B$5:$B$304,0)),"UID not in Players sheet"))</f>
        <v/>
      </c>
      <c r="E590" s="12"/>
      <c r="F590" s="15"/>
      <c r="G590" s="21"/>
      <c r="H590" s="1"/>
      <c r="I590" s="1"/>
      <c r="J590" s="1"/>
    </row>
    <row r="591" customFormat="false" ht="21.75" hidden="false" customHeight="true" outlineLevel="0" collapsed="false">
      <c r="A591" s="1"/>
      <c r="B591" s="20"/>
      <c r="C591" s="15"/>
      <c r="D591" s="11" t="str">
        <f aca="false">IF(C591="","",IFERROR(INDEX(Players!$C$5:$C$304,MATCH(C591,Players!$B$5:$B$304,0)),"UID not in Players sheet"))</f>
        <v/>
      </c>
      <c r="E591" s="12"/>
      <c r="F591" s="15"/>
      <c r="G591" s="21"/>
      <c r="H591" s="1"/>
      <c r="I591" s="1"/>
      <c r="J591" s="1"/>
    </row>
    <row r="592" customFormat="false" ht="21.75" hidden="false" customHeight="true" outlineLevel="0" collapsed="false">
      <c r="A592" s="1"/>
      <c r="B592" s="20"/>
      <c r="C592" s="15"/>
      <c r="D592" s="11" t="str">
        <f aca="false">IF(C592="","",IFERROR(INDEX(Players!$C$5:$C$304,MATCH(C592,Players!$B$5:$B$304,0)),"UID not in Players sheet"))</f>
        <v/>
      </c>
      <c r="E592" s="12"/>
      <c r="F592" s="15"/>
      <c r="G592" s="21"/>
      <c r="H592" s="1"/>
      <c r="I592" s="1"/>
      <c r="J592" s="1"/>
    </row>
    <row r="593" customFormat="false" ht="21.75" hidden="false" customHeight="true" outlineLevel="0" collapsed="false">
      <c r="A593" s="1"/>
      <c r="B593" s="20"/>
      <c r="C593" s="15"/>
      <c r="D593" s="11" t="str">
        <f aca="false">IF(C593="","",IFERROR(INDEX(Players!$C$5:$C$304,MATCH(C593,Players!$B$5:$B$304,0)),"UID not in Players sheet"))</f>
        <v/>
      </c>
      <c r="E593" s="12"/>
      <c r="F593" s="15"/>
      <c r="G593" s="21"/>
      <c r="H593" s="1"/>
      <c r="I593" s="1"/>
      <c r="J593" s="1"/>
    </row>
    <row r="594" customFormat="false" ht="21.75" hidden="false" customHeight="true" outlineLevel="0" collapsed="false">
      <c r="A594" s="1"/>
      <c r="B594" s="20"/>
      <c r="C594" s="15"/>
      <c r="D594" s="11" t="str">
        <f aca="false">IF(C594="","",IFERROR(INDEX(Players!$C$5:$C$304,MATCH(C594,Players!$B$5:$B$304,0)),"UID not in Players sheet"))</f>
        <v/>
      </c>
      <c r="E594" s="12"/>
      <c r="F594" s="15"/>
      <c r="G594" s="21"/>
      <c r="H594" s="1"/>
      <c r="I594" s="1"/>
      <c r="J594" s="1"/>
    </row>
    <row r="595" customFormat="false" ht="21.75" hidden="false" customHeight="true" outlineLevel="0" collapsed="false">
      <c r="A595" s="1"/>
      <c r="B595" s="20"/>
      <c r="C595" s="15"/>
      <c r="D595" s="11" t="str">
        <f aca="false">IF(C595="","",IFERROR(INDEX(Players!$C$5:$C$304,MATCH(C595,Players!$B$5:$B$304,0)),"UID not in Players sheet"))</f>
        <v/>
      </c>
      <c r="E595" s="12"/>
      <c r="F595" s="15"/>
      <c r="G595" s="21"/>
      <c r="H595" s="1"/>
      <c r="I595" s="1"/>
      <c r="J595" s="1"/>
    </row>
    <row r="596" customFormat="false" ht="21.75" hidden="false" customHeight="true" outlineLevel="0" collapsed="false">
      <c r="A596" s="1"/>
      <c r="B596" s="20"/>
      <c r="C596" s="15"/>
      <c r="D596" s="11" t="str">
        <f aca="false">IF(C596="","",IFERROR(INDEX(Players!$C$5:$C$304,MATCH(C596,Players!$B$5:$B$304,0)),"UID not in Players sheet"))</f>
        <v/>
      </c>
      <c r="E596" s="12"/>
      <c r="F596" s="15"/>
      <c r="G596" s="21"/>
      <c r="H596" s="1"/>
      <c r="I596" s="1"/>
      <c r="J596" s="1"/>
    </row>
    <row r="597" customFormat="false" ht="21.75" hidden="false" customHeight="true" outlineLevel="0" collapsed="false">
      <c r="A597" s="1"/>
      <c r="B597" s="20"/>
      <c r="C597" s="15"/>
      <c r="D597" s="11" t="str">
        <f aca="false">IF(C597="","",IFERROR(INDEX(Players!$C$5:$C$304,MATCH(C597,Players!$B$5:$B$304,0)),"UID not in Players sheet"))</f>
        <v/>
      </c>
      <c r="E597" s="12"/>
      <c r="F597" s="15"/>
      <c r="G597" s="21"/>
      <c r="H597" s="1"/>
      <c r="I597" s="1"/>
      <c r="J597" s="1"/>
    </row>
    <row r="598" customFormat="false" ht="21.75" hidden="false" customHeight="true" outlineLevel="0" collapsed="false">
      <c r="A598" s="1"/>
      <c r="B598" s="20"/>
      <c r="C598" s="15"/>
      <c r="D598" s="11" t="str">
        <f aca="false">IF(C598="","",IFERROR(INDEX(Players!$C$5:$C$304,MATCH(C598,Players!$B$5:$B$304,0)),"UID not in Players sheet"))</f>
        <v/>
      </c>
      <c r="E598" s="12"/>
      <c r="F598" s="15"/>
      <c r="G598" s="21"/>
      <c r="H598" s="1"/>
      <c r="I598" s="1"/>
      <c r="J598" s="1"/>
    </row>
    <row r="599" customFormat="false" ht="21.75" hidden="false" customHeight="true" outlineLevel="0" collapsed="false">
      <c r="A599" s="1"/>
      <c r="B599" s="20"/>
      <c r="C599" s="15"/>
      <c r="D599" s="11" t="str">
        <f aca="false">IF(C599="","",IFERROR(INDEX(Players!$C$5:$C$304,MATCH(C599,Players!$B$5:$B$304,0)),"UID not in Players sheet"))</f>
        <v/>
      </c>
      <c r="E599" s="12"/>
      <c r="F599" s="15"/>
      <c r="G599" s="21"/>
      <c r="H599" s="1"/>
      <c r="I599" s="1"/>
      <c r="J599" s="1"/>
    </row>
    <row r="600" customFormat="false" ht="21.75" hidden="false" customHeight="true" outlineLevel="0" collapsed="false">
      <c r="A600" s="1"/>
      <c r="B600" s="20"/>
      <c r="C600" s="15"/>
      <c r="D600" s="11" t="str">
        <f aca="false">IF(C600="","",IFERROR(INDEX(Players!$C$5:$C$304,MATCH(C600,Players!$B$5:$B$304,0)),"UID not in Players sheet"))</f>
        <v/>
      </c>
      <c r="E600" s="12"/>
      <c r="F600" s="15"/>
      <c r="G600" s="21"/>
      <c r="H600" s="1"/>
      <c r="I600" s="1"/>
      <c r="J600" s="1"/>
    </row>
    <row r="601" customFormat="false" ht="21.75" hidden="false" customHeight="true" outlineLevel="0" collapsed="false">
      <c r="A601" s="1"/>
      <c r="B601" s="20"/>
      <c r="C601" s="15"/>
      <c r="D601" s="11" t="str">
        <f aca="false">IF(C601="","",IFERROR(INDEX(Players!$C$5:$C$304,MATCH(C601,Players!$B$5:$B$304,0)),"UID not in Players sheet"))</f>
        <v/>
      </c>
      <c r="E601" s="12"/>
      <c r="F601" s="15"/>
      <c r="G601" s="21"/>
      <c r="H601" s="1"/>
      <c r="I601" s="1"/>
      <c r="J601" s="1"/>
    </row>
    <row r="602" customFormat="false" ht="21.75" hidden="false" customHeight="true" outlineLevel="0" collapsed="false">
      <c r="A602" s="1"/>
      <c r="B602" s="20"/>
      <c r="C602" s="15"/>
      <c r="D602" s="11" t="str">
        <f aca="false">IF(C602="","",IFERROR(INDEX(Players!$C$5:$C$304,MATCH(C602,Players!$B$5:$B$304,0)),"UID not in Players sheet"))</f>
        <v/>
      </c>
      <c r="E602" s="12"/>
      <c r="F602" s="15"/>
      <c r="G602" s="21"/>
      <c r="H602" s="1"/>
      <c r="I602" s="1"/>
      <c r="J602" s="1"/>
    </row>
    <row r="603" customFormat="false" ht="21.75" hidden="false" customHeight="true" outlineLevel="0" collapsed="false">
      <c r="A603" s="1"/>
      <c r="B603" s="20"/>
      <c r="C603" s="15"/>
      <c r="D603" s="11" t="str">
        <f aca="false">IF(C603="","",IFERROR(INDEX(Players!$C$5:$C$304,MATCH(C603,Players!$B$5:$B$304,0)),"UID not in Players sheet"))</f>
        <v/>
      </c>
      <c r="E603" s="12"/>
      <c r="F603" s="15"/>
      <c r="G603" s="21"/>
      <c r="H603" s="1"/>
      <c r="I603" s="1"/>
      <c r="J603" s="1"/>
    </row>
    <row r="604" customFormat="false" ht="21.75" hidden="false" customHeight="true" outlineLevel="0" collapsed="false">
      <c r="A604" s="1"/>
      <c r="B604" s="20"/>
      <c r="C604" s="15"/>
      <c r="D604" s="11" t="str">
        <f aca="false">IF(C604="","",IFERROR(INDEX(Players!$C$5:$C$304,MATCH(C604,Players!$B$5:$B$304,0)),"UID not in Players sheet"))</f>
        <v/>
      </c>
      <c r="E604" s="12"/>
      <c r="F604" s="15"/>
      <c r="G604" s="21"/>
      <c r="H604" s="1"/>
      <c r="I604" s="1"/>
      <c r="J604" s="1"/>
    </row>
    <row r="605" customFormat="false" ht="21.75" hidden="false" customHeight="true" outlineLevel="0" collapsed="false">
      <c r="A605" s="1"/>
      <c r="B605" s="20"/>
      <c r="C605" s="15"/>
      <c r="D605" s="11" t="str">
        <f aca="false">IF(C605="","",IFERROR(INDEX(Players!$C$5:$C$304,MATCH(C605,Players!$B$5:$B$304,0)),"UID not in Players sheet"))</f>
        <v/>
      </c>
      <c r="E605" s="12"/>
      <c r="F605" s="15"/>
      <c r="G605" s="21"/>
      <c r="H605" s="1"/>
      <c r="I605" s="1"/>
      <c r="J605" s="1"/>
    </row>
    <row r="606" customFormat="false" ht="21.75" hidden="false" customHeight="true" outlineLevel="0" collapsed="false">
      <c r="A606" s="1"/>
      <c r="B606" s="20"/>
      <c r="C606" s="15"/>
      <c r="D606" s="11" t="str">
        <f aca="false">IF(C606="","",IFERROR(INDEX(Players!$C$5:$C$304,MATCH(C606,Players!$B$5:$B$304,0)),"UID not in Players sheet"))</f>
        <v/>
      </c>
      <c r="E606" s="12"/>
      <c r="F606" s="15"/>
      <c r="G606" s="21"/>
      <c r="H606" s="1"/>
      <c r="I606" s="1"/>
      <c r="J606" s="1"/>
    </row>
    <row r="607" customFormat="false" ht="21.75" hidden="false" customHeight="true" outlineLevel="0" collapsed="false">
      <c r="A607" s="1"/>
      <c r="B607" s="20"/>
      <c r="C607" s="15"/>
      <c r="D607" s="11" t="str">
        <f aca="false">IF(C607="","",IFERROR(INDEX(Players!$C$5:$C$304,MATCH(C607,Players!$B$5:$B$304,0)),"UID not in Players sheet"))</f>
        <v/>
      </c>
      <c r="E607" s="12"/>
      <c r="F607" s="15"/>
      <c r="G607" s="21"/>
      <c r="H607" s="1"/>
      <c r="I607" s="1"/>
      <c r="J607" s="1"/>
    </row>
    <row r="608" customFormat="false" ht="21.75" hidden="false" customHeight="true" outlineLevel="0" collapsed="false">
      <c r="A608" s="1"/>
      <c r="B608" s="20"/>
      <c r="C608" s="15"/>
      <c r="D608" s="11" t="str">
        <f aca="false">IF(C608="","",IFERROR(INDEX(Players!$C$5:$C$304,MATCH(C608,Players!$B$5:$B$304,0)),"UID not in Players sheet"))</f>
        <v/>
      </c>
      <c r="E608" s="12"/>
      <c r="F608" s="15"/>
      <c r="G608" s="21"/>
      <c r="H608" s="1"/>
      <c r="I608" s="1"/>
      <c r="J608" s="1"/>
    </row>
    <row r="609" customFormat="false" ht="21.75" hidden="false" customHeight="true" outlineLevel="0" collapsed="false">
      <c r="A609" s="1"/>
      <c r="B609" s="20"/>
      <c r="C609" s="15"/>
      <c r="D609" s="11" t="str">
        <f aca="false">IF(C609="","",IFERROR(INDEX(Players!$C$5:$C$304,MATCH(C609,Players!$B$5:$B$304,0)),"UID not in Players sheet"))</f>
        <v/>
      </c>
      <c r="E609" s="12"/>
      <c r="F609" s="15"/>
      <c r="G609" s="21"/>
      <c r="H609" s="1"/>
      <c r="I609" s="1"/>
      <c r="J609" s="1"/>
    </row>
    <row r="610" customFormat="false" ht="21.75" hidden="false" customHeight="true" outlineLevel="0" collapsed="false">
      <c r="A610" s="1"/>
      <c r="B610" s="20"/>
      <c r="C610" s="15"/>
      <c r="D610" s="11" t="str">
        <f aca="false">IF(C610="","",IFERROR(INDEX(Players!$C$5:$C$304,MATCH(C610,Players!$B$5:$B$304,0)),"UID not in Players sheet"))</f>
        <v/>
      </c>
      <c r="E610" s="12"/>
      <c r="F610" s="15"/>
      <c r="G610" s="21"/>
      <c r="H610" s="1"/>
      <c r="I610" s="1"/>
      <c r="J610" s="1"/>
    </row>
    <row r="611" customFormat="false" ht="21.75" hidden="false" customHeight="true" outlineLevel="0" collapsed="false">
      <c r="A611" s="1"/>
      <c r="B611" s="20"/>
      <c r="C611" s="15"/>
      <c r="D611" s="11" t="str">
        <f aca="false">IF(C611="","",IFERROR(INDEX(Players!$C$5:$C$304,MATCH(C611,Players!$B$5:$B$304,0)),"UID not in Players sheet"))</f>
        <v/>
      </c>
      <c r="E611" s="12"/>
      <c r="F611" s="15"/>
      <c r="G611" s="21"/>
      <c r="H611" s="1"/>
      <c r="I611" s="1"/>
      <c r="J611" s="1"/>
    </row>
    <row r="612" customFormat="false" ht="21.75" hidden="false" customHeight="true" outlineLevel="0" collapsed="false">
      <c r="A612" s="1"/>
      <c r="B612" s="20"/>
      <c r="C612" s="15"/>
      <c r="D612" s="11" t="str">
        <f aca="false">IF(C612="","",IFERROR(INDEX(Players!$C$5:$C$304,MATCH(C612,Players!$B$5:$B$304,0)),"UID not in Players sheet"))</f>
        <v/>
      </c>
      <c r="E612" s="12"/>
      <c r="F612" s="15"/>
      <c r="G612" s="21"/>
      <c r="H612" s="1"/>
      <c r="I612" s="1"/>
      <c r="J612" s="1"/>
    </row>
    <row r="613" customFormat="false" ht="21.75" hidden="false" customHeight="true" outlineLevel="0" collapsed="false">
      <c r="A613" s="1"/>
      <c r="B613" s="20"/>
      <c r="C613" s="15"/>
      <c r="D613" s="11" t="str">
        <f aca="false">IF(C613="","",IFERROR(INDEX(Players!$C$5:$C$304,MATCH(C613,Players!$B$5:$B$304,0)),"UID not in Players sheet"))</f>
        <v/>
      </c>
      <c r="E613" s="12"/>
      <c r="F613" s="15"/>
      <c r="G613" s="21"/>
      <c r="H613" s="1"/>
      <c r="I613" s="1"/>
      <c r="J613" s="1"/>
    </row>
    <row r="614" customFormat="false" ht="21.75" hidden="false" customHeight="true" outlineLevel="0" collapsed="false">
      <c r="A614" s="1"/>
      <c r="B614" s="20"/>
      <c r="C614" s="15"/>
      <c r="D614" s="11" t="str">
        <f aca="false">IF(C614="","",IFERROR(INDEX(Players!$C$5:$C$304,MATCH(C614,Players!$B$5:$B$304,0)),"UID not in Players sheet"))</f>
        <v/>
      </c>
      <c r="E614" s="12"/>
      <c r="F614" s="15"/>
      <c r="G614" s="21"/>
      <c r="H614" s="1"/>
      <c r="I614" s="1"/>
      <c r="J614" s="1"/>
    </row>
    <row r="615" customFormat="false" ht="21.75" hidden="false" customHeight="true" outlineLevel="0" collapsed="false">
      <c r="A615" s="1"/>
      <c r="B615" s="20"/>
      <c r="C615" s="15"/>
      <c r="D615" s="11" t="str">
        <f aca="false">IF(C615="","",IFERROR(INDEX(Players!$C$5:$C$304,MATCH(C615,Players!$B$5:$B$304,0)),"UID not in Players sheet"))</f>
        <v/>
      </c>
      <c r="E615" s="12"/>
      <c r="F615" s="15"/>
      <c r="G615" s="21"/>
      <c r="H615" s="1"/>
      <c r="I615" s="1"/>
      <c r="J615" s="1"/>
    </row>
    <row r="616" customFormat="false" ht="21.75" hidden="false" customHeight="true" outlineLevel="0" collapsed="false">
      <c r="A616" s="1"/>
      <c r="B616" s="20"/>
      <c r="C616" s="15"/>
      <c r="D616" s="11" t="str">
        <f aca="false">IF(C616="","",IFERROR(INDEX(Players!$C$5:$C$304,MATCH(C616,Players!$B$5:$B$304,0)),"UID not in Players sheet"))</f>
        <v/>
      </c>
      <c r="E616" s="12"/>
      <c r="F616" s="15"/>
      <c r="G616" s="21"/>
      <c r="H616" s="1"/>
      <c r="I616" s="1"/>
      <c r="J616" s="1"/>
    </row>
    <row r="617" customFormat="false" ht="21.75" hidden="false" customHeight="true" outlineLevel="0" collapsed="false">
      <c r="A617" s="1"/>
      <c r="B617" s="20"/>
      <c r="C617" s="15"/>
      <c r="D617" s="11" t="str">
        <f aca="false">IF(C617="","",IFERROR(INDEX(Players!$C$5:$C$304,MATCH(C617,Players!$B$5:$B$304,0)),"UID not in Players sheet"))</f>
        <v/>
      </c>
      <c r="E617" s="12"/>
      <c r="F617" s="15"/>
      <c r="G617" s="21"/>
      <c r="H617" s="1"/>
      <c r="I617" s="1"/>
      <c r="J617" s="1"/>
    </row>
    <row r="618" customFormat="false" ht="21.75" hidden="false" customHeight="true" outlineLevel="0" collapsed="false">
      <c r="A618" s="1"/>
      <c r="B618" s="20"/>
      <c r="C618" s="15"/>
      <c r="D618" s="11" t="str">
        <f aca="false">IF(C618="","",IFERROR(INDEX(Players!$C$5:$C$304,MATCH(C618,Players!$B$5:$B$304,0)),"UID not in Players sheet"))</f>
        <v/>
      </c>
      <c r="E618" s="12"/>
      <c r="F618" s="15"/>
      <c r="G618" s="21"/>
      <c r="H618" s="1"/>
      <c r="I618" s="1"/>
      <c r="J618" s="1"/>
    </row>
    <row r="619" customFormat="false" ht="21.75" hidden="false" customHeight="true" outlineLevel="0" collapsed="false">
      <c r="A619" s="1"/>
      <c r="B619" s="20"/>
      <c r="C619" s="15"/>
      <c r="D619" s="11" t="str">
        <f aca="false">IF(C619="","",IFERROR(INDEX(Players!$C$5:$C$304,MATCH(C619,Players!$B$5:$B$304,0)),"UID not in Players sheet"))</f>
        <v/>
      </c>
      <c r="E619" s="12"/>
      <c r="F619" s="15"/>
      <c r="G619" s="21"/>
      <c r="H619" s="1"/>
      <c r="I619" s="1"/>
      <c r="J619" s="1"/>
    </row>
    <row r="620" customFormat="false" ht="21.75" hidden="false" customHeight="true" outlineLevel="0" collapsed="false">
      <c r="A620" s="1"/>
      <c r="B620" s="20"/>
      <c r="C620" s="15"/>
      <c r="D620" s="11" t="str">
        <f aca="false">IF(C620="","",IFERROR(INDEX(Players!$C$5:$C$304,MATCH(C620,Players!$B$5:$B$304,0)),"UID not in Players sheet"))</f>
        <v/>
      </c>
      <c r="E620" s="12"/>
      <c r="F620" s="15"/>
      <c r="G620" s="21"/>
      <c r="H620" s="1"/>
      <c r="I620" s="1"/>
      <c r="J620" s="1"/>
    </row>
    <row r="621" customFormat="false" ht="21.75" hidden="false" customHeight="true" outlineLevel="0" collapsed="false">
      <c r="A621" s="1"/>
      <c r="B621" s="20"/>
      <c r="C621" s="15"/>
      <c r="D621" s="11" t="str">
        <f aca="false">IF(C621="","",IFERROR(INDEX(Players!$C$5:$C$304,MATCH(C621,Players!$B$5:$B$304,0)),"UID not in Players sheet"))</f>
        <v/>
      </c>
      <c r="E621" s="12"/>
      <c r="F621" s="15"/>
      <c r="G621" s="21"/>
      <c r="H621" s="1"/>
      <c r="I621" s="1"/>
      <c r="J621" s="1"/>
    </row>
    <row r="622" customFormat="false" ht="21.75" hidden="false" customHeight="true" outlineLevel="0" collapsed="false">
      <c r="A622" s="1"/>
      <c r="B622" s="20"/>
      <c r="C622" s="15"/>
      <c r="D622" s="11" t="str">
        <f aca="false">IF(C622="","",IFERROR(INDEX(Players!$C$5:$C$304,MATCH(C622,Players!$B$5:$B$304,0)),"UID not in Players sheet"))</f>
        <v/>
      </c>
      <c r="E622" s="12"/>
      <c r="F622" s="15"/>
      <c r="G622" s="21"/>
      <c r="H622" s="1"/>
      <c r="I622" s="1"/>
      <c r="J622" s="1"/>
    </row>
    <row r="623" customFormat="false" ht="21.75" hidden="false" customHeight="true" outlineLevel="0" collapsed="false">
      <c r="A623" s="1"/>
      <c r="B623" s="20"/>
      <c r="C623" s="15"/>
      <c r="D623" s="11" t="str">
        <f aca="false">IF(C623="","",IFERROR(INDEX(Players!$C$5:$C$304,MATCH(C623,Players!$B$5:$B$304,0)),"UID not in Players sheet"))</f>
        <v/>
      </c>
      <c r="E623" s="12"/>
      <c r="F623" s="15"/>
      <c r="G623" s="21"/>
      <c r="H623" s="1"/>
      <c r="I623" s="1"/>
      <c r="J623" s="1"/>
    </row>
    <row r="624" customFormat="false" ht="21.75" hidden="false" customHeight="true" outlineLevel="0" collapsed="false">
      <c r="A624" s="1"/>
      <c r="B624" s="20"/>
      <c r="C624" s="15"/>
      <c r="D624" s="11" t="str">
        <f aca="false">IF(C624="","",IFERROR(INDEX(Players!$C$5:$C$304,MATCH(C624,Players!$B$5:$B$304,0)),"UID not in Players sheet"))</f>
        <v/>
      </c>
      <c r="E624" s="12"/>
      <c r="F624" s="15"/>
      <c r="G624" s="21"/>
      <c r="H624" s="1"/>
      <c r="I624" s="1"/>
      <c r="J624" s="1"/>
    </row>
    <row r="625" customFormat="false" ht="21.75" hidden="false" customHeight="true" outlineLevel="0" collapsed="false">
      <c r="A625" s="1"/>
      <c r="B625" s="20"/>
      <c r="C625" s="15"/>
      <c r="D625" s="11" t="str">
        <f aca="false">IF(C625="","",IFERROR(INDEX(Players!$C$5:$C$304,MATCH(C625,Players!$B$5:$B$304,0)),"UID not in Players sheet"))</f>
        <v/>
      </c>
      <c r="E625" s="12"/>
      <c r="F625" s="15"/>
      <c r="G625" s="21"/>
      <c r="H625" s="1"/>
      <c r="I625" s="1"/>
      <c r="J625" s="1"/>
    </row>
    <row r="626" customFormat="false" ht="21.75" hidden="false" customHeight="true" outlineLevel="0" collapsed="false">
      <c r="A626" s="1"/>
      <c r="B626" s="20"/>
      <c r="C626" s="15"/>
      <c r="D626" s="11" t="str">
        <f aca="false">IF(C626="","",IFERROR(INDEX(Players!$C$5:$C$304,MATCH(C626,Players!$B$5:$B$304,0)),"UID not in Players sheet"))</f>
        <v/>
      </c>
      <c r="E626" s="12"/>
      <c r="F626" s="15"/>
      <c r="G626" s="21"/>
      <c r="H626" s="1"/>
      <c r="I626" s="1"/>
      <c r="J626" s="1"/>
    </row>
    <row r="627" customFormat="false" ht="21.75" hidden="false" customHeight="true" outlineLevel="0" collapsed="false">
      <c r="A627" s="1"/>
      <c r="B627" s="20"/>
      <c r="C627" s="15"/>
      <c r="D627" s="11" t="str">
        <f aca="false">IF(C627="","",IFERROR(INDEX(Players!$C$5:$C$304,MATCH(C627,Players!$B$5:$B$304,0)),"UID not in Players sheet"))</f>
        <v/>
      </c>
      <c r="E627" s="12"/>
      <c r="F627" s="15"/>
      <c r="G627" s="21"/>
      <c r="H627" s="1"/>
      <c r="I627" s="1"/>
      <c r="J627" s="1"/>
    </row>
    <row r="628" customFormat="false" ht="21.75" hidden="false" customHeight="true" outlineLevel="0" collapsed="false">
      <c r="A628" s="1"/>
      <c r="B628" s="20"/>
      <c r="C628" s="15"/>
      <c r="D628" s="11" t="str">
        <f aca="false">IF(C628="","",IFERROR(INDEX(Players!$C$5:$C$304,MATCH(C628,Players!$B$5:$B$304,0)),"UID not in Players sheet"))</f>
        <v/>
      </c>
      <c r="E628" s="12"/>
      <c r="F628" s="15"/>
      <c r="G628" s="21"/>
      <c r="H628" s="1"/>
      <c r="I628" s="1"/>
      <c r="J628" s="1"/>
    </row>
    <row r="629" customFormat="false" ht="21.75" hidden="false" customHeight="true" outlineLevel="0" collapsed="false">
      <c r="A629" s="1"/>
      <c r="B629" s="20"/>
      <c r="C629" s="15"/>
      <c r="D629" s="11" t="str">
        <f aca="false">IF(C629="","",IFERROR(INDEX(Players!$C$5:$C$304,MATCH(C629,Players!$B$5:$B$304,0)),"UID not in Players sheet"))</f>
        <v/>
      </c>
      <c r="E629" s="12"/>
      <c r="F629" s="15"/>
      <c r="G629" s="21"/>
      <c r="H629" s="1"/>
      <c r="I629" s="1"/>
      <c r="J629" s="1"/>
    </row>
    <row r="630" customFormat="false" ht="21.75" hidden="false" customHeight="true" outlineLevel="0" collapsed="false">
      <c r="A630" s="1"/>
      <c r="B630" s="20"/>
      <c r="C630" s="15"/>
      <c r="D630" s="11" t="str">
        <f aca="false">IF(C630="","",IFERROR(INDEX(Players!$C$5:$C$304,MATCH(C630,Players!$B$5:$B$304,0)),"UID not in Players sheet"))</f>
        <v/>
      </c>
      <c r="E630" s="12"/>
      <c r="F630" s="15"/>
      <c r="G630" s="21"/>
      <c r="H630" s="1"/>
      <c r="I630" s="1"/>
      <c r="J630" s="1"/>
    </row>
    <row r="631" customFormat="false" ht="21.75" hidden="false" customHeight="true" outlineLevel="0" collapsed="false">
      <c r="A631" s="1"/>
      <c r="B631" s="20"/>
      <c r="C631" s="15"/>
      <c r="D631" s="11" t="str">
        <f aca="false">IF(C631="","",IFERROR(INDEX(Players!$C$5:$C$304,MATCH(C631,Players!$B$5:$B$304,0)),"UID not in Players sheet"))</f>
        <v/>
      </c>
      <c r="E631" s="12"/>
      <c r="F631" s="15"/>
      <c r="G631" s="21"/>
      <c r="H631" s="1"/>
      <c r="I631" s="1"/>
      <c r="J631" s="1"/>
    </row>
    <row r="632" customFormat="false" ht="21.75" hidden="false" customHeight="true" outlineLevel="0" collapsed="false">
      <c r="A632" s="1"/>
      <c r="B632" s="20"/>
      <c r="C632" s="15"/>
      <c r="D632" s="11" t="str">
        <f aca="false">IF(C632="","",IFERROR(INDEX(Players!$C$5:$C$304,MATCH(C632,Players!$B$5:$B$304,0)),"UID not in Players sheet"))</f>
        <v/>
      </c>
      <c r="E632" s="12"/>
      <c r="F632" s="15"/>
      <c r="G632" s="21"/>
      <c r="H632" s="1"/>
      <c r="I632" s="1"/>
      <c r="J632" s="1"/>
    </row>
    <row r="633" customFormat="false" ht="21.75" hidden="false" customHeight="true" outlineLevel="0" collapsed="false">
      <c r="A633" s="1"/>
      <c r="B633" s="20"/>
      <c r="C633" s="15"/>
      <c r="D633" s="11" t="str">
        <f aca="false">IF(C633="","",IFERROR(INDEX(Players!$C$5:$C$304,MATCH(C633,Players!$B$5:$B$304,0)),"UID not in Players sheet"))</f>
        <v/>
      </c>
      <c r="E633" s="12"/>
      <c r="F633" s="15"/>
      <c r="G633" s="21"/>
      <c r="H633" s="1"/>
      <c r="I633" s="1"/>
      <c r="J633" s="1"/>
    </row>
    <row r="634" customFormat="false" ht="21.75" hidden="false" customHeight="true" outlineLevel="0" collapsed="false">
      <c r="A634" s="1"/>
      <c r="B634" s="20"/>
      <c r="C634" s="15"/>
      <c r="D634" s="11" t="str">
        <f aca="false">IF(C634="","",IFERROR(INDEX(Players!$C$5:$C$304,MATCH(C634,Players!$B$5:$B$304,0)),"UID not in Players sheet"))</f>
        <v/>
      </c>
      <c r="E634" s="12"/>
      <c r="F634" s="15"/>
      <c r="G634" s="21"/>
      <c r="H634" s="1"/>
      <c r="I634" s="1"/>
      <c r="J634" s="1"/>
    </row>
    <row r="635" customFormat="false" ht="21.75" hidden="false" customHeight="true" outlineLevel="0" collapsed="false">
      <c r="A635" s="1"/>
      <c r="B635" s="20"/>
      <c r="C635" s="15"/>
      <c r="D635" s="11" t="str">
        <f aca="false">IF(C635="","",IFERROR(INDEX(Players!$C$5:$C$304,MATCH(C635,Players!$B$5:$B$304,0)),"UID not in Players sheet"))</f>
        <v/>
      </c>
      <c r="E635" s="12"/>
      <c r="F635" s="15"/>
      <c r="G635" s="21"/>
      <c r="H635" s="1"/>
      <c r="I635" s="1"/>
      <c r="J635" s="1"/>
    </row>
    <row r="636" customFormat="false" ht="21.75" hidden="false" customHeight="true" outlineLevel="0" collapsed="false">
      <c r="A636" s="1"/>
      <c r="B636" s="20"/>
      <c r="C636" s="15"/>
      <c r="D636" s="11" t="str">
        <f aca="false">IF(C636="","",IFERROR(INDEX(Players!$C$5:$C$304,MATCH(C636,Players!$B$5:$B$304,0)),"UID not in Players sheet"))</f>
        <v/>
      </c>
      <c r="E636" s="12"/>
      <c r="F636" s="15"/>
      <c r="G636" s="21"/>
      <c r="H636" s="1"/>
      <c r="I636" s="1"/>
      <c r="J636" s="1"/>
    </row>
    <row r="637" customFormat="false" ht="21.75" hidden="false" customHeight="true" outlineLevel="0" collapsed="false">
      <c r="A637" s="1"/>
      <c r="B637" s="20"/>
      <c r="C637" s="15"/>
      <c r="D637" s="11" t="str">
        <f aca="false">IF(C637="","",IFERROR(INDEX(Players!$C$5:$C$304,MATCH(C637,Players!$B$5:$B$304,0)),"UID not in Players sheet"))</f>
        <v/>
      </c>
      <c r="E637" s="12"/>
      <c r="F637" s="15"/>
      <c r="G637" s="21"/>
      <c r="H637" s="1"/>
      <c r="I637" s="1"/>
      <c r="J637" s="1"/>
    </row>
    <row r="638" customFormat="false" ht="21.75" hidden="false" customHeight="true" outlineLevel="0" collapsed="false">
      <c r="A638" s="1"/>
      <c r="B638" s="20"/>
      <c r="C638" s="15"/>
      <c r="D638" s="11" t="str">
        <f aca="false">IF(C638="","",IFERROR(INDEX(Players!$C$5:$C$304,MATCH(C638,Players!$B$5:$B$304,0)),"UID not in Players sheet"))</f>
        <v/>
      </c>
      <c r="E638" s="12"/>
      <c r="F638" s="15"/>
      <c r="G638" s="21"/>
      <c r="H638" s="1"/>
      <c r="I638" s="1"/>
      <c r="J638" s="1"/>
    </row>
    <row r="639" customFormat="false" ht="21.75" hidden="false" customHeight="true" outlineLevel="0" collapsed="false">
      <c r="A639" s="1"/>
      <c r="B639" s="20"/>
      <c r="C639" s="15"/>
      <c r="D639" s="11" t="str">
        <f aca="false">IF(C639="","",IFERROR(INDEX(Players!$C$5:$C$304,MATCH(C639,Players!$B$5:$B$304,0)),"UID not in Players sheet"))</f>
        <v/>
      </c>
      <c r="E639" s="12"/>
      <c r="F639" s="15"/>
      <c r="G639" s="21"/>
      <c r="H639" s="1"/>
      <c r="I639" s="1"/>
      <c r="J639" s="1"/>
    </row>
    <row r="640" customFormat="false" ht="21.75" hidden="false" customHeight="true" outlineLevel="0" collapsed="false">
      <c r="A640" s="1"/>
      <c r="B640" s="20"/>
      <c r="C640" s="15"/>
      <c r="D640" s="11" t="str">
        <f aca="false">IF(C640="","",IFERROR(INDEX(Players!$C$5:$C$304,MATCH(C640,Players!$B$5:$B$304,0)),"UID not in Players sheet"))</f>
        <v/>
      </c>
      <c r="E640" s="12"/>
      <c r="F640" s="15"/>
      <c r="G640" s="21"/>
      <c r="H640" s="1"/>
      <c r="I640" s="1"/>
      <c r="J640" s="1"/>
    </row>
    <row r="641" customFormat="false" ht="21.75" hidden="false" customHeight="true" outlineLevel="0" collapsed="false">
      <c r="A641" s="1"/>
      <c r="B641" s="20"/>
      <c r="C641" s="15"/>
      <c r="D641" s="11" t="str">
        <f aca="false">IF(C641="","",IFERROR(INDEX(Players!$C$5:$C$304,MATCH(C641,Players!$B$5:$B$304,0)),"UID not in Players sheet"))</f>
        <v/>
      </c>
      <c r="E641" s="12"/>
      <c r="F641" s="15"/>
      <c r="G641" s="21"/>
      <c r="H641" s="1"/>
      <c r="I641" s="1"/>
      <c r="J641" s="1"/>
    </row>
    <row r="642" customFormat="false" ht="21.75" hidden="false" customHeight="true" outlineLevel="0" collapsed="false">
      <c r="A642" s="1"/>
      <c r="B642" s="20"/>
      <c r="C642" s="15"/>
      <c r="D642" s="11" t="str">
        <f aca="false">IF(C642="","",IFERROR(INDEX(Players!$C$5:$C$304,MATCH(C642,Players!$B$5:$B$304,0)),"UID not in Players sheet"))</f>
        <v/>
      </c>
      <c r="E642" s="12"/>
      <c r="F642" s="15"/>
      <c r="G642" s="21"/>
      <c r="H642" s="1"/>
      <c r="I642" s="1"/>
      <c r="J642" s="1"/>
    </row>
    <row r="643" customFormat="false" ht="21.75" hidden="false" customHeight="true" outlineLevel="0" collapsed="false">
      <c r="A643" s="1"/>
      <c r="B643" s="20"/>
      <c r="C643" s="15"/>
      <c r="D643" s="11" t="str">
        <f aca="false">IF(C643="","",IFERROR(INDEX(Players!$C$5:$C$304,MATCH(C643,Players!$B$5:$B$304,0)),"UID not in Players sheet"))</f>
        <v/>
      </c>
      <c r="E643" s="12"/>
      <c r="F643" s="15"/>
      <c r="G643" s="21"/>
      <c r="H643" s="1"/>
      <c r="I643" s="1"/>
      <c r="J643" s="1"/>
    </row>
    <row r="644" customFormat="false" ht="21.75" hidden="false" customHeight="true" outlineLevel="0" collapsed="false">
      <c r="A644" s="1"/>
      <c r="B644" s="20"/>
      <c r="C644" s="15"/>
      <c r="D644" s="11" t="str">
        <f aca="false">IF(C644="","",IFERROR(INDEX(Players!$C$5:$C$304,MATCH(C644,Players!$B$5:$B$304,0)),"UID not in Players sheet"))</f>
        <v/>
      </c>
      <c r="E644" s="12"/>
      <c r="F644" s="15"/>
      <c r="G644" s="21"/>
      <c r="H644" s="1"/>
      <c r="I644" s="1"/>
      <c r="J644" s="1"/>
    </row>
    <row r="645" customFormat="false" ht="21.75" hidden="false" customHeight="true" outlineLevel="0" collapsed="false">
      <c r="A645" s="1"/>
      <c r="B645" s="20"/>
      <c r="C645" s="15"/>
      <c r="D645" s="11" t="str">
        <f aca="false">IF(C645="","",IFERROR(INDEX(Players!$C$5:$C$304,MATCH(C645,Players!$B$5:$B$304,0)),"UID not in Players sheet"))</f>
        <v/>
      </c>
      <c r="E645" s="12"/>
      <c r="F645" s="15"/>
      <c r="G645" s="21"/>
      <c r="H645" s="1"/>
      <c r="I645" s="1"/>
      <c r="J645" s="1"/>
    </row>
    <row r="646" customFormat="false" ht="21.75" hidden="false" customHeight="true" outlineLevel="0" collapsed="false">
      <c r="A646" s="1"/>
      <c r="B646" s="20"/>
      <c r="C646" s="15"/>
      <c r="D646" s="11" t="str">
        <f aca="false">IF(C646="","",IFERROR(INDEX(Players!$C$5:$C$304,MATCH(C646,Players!$B$5:$B$304,0)),"UID not in Players sheet"))</f>
        <v/>
      </c>
      <c r="E646" s="12"/>
      <c r="F646" s="15"/>
      <c r="G646" s="21"/>
      <c r="H646" s="1"/>
      <c r="I646" s="1"/>
      <c r="J646" s="1"/>
    </row>
    <row r="647" customFormat="false" ht="21.75" hidden="false" customHeight="true" outlineLevel="0" collapsed="false">
      <c r="A647" s="1"/>
      <c r="B647" s="20"/>
      <c r="C647" s="15"/>
      <c r="D647" s="11" t="str">
        <f aca="false">IF(C647="","",IFERROR(INDEX(Players!$C$5:$C$304,MATCH(C647,Players!$B$5:$B$304,0)),"UID not in Players sheet"))</f>
        <v/>
      </c>
      <c r="E647" s="12"/>
      <c r="F647" s="15"/>
      <c r="G647" s="21"/>
      <c r="H647" s="1"/>
      <c r="I647" s="1"/>
      <c r="J647" s="1"/>
    </row>
    <row r="648" customFormat="false" ht="21.75" hidden="false" customHeight="true" outlineLevel="0" collapsed="false">
      <c r="A648" s="1"/>
      <c r="B648" s="20"/>
      <c r="C648" s="15"/>
      <c r="D648" s="11" t="str">
        <f aca="false">IF(C648="","",IFERROR(INDEX(Players!$C$5:$C$304,MATCH(C648,Players!$B$5:$B$304,0)),"UID not in Players sheet"))</f>
        <v/>
      </c>
      <c r="E648" s="12"/>
      <c r="F648" s="15"/>
      <c r="G648" s="21"/>
      <c r="H648" s="1"/>
      <c r="I648" s="1"/>
      <c r="J648" s="1"/>
    </row>
    <row r="649" customFormat="false" ht="21.75" hidden="false" customHeight="true" outlineLevel="0" collapsed="false">
      <c r="A649" s="1"/>
      <c r="B649" s="20"/>
      <c r="C649" s="15"/>
      <c r="D649" s="11" t="str">
        <f aca="false">IF(C649="","",IFERROR(INDEX(Players!$C$5:$C$304,MATCH(C649,Players!$B$5:$B$304,0)),"UID not in Players sheet"))</f>
        <v/>
      </c>
      <c r="E649" s="12"/>
      <c r="F649" s="15"/>
      <c r="G649" s="21"/>
      <c r="H649" s="1"/>
      <c r="I649" s="1"/>
      <c r="J649" s="1"/>
    </row>
    <row r="650" customFormat="false" ht="21.75" hidden="false" customHeight="true" outlineLevel="0" collapsed="false">
      <c r="A650" s="1"/>
      <c r="B650" s="20"/>
      <c r="C650" s="15"/>
      <c r="D650" s="11" t="str">
        <f aca="false">IF(C650="","",IFERROR(INDEX(Players!$C$5:$C$304,MATCH(C650,Players!$B$5:$B$304,0)),"UID not in Players sheet"))</f>
        <v/>
      </c>
      <c r="E650" s="12"/>
      <c r="F650" s="15"/>
      <c r="G650" s="21"/>
      <c r="H650" s="1"/>
      <c r="I650" s="1"/>
      <c r="J650" s="1"/>
    </row>
    <row r="651" customFormat="false" ht="21.75" hidden="false" customHeight="true" outlineLevel="0" collapsed="false">
      <c r="A651" s="1"/>
      <c r="B651" s="20"/>
      <c r="C651" s="15"/>
      <c r="D651" s="11" t="str">
        <f aca="false">IF(C651="","",IFERROR(INDEX(Players!$C$5:$C$304,MATCH(C651,Players!$B$5:$B$304,0)),"UID not in Players sheet"))</f>
        <v/>
      </c>
      <c r="E651" s="12"/>
      <c r="F651" s="15"/>
      <c r="G651" s="21"/>
      <c r="H651" s="1"/>
      <c r="I651" s="1"/>
      <c r="J651" s="1"/>
    </row>
    <row r="652" customFormat="false" ht="21.75" hidden="false" customHeight="true" outlineLevel="0" collapsed="false">
      <c r="A652" s="1"/>
      <c r="B652" s="20"/>
      <c r="C652" s="15"/>
      <c r="D652" s="11" t="str">
        <f aca="false">IF(C652="","",IFERROR(INDEX(Players!$C$5:$C$304,MATCH(C652,Players!$B$5:$B$304,0)),"UID not in Players sheet"))</f>
        <v/>
      </c>
      <c r="E652" s="12"/>
      <c r="F652" s="15"/>
      <c r="G652" s="21"/>
      <c r="H652" s="1"/>
      <c r="I652" s="1"/>
      <c r="J652" s="1"/>
    </row>
    <row r="653" customFormat="false" ht="21.75" hidden="false" customHeight="true" outlineLevel="0" collapsed="false">
      <c r="A653" s="1"/>
      <c r="B653" s="20"/>
      <c r="C653" s="15"/>
      <c r="D653" s="11" t="str">
        <f aca="false">IF(C653="","",IFERROR(INDEX(Players!$C$5:$C$304,MATCH(C653,Players!$B$5:$B$304,0)),"UID not in Players sheet"))</f>
        <v/>
      </c>
      <c r="E653" s="12"/>
      <c r="F653" s="15"/>
      <c r="G653" s="21"/>
      <c r="H653" s="1"/>
      <c r="I653" s="1"/>
      <c r="J653" s="1"/>
    </row>
    <row r="654" customFormat="false" ht="21.75" hidden="false" customHeight="true" outlineLevel="0" collapsed="false">
      <c r="A654" s="1"/>
      <c r="B654" s="20"/>
      <c r="C654" s="15"/>
      <c r="D654" s="11" t="str">
        <f aca="false">IF(C654="","",IFERROR(INDEX(Players!$C$5:$C$304,MATCH(C654,Players!$B$5:$B$304,0)),"UID not in Players sheet"))</f>
        <v/>
      </c>
      <c r="E654" s="12"/>
      <c r="F654" s="15"/>
      <c r="G654" s="21"/>
      <c r="H654" s="1"/>
      <c r="I654" s="1"/>
      <c r="J654" s="1"/>
    </row>
    <row r="655" customFormat="false" ht="21.75" hidden="false" customHeight="true" outlineLevel="0" collapsed="false">
      <c r="A655" s="1"/>
      <c r="B655" s="20"/>
      <c r="C655" s="15"/>
      <c r="D655" s="11" t="str">
        <f aca="false">IF(C655="","",IFERROR(INDEX(Players!$C$5:$C$304,MATCH(C655,Players!$B$5:$B$304,0)),"UID not in Players sheet"))</f>
        <v/>
      </c>
      <c r="E655" s="12"/>
      <c r="F655" s="15"/>
      <c r="G655" s="21"/>
      <c r="H655" s="1"/>
      <c r="I655" s="1"/>
      <c r="J655" s="1"/>
    </row>
    <row r="656" customFormat="false" ht="21.75" hidden="false" customHeight="true" outlineLevel="0" collapsed="false">
      <c r="A656" s="1"/>
      <c r="B656" s="20"/>
      <c r="C656" s="15"/>
      <c r="D656" s="11" t="str">
        <f aca="false">IF(C656="","",IFERROR(INDEX(Players!$C$5:$C$304,MATCH(C656,Players!$B$5:$B$304,0)),"UID not in Players sheet"))</f>
        <v/>
      </c>
      <c r="E656" s="12"/>
      <c r="F656" s="15"/>
      <c r="G656" s="21"/>
      <c r="H656" s="1"/>
      <c r="I656" s="1"/>
      <c r="J656" s="1"/>
    </row>
    <row r="657" customFormat="false" ht="21.75" hidden="false" customHeight="true" outlineLevel="0" collapsed="false">
      <c r="A657" s="1"/>
      <c r="B657" s="20"/>
      <c r="C657" s="15"/>
      <c r="D657" s="11" t="str">
        <f aca="false">IF(C657="","",IFERROR(INDEX(Players!$C$5:$C$304,MATCH(C657,Players!$B$5:$B$304,0)),"UID not in Players sheet"))</f>
        <v/>
      </c>
      <c r="E657" s="12"/>
      <c r="F657" s="15"/>
      <c r="G657" s="21"/>
      <c r="H657" s="1"/>
      <c r="I657" s="1"/>
      <c r="J657" s="1"/>
    </row>
    <row r="658" customFormat="false" ht="21.75" hidden="false" customHeight="true" outlineLevel="0" collapsed="false">
      <c r="A658" s="1"/>
      <c r="B658" s="20"/>
      <c r="C658" s="15"/>
      <c r="D658" s="11" t="str">
        <f aca="false">IF(C658="","",IFERROR(INDEX(Players!$C$5:$C$304,MATCH(C658,Players!$B$5:$B$304,0)),"UID not in Players sheet"))</f>
        <v/>
      </c>
      <c r="E658" s="12"/>
      <c r="F658" s="15"/>
      <c r="G658" s="21"/>
      <c r="H658" s="1"/>
      <c r="I658" s="1"/>
      <c r="J658" s="1"/>
    </row>
    <row r="659" customFormat="false" ht="21.75" hidden="false" customHeight="true" outlineLevel="0" collapsed="false">
      <c r="A659" s="1"/>
      <c r="B659" s="20"/>
      <c r="C659" s="15"/>
      <c r="D659" s="11" t="str">
        <f aca="false">IF(C659="","",IFERROR(INDEX(Players!$C$5:$C$304,MATCH(C659,Players!$B$5:$B$304,0)),"UID not in Players sheet"))</f>
        <v/>
      </c>
      <c r="E659" s="12"/>
      <c r="F659" s="15"/>
      <c r="G659" s="21"/>
      <c r="H659" s="1"/>
      <c r="I659" s="1"/>
      <c r="J659" s="1"/>
    </row>
    <row r="660" customFormat="false" ht="21.75" hidden="false" customHeight="true" outlineLevel="0" collapsed="false">
      <c r="A660" s="1"/>
      <c r="B660" s="20"/>
      <c r="C660" s="15"/>
      <c r="D660" s="11" t="str">
        <f aca="false">IF(C660="","",IFERROR(INDEX(Players!$C$5:$C$304,MATCH(C660,Players!$B$5:$B$304,0)),"UID not in Players sheet"))</f>
        <v/>
      </c>
      <c r="E660" s="12"/>
      <c r="F660" s="15"/>
      <c r="G660" s="21"/>
      <c r="H660" s="1"/>
      <c r="I660" s="1"/>
      <c r="J660" s="1"/>
    </row>
    <row r="661" customFormat="false" ht="21.75" hidden="false" customHeight="true" outlineLevel="0" collapsed="false">
      <c r="A661" s="1"/>
      <c r="B661" s="20"/>
      <c r="C661" s="15"/>
      <c r="D661" s="11" t="str">
        <f aca="false">IF(C661="","",IFERROR(INDEX(Players!$C$5:$C$304,MATCH(C661,Players!$B$5:$B$304,0)),"UID not in Players sheet"))</f>
        <v/>
      </c>
      <c r="E661" s="12"/>
      <c r="F661" s="15"/>
      <c r="G661" s="21"/>
      <c r="H661" s="1"/>
      <c r="I661" s="1"/>
      <c r="J661" s="1"/>
    </row>
    <row r="662" customFormat="false" ht="21.75" hidden="false" customHeight="true" outlineLevel="0" collapsed="false">
      <c r="A662" s="1"/>
      <c r="B662" s="20"/>
      <c r="C662" s="15"/>
      <c r="D662" s="11" t="str">
        <f aca="false">IF(C662="","",IFERROR(INDEX(Players!$C$5:$C$304,MATCH(C662,Players!$B$5:$B$304,0)),"UID not in Players sheet"))</f>
        <v/>
      </c>
      <c r="E662" s="12"/>
      <c r="F662" s="15"/>
      <c r="G662" s="21"/>
      <c r="H662" s="1"/>
      <c r="I662" s="1"/>
      <c r="J662" s="1"/>
    </row>
    <row r="663" customFormat="false" ht="21.75" hidden="false" customHeight="true" outlineLevel="0" collapsed="false">
      <c r="A663" s="1"/>
      <c r="B663" s="20"/>
      <c r="C663" s="15"/>
      <c r="D663" s="11" t="str">
        <f aca="false">IF(C663="","",IFERROR(INDEX(Players!$C$5:$C$304,MATCH(C663,Players!$B$5:$B$304,0)),"UID not in Players sheet"))</f>
        <v/>
      </c>
      <c r="E663" s="12"/>
      <c r="F663" s="15"/>
      <c r="G663" s="21"/>
      <c r="H663" s="1"/>
      <c r="I663" s="1"/>
      <c r="J663" s="1"/>
    </row>
    <row r="664" customFormat="false" ht="21.75" hidden="false" customHeight="true" outlineLevel="0" collapsed="false">
      <c r="A664" s="1"/>
      <c r="B664" s="20"/>
      <c r="C664" s="15"/>
      <c r="D664" s="11" t="str">
        <f aca="false">IF(C664="","",IFERROR(INDEX(Players!$C$5:$C$304,MATCH(C664,Players!$B$5:$B$304,0)),"UID not in Players sheet"))</f>
        <v/>
      </c>
      <c r="E664" s="12"/>
      <c r="F664" s="15"/>
      <c r="G664" s="21"/>
      <c r="H664" s="1"/>
      <c r="I664" s="1"/>
      <c r="J664" s="1"/>
    </row>
    <row r="665" customFormat="false" ht="21.75" hidden="false" customHeight="true" outlineLevel="0" collapsed="false">
      <c r="A665" s="1"/>
      <c r="B665" s="20"/>
      <c r="C665" s="15"/>
      <c r="D665" s="11" t="str">
        <f aca="false">IF(C665="","",IFERROR(INDEX(Players!$C$5:$C$304,MATCH(C665,Players!$B$5:$B$304,0)),"UID not in Players sheet"))</f>
        <v/>
      </c>
      <c r="E665" s="12"/>
      <c r="F665" s="15"/>
      <c r="G665" s="21"/>
      <c r="H665" s="1"/>
      <c r="I665" s="1"/>
      <c r="J665" s="1"/>
    </row>
    <row r="666" customFormat="false" ht="21.75" hidden="false" customHeight="true" outlineLevel="0" collapsed="false">
      <c r="A666" s="1"/>
      <c r="B666" s="20"/>
      <c r="C666" s="15"/>
      <c r="D666" s="11" t="str">
        <f aca="false">IF(C666="","",IFERROR(INDEX(Players!$C$5:$C$304,MATCH(C666,Players!$B$5:$B$304,0)),"UID not in Players sheet"))</f>
        <v/>
      </c>
      <c r="E666" s="12"/>
      <c r="F666" s="15"/>
      <c r="G666" s="21"/>
      <c r="H666" s="1"/>
      <c r="I666" s="1"/>
      <c r="J666" s="1"/>
    </row>
    <row r="667" customFormat="false" ht="21.75" hidden="false" customHeight="true" outlineLevel="0" collapsed="false">
      <c r="A667" s="1"/>
      <c r="B667" s="20"/>
      <c r="C667" s="15"/>
      <c r="D667" s="11" t="str">
        <f aca="false">IF(C667="","",IFERROR(INDEX(Players!$C$5:$C$304,MATCH(C667,Players!$B$5:$B$304,0)),"UID not in Players sheet"))</f>
        <v/>
      </c>
      <c r="E667" s="12"/>
      <c r="F667" s="15"/>
      <c r="G667" s="21"/>
      <c r="H667" s="1"/>
      <c r="I667" s="1"/>
      <c r="J667" s="1"/>
    </row>
    <row r="668" customFormat="false" ht="21.75" hidden="false" customHeight="true" outlineLevel="0" collapsed="false">
      <c r="A668" s="1"/>
      <c r="B668" s="20"/>
      <c r="C668" s="15"/>
      <c r="D668" s="11" t="str">
        <f aca="false">IF(C668="","",IFERROR(INDEX(Players!$C$5:$C$304,MATCH(C668,Players!$B$5:$B$304,0)),"UID not in Players sheet"))</f>
        <v/>
      </c>
      <c r="E668" s="12"/>
      <c r="F668" s="15"/>
      <c r="G668" s="21"/>
      <c r="H668" s="1"/>
      <c r="I668" s="1"/>
      <c r="J668" s="1"/>
    </row>
    <row r="669" customFormat="false" ht="21.75" hidden="false" customHeight="true" outlineLevel="0" collapsed="false">
      <c r="A669" s="1"/>
      <c r="B669" s="20"/>
      <c r="C669" s="15"/>
      <c r="D669" s="11" t="str">
        <f aca="false">IF(C669="","",IFERROR(INDEX(Players!$C$5:$C$304,MATCH(C669,Players!$B$5:$B$304,0)),"UID not in Players sheet"))</f>
        <v/>
      </c>
      <c r="E669" s="12"/>
      <c r="F669" s="15"/>
      <c r="G669" s="21"/>
      <c r="H669" s="1"/>
      <c r="I669" s="1"/>
      <c r="J669" s="1"/>
    </row>
    <row r="670" customFormat="false" ht="21.75" hidden="false" customHeight="true" outlineLevel="0" collapsed="false">
      <c r="A670" s="1"/>
      <c r="B670" s="20"/>
      <c r="C670" s="15"/>
      <c r="D670" s="11" t="str">
        <f aca="false">IF(C670="","",IFERROR(INDEX(Players!$C$5:$C$304,MATCH(C670,Players!$B$5:$B$304,0)),"UID not in Players sheet"))</f>
        <v/>
      </c>
      <c r="E670" s="12"/>
      <c r="F670" s="15"/>
      <c r="G670" s="21"/>
      <c r="H670" s="1"/>
      <c r="I670" s="1"/>
      <c r="J670" s="1"/>
    </row>
    <row r="671" customFormat="false" ht="21.75" hidden="false" customHeight="true" outlineLevel="0" collapsed="false">
      <c r="A671" s="1"/>
      <c r="B671" s="20"/>
      <c r="C671" s="15"/>
      <c r="D671" s="11" t="str">
        <f aca="false">IF(C671="","",IFERROR(INDEX(Players!$C$5:$C$304,MATCH(C671,Players!$B$5:$B$304,0)),"UID not in Players sheet"))</f>
        <v/>
      </c>
      <c r="E671" s="12"/>
      <c r="F671" s="15"/>
      <c r="G671" s="21"/>
      <c r="H671" s="1"/>
      <c r="I671" s="1"/>
      <c r="J671" s="1"/>
    </row>
    <row r="672" customFormat="false" ht="21.75" hidden="false" customHeight="true" outlineLevel="0" collapsed="false">
      <c r="A672" s="1"/>
      <c r="B672" s="20"/>
      <c r="C672" s="15"/>
      <c r="D672" s="11" t="str">
        <f aca="false">IF(C672="","",IFERROR(INDEX(Players!$C$5:$C$304,MATCH(C672,Players!$B$5:$B$304,0)),"UID not in Players sheet"))</f>
        <v/>
      </c>
      <c r="E672" s="12"/>
      <c r="F672" s="15"/>
      <c r="G672" s="21"/>
      <c r="H672" s="1"/>
      <c r="I672" s="1"/>
      <c r="J672" s="1"/>
    </row>
    <row r="673" customFormat="false" ht="21.75" hidden="false" customHeight="true" outlineLevel="0" collapsed="false">
      <c r="A673" s="1"/>
      <c r="B673" s="20"/>
      <c r="C673" s="15"/>
      <c r="D673" s="11" t="str">
        <f aca="false">IF(C673="","",IFERROR(INDEX(Players!$C$5:$C$304,MATCH(C673,Players!$B$5:$B$304,0)),"UID not in Players sheet"))</f>
        <v/>
      </c>
      <c r="E673" s="12"/>
      <c r="F673" s="15"/>
      <c r="G673" s="21"/>
      <c r="H673" s="1"/>
      <c r="I673" s="1"/>
      <c r="J673" s="1"/>
    </row>
    <row r="674" customFormat="false" ht="21.75" hidden="false" customHeight="true" outlineLevel="0" collapsed="false">
      <c r="A674" s="1"/>
      <c r="B674" s="20"/>
      <c r="C674" s="15"/>
      <c r="D674" s="11" t="str">
        <f aca="false">IF(C674="","",IFERROR(INDEX(Players!$C$5:$C$304,MATCH(C674,Players!$B$5:$B$304,0)),"UID not in Players sheet"))</f>
        <v/>
      </c>
      <c r="E674" s="12"/>
      <c r="F674" s="15"/>
      <c r="G674" s="21"/>
      <c r="H674" s="1"/>
      <c r="I674" s="1"/>
      <c r="J674" s="1"/>
    </row>
    <row r="675" customFormat="false" ht="21.75" hidden="false" customHeight="true" outlineLevel="0" collapsed="false">
      <c r="A675" s="1"/>
      <c r="B675" s="20"/>
      <c r="C675" s="15"/>
      <c r="D675" s="11" t="str">
        <f aca="false">IF(C675="","",IFERROR(INDEX(Players!$C$5:$C$304,MATCH(C675,Players!$B$5:$B$304,0)),"UID not in Players sheet"))</f>
        <v/>
      </c>
      <c r="E675" s="12"/>
      <c r="F675" s="15"/>
      <c r="G675" s="21"/>
      <c r="H675" s="1"/>
      <c r="I675" s="1"/>
      <c r="J675" s="1"/>
    </row>
    <row r="676" customFormat="false" ht="21.75" hidden="false" customHeight="true" outlineLevel="0" collapsed="false">
      <c r="A676" s="1"/>
      <c r="B676" s="20"/>
      <c r="C676" s="15"/>
      <c r="D676" s="11" t="str">
        <f aca="false">IF(C676="","",IFERROR(INDEX(Players!$C$5:$C$304,MATCH(C676,Players!$B$5:$B$304,0)),"UID not in Players sheet"))</f>
        <v/>
      </c>
      <c r="E676" s="12"/>
      <c r="F676" s="15"/>
      <c r="G676" s="21"/>
      <c r="H676" s="1"/>
      <c r="I676" s="1"/>
      <c r="J676" s="1"/>
    </row>
    <row r="677" customFormat="false" ht="21.75" hidden="false" customHeight="true" outlineLevel="0" collapsed="false">
      <c r="A677" s="1"/>
      <c r="B677" s="20"/>
      <c r="C677" s="15"/>
      <c r="D677" s="11" t="str">
        <f aca="false">IF(C677="","",IFERROR(INDEX(Players!$C$5:$C$304,MATCH(C677,Players!$B$5:$B$304,0)),"UID not in Players sheet"))</f>
        <v/>
      </c>
      <c r="E677" s="12"/>
      <c r="F677" s="15"/>
      <c r="G677" s="21"/>
      <c r="H677" s="1"/>
      <c r="I677" s="1"/>
      <c r="J677" s="1"/>
    </row>
    <row r="678" customFormat="false" ht="21.75" hidden="false" customHeight="true" outlineLevel="0" collapsed="false">
      <c r="A678" s="1"/>
      <c r="B678" s="20"/>
      <c r="C678" s="15"/>
      <c r="D678" s="11" t="str">
        <f aca="false">IF(C678="","",IFERROR(INDEX(Players!$C$5:$C$304,MATCH(C678,Players!$B$5:$B$304,0)),"UID not in Players sheet"))</f>
        <v/>
      </c>
      <c r="E678" s="12"/>
      <c r="F678" s="15"/>
      <c r="G678" s="21"/>
      <c r="H678" s="1"/>
      <c r="I678" s="1"/>
      <c r="J678" s="1"/>
    </row>
    <row r="679" customFormat="false" ht="21.75" hidden="false" customHeight="true" outlineLevel="0" collapsed="false">
      <c r="A679" s="1"/>
      <c r="B679" s="20"/>
      <c r="C679" s="15"/>
      <c r="D679" s="11" t="str">
        <f aca="false">IF(C679="","",IFERROR(INDEX(Players!$C$5:$C$304,MATCH(C679,Players!$B$5:$B$304,0)),"UID not in Players sheet"))</f>
        <v/>
      </c>
      <c r="E679" s="12"/>
      <c r="F679" s="15"/>
      <c r="G679" s="21"/>
      <c r="H679" s="1"/>
      <c r="I679" s="1"/>
      <c r="J679" s="1"/>
    </row>
    <row r="680" customFormat="false" ht="21.75" hidden="false" customHeight="true" outlineLevel="0" collapsed="false">
      <c r="A680" s="1"/>
      <c r="B680" s="20"/>
      <c r="C680" s="15"/>
      <c r="D680" s="11" t="str">
        <f aca="false">IF(C680="","",IFERROR(INDEX(Players!$C$5:$C$304,MATCH(C680,Players!$B$5:$B$304,0)),"UID not in Players sheet"))</f>
        <v/>
      </c>
      <c r="E680" s="12"/>
      <c r="F680" s="15"/>
      <c r="G680" s="21"/>
      <c r="H680" s="1"/>
      <c r="I680" s="1"/>
      <c r="J680" s="1"/>
    </row>
    <row r="681" customFormat="false" ht="21.75" hidden="false" customHeight="true" outlineLevel="0" collapsed="false">
      <c r="A681" s="1"/>
      <c r="B681" s="20"/>
      <c r="C681" s="15"/>
      <c r="D681" s="11" t="str">
        <f aca="false">IF(C681="","",IFERROR(INDEX(Players!$C$5:$C$304,MATCH(C681,Players!$B$5:$B$304,0)),"UID not in Players sheet"))</f>
        <v/>
      </c>
      <c r="E681" s="12"/>
      <c r="F681" s="15"/>
      <c r="G681" s="21"/>
      <c r="H681" s="1"/>
      <c r="I681" s="1"/>
      <c r="J681" s="1"/>
    </row>
    <row r="682" customFormat="false" ht="21.75" hidden="false" customHeight="true" outlineLevel="0" collapsed="false">
      <c r="A682" s="1"/>
      <c r="B682" s="20"/>
      <c r="C682" s="15"/>
      <c r="D682" s="11" t="str">
        <f aca="false">IF(C682="","",IFERROR(INDEX(Players!$C$5:$C$304,MATCH(C682,Players!$B$5:$B$304,0)),"UID not in Players sheet"))</f>
        <v/>
      </c>
      <c r="E682" s="12"/>
      <c r="F682" s="15"/>
      <c r="G682" s="21"/>
      <c r="H682" s="1"/>
      <c r="I682" s="1"/>
      <c r="J682" s="1"/>
    </row>
    <row r="683" customFormat="false" ht="21.75" hidden="false" customHeight="true" outlineLevel="0" collapsed="false">
      <c r="A683" s="1"/>
      <c r="B683" s="20"/>
      <c r="C683" s="15"/>
      <c r="D683" s="11" t="str">
        <f aca="false">IF(C683="","",IFERROR(INDEX(Players!$C$5:$C$304,MATCH(C683,Players!$B$5:$B$304,0)),"UID not in Players sheet"))</f>
        <v/>
      </c>
      <c r="E683" s="12"/>
      <c r="F683" s="15"/>
      <c r="G683" s="21"/>
      <c r="H683" s="1"/>
      <c r="I683" s="1"/>
      <c r="J683" s="1"/>
    </row>
    <row r="684" customFormat="false" ht="21.75" hidden="false" customHeight="true" outlineLevel="0" collapsed="false">
      <c r="A684" s="1"/>
      <c r="B684" s="20"/>
      <c r="C684" s="15"/>
      <c r="D684" s="11" t="str">
        <f aca="false">IF(C684="","",IFERROR(INDEX(Players!$C$5:$C$304,MATCH(C684,Players!$B$5:$B$304,0)),"UID not in Players sheet"))</f>
        <v/>
      </c>
      <c r="E684" s="12"/>
      <c r="F684" s="15"/>
      <c r="G684" s="21"/>
      <c r="H684" s="1"/>
      <c r="I684" s="1"/>
      <c r="J684" s="1"/>
    </row>
    <row r="685" customFormat="false" ht="21.75" hidden="false" customHeight="true" outlineLevel="0" collapsed="false">
      <c r="A685" s="1"/>
      <c r="B685" s="20"/>
      <c r="C685" s="15"/>
      <c r="D685" s="11" t="str">
        <f aca="false">IF(C685="","",IFERROR(INDEX(Players!$C$5:$C$304,MATCH(C685,Players!$B$5:$B$304,0)),"UID not in Players sheet"))</f>
        <v/>
      </c>
      <c r="E685" s="12"/>
      <c r="F685" s="15"/>
      <c r="G685" s="21"/>
      <c r="H685" s="1"/>
      <c r="I685" s="1"/>
      <c r="J685" s="1"/>
    </row>
    <row r="686" customFormat="false" ht="21.75" hidden="false" customHeight="true" outlineLevel="0" collapsed="false">
      <c r="A686" s="1"/>
      <c r="B686" s="20"/>
      <c r="C686" s="15"/>
      <c r="D686" s="11" t="str">
        <f aca="false">IF(C686="","",IFERROR(INDEX(Players!$C$5:$C$304,MATCH(C686,Players!$B$5:$B$304,0)),"UID not in Players sheet"))</f>
        <v/>
      </c>
      <c r="E686" s="12"/>
      <c r="F686" s="15"/>
      <c r="G686" s="21"/>
      <c r="H686" s="1"/>
      <c r="I686" s="1"/>
      <c r="J686" s="1"/>
    </row>
    <row r="687" customFormat="false" ht="21.75" hidden="false" customHeight="true" outlineLevel="0" collapsed="false">
      <c r="A687" s="1"/>
      <c r="B687" s="20"/>
      <c r="C687" s="15"/>
      <c r="D687" s="11" t="str">
        <f aca="false">IF(C687="","",IFERROR(INDEX(Players!$C$5:$C$304,MATCH(C687,Players!$B$5:$B$304,0)),"UID not in Players sheet"))</f>
        <v/>
      </c>
      <c r="E687" s="12"/>
      <c r="F687" s="15"/>
      <c r="G687" s="21"/>
      <c r="H687" s="1"/>
      <c r="I687" s="1"/>
      <c r="J687" s="1"/>
    </row>
    <row r="688" customFormat="false" ht="21.75" hidden="false" customHeight="true" outlineLevel="0" collapsed="false">
      <c r="A688" s="1"/>
      <c r="B688" s="20"/>
      <c r="C688" s="15"/>
      <c r="D688" s="11" t="str">
        <f aca="false">IF(C688="","",IFERROR(INDEX(Players!$C$5:$C$304,MATCH(C688,Players!$B$5:$B$304,0)),"UID not in Players sheet"))</f>
        <v/>
      </c>
      <c r="E688" s="12"/>
      <c r="F688" s="15"/>
      <c r="G688" s="21"/>
      <c r="H688" s="1"/>
      <c r="I688" s="1"/>
      <c r="J688" s="1"/>
    </row>
    <row r="689" customFormat="false" ht="21.75" hidden="false" customHeight="true" outlineLevel="0" collapsed="false">
      <c r="A689" s="1"/>
      <c r="B689" s="20"/>
      <c r="C689" s="15"/>
      <c r="D689" s="11" t="str">
        <f aca="false">IF(C689="","",IFERROR(INDEX(Players!$C$5:$C$304,MATCH(C689,Players!$B$5:$B$304,0)),"UID not in Players sheet"))</f>
        <v/>
      </c>
      <c r="E689" s="12"/>
      <c r="F689" s="15"/>
      <c r="G689" s="21"/>
      <c r="H689" s="1"/>
      <c r="I689" s="1"/>
      <c r="J689" s="1"/>
    </row>
    <row r="690" customFormat="false" ht="21.75" hidden="false" customHeight="true" outlineLevel="0" collapsed="false">
      <c r="A690" s="1"/>
      <c r="B690" s="20"/>
      <c r="C690" s="15"/>
      <c r="D690" s="11" t="str">
        <f aca="false">IF(C690="","",IFERROR(INDEX(Players!$C$5:$C$304,MATCH(C690,Players!$B$5:$B$304,0)),"UID not in Players sheet"))</f>
        <v/>
      </c>
      <c r="E690" s="12"/>
      <c r="F690" s="15"/>
      <c r="G690" s="21"/>
      <c r="H690" s="1"/>
      <c r="I690" s="1"/>
      <c r="J690" s="1"/>
    </row>
    <row r="691" customFormat="false" ht="21.75" hidden="false" customHeight="true" outlineLevel="0" collapsed="false">
      <c r="A691" s="1"/>
      <c r="B691" s="20"/>
      <c r="C691" s="15"/>
      <c r="D691" s="11" t="str">
        <f aca="false">IF(C691="","",IFERROR(INDEX(Players!$C$5:$C$304,MATCH(C691,Players!$B$5:$B$304,0)),"UID not in Players sheet"))</f>
        <v/>
      </c>
      <c r="E691" s="12"/>
      <c r="F691" s="15"/>
      <c r="G691" s="21"/>
      <c r="H691" s="1"/>
      <c r="I691" s="1"/>
      <c r="J691" s="1"/>
    </row>
    <row r="692" customFormat="false" ht="21.75" hidden="false" customHeight="true" outlineLevel="0" collapsed="false">
      <c r="A692" s="1"/>
      <c r="B692" s="20"/>
      <c r="C692" s="15"/>
      <c r="D692" s="11" t="str">
        <f aca="false">IF(C692="","",IFERROR(INDEX(Players!$C$5:$C$304,MATCH(C692,Players!$B$5:$B$304,0)),"UID not in Players sheet"))</f>
        <v/>
      </c>
      <c r="E692" s="12"/>
      <c r="F692" s="15"/>
      <c r="G692" s="21"/>
      <c r="H692" s="1"/>
      <c r="I692" s="1"/>
      <c r="J692" s="1"/>
    </row>
    <row r="693" customFormat="false" ht="21.75" hidden="false" customHeight="true" outlineLevel="0" collapsed="false">
      <c r="A693" s="1"/>
      <c r="B693" s="20"/>
      <c r="C693" s="15"/>
      <c r="D693" s="11" t="str">
        <f aca="false">IF(C693="","",IFERROR(INDEX(Players!$C$5:$C$304,MATCH(C693,Players!$B$5:$B$304,0)),"UID not in Players sheet"))</f>
        <v/>
      </c>
      <c r="E693" s="12"/>
      <c r="F693" s="15"/>
      <c r="G693" s="21"/>
      <c r="H693" s="1"/>
      <c r="I693" s="1"/>
      <c r="J693" s="1"/>
    </row>
    <row r="694" customFormat="false" ht="21.75" hidden="false" customHeight="true" outlineLevel="0" collapsed="false">
      <c r="A694" s="1"/>
      <c r="B694" s="20"/>
      <c r="C694" s="15"/>
      <c r="D694" s="11" t="str">
        <f aca="false">IF(C694="","",IFERROR(INDEX(Players!$C$5:$C$304,MATCH(C694,Players!$B$5:$B$304,0)),"UID not in Players sheet"))</f>
        <v/>
      </c>
      <c r="E694" s="12"/>
      <c r="F694" s="15"/>
      <c r="G694" s="21"/>
      <c r="H694" s="1"/>
      <c r="I694" s="1"/>
      <c r="J694" s="1"/>
    </row>
    <row r="695" customFormat="false" ht="21.75" hidden="false" customHeight="true" outlineLevel="0" collapsed="false">
      <c r="A695" s="1"/>
      <c r="B695" s="20"/>
      <c r="C695" s="15"/>
      <c r="D695" s="11" t="str">
        <f aca="false">IF(C695="","",IFERROR(INDEX(Players!$C$5:$C$304,MATCH(C695,Players!$B$5:$B$304,0)),"UID not in Players sheet"))</f>
        <v/>
      </c>
      <c r="E695" s="12"/>
      <c r="F695" s="15"/>
      <c r="G695" s="21"/>
      <c r="H695" s="1"/>
      <c r="I695" s="1"/>
      <c r="J695" s="1"/>
    </row>
    <row r="696" customFormat="false" ht="21.75" hidden="false" customHeight="true" outlineLevel="0" collapsed="false">
      <c r="A696" s="1"/>
      <c r="B696" s="20"/>
      <c r="C696" s="15"/>
      <c r="D696" s="11" t="str">
        <f aca="false">IF(C696="","",IFERROR(INDEX(Players!$C$5:$C$304,MATCH(C696,Players!$B$5:$B$304,0)),"UID not in Players sheet"))</f>
        <v/>
      </c>
      <c r="E696" s="12"/>
      <c r="F696" s="15"/>
      <c r="G696" s="21"/>
      <c r="H696" s="1"/>
      <c r="I696" s="1"/>
      <c r="J696" s="1"/>
    </row>
    <row r="697" customFormat="false" ht="21.75" hidden="false" customHeight="true" outlineLevel="0" collapsed="false">
      <c r="A697" s="1"/>
      <c r="B697" s="20"/>
      <c r="C697" s="15"/>
      <c r="D697" s="11" t="str">
        <f aca="false">IF(C697="","",IFERROR(INDEX(Players!$C$5:$C$304,MATCH(C697,Players!$B$5:$B$304,0)),"UID not in Players sheet"))</f>
        <v/>
      </c>
      <c r="E697" s="12"/>
      <c r="F697" s="15"/>
      <c r="G697" s="21"/>
      <c r="H697" s="1"/>
      <c r="I697" s="1"/>
      <c r="J697" s="1"/>
    </row>
    <row r="698" customFormat="false" ht="21.75" hidden="false" customHeight="true" outlineLevel="0" collapsed="false">
      <c r="A698" s="1"/>
      <c r="B698" s="20"/>
      <c r="C698" s="15"/>
      <c r="D698" s="11" t="str">
        <f aca="false">IF(C698="","",IFERROR(INDEX(Players!$C$5:$C$304,MATCH(C698,Players!$B$5:$B$304,0)),"UID not in Players sheet"))</f>
        <v/>
      </c>
      <c r="E698" s="12"/>
      <c r="F698" s="15"/>
      <c r="G698" s="21"/>
      <c r="H698" s="1"/>
      <c r="I698" s="1"/>
      <c r="J698" s="1"/>
    </row>
    <row r="699" customFormat="false" ht="21.75" hidden="false" customHeight="true" outlineLevel="0" collapsed="false">
      <c r="A699" s="1"/>
      <c r="B699" s="20"/>
      <c r="C699" s="15"/>
      <c r="D699" s="11" t="str">
        <f aca="false">IF(C699="","",IFERROR(INDEX(Players!$C$5:$C$304,MATCH(C699,Players!$B$5:$B$304,0)),"UID not in Players sheet"))</f>
        <v/>
      </c>
      <c r="E699" s="12"/>
      <c r="F699" s="15"/>
      <c r="G699" s="21"/>
      <c r="H699" s="1"/>
      <c r="I699" s="1"/>
      <c r="J699" s="1"/>
    </row>
    <row r="700" customFormat="false" ht="21.75" hidden="false" customHeight="true" outlineLevel="0" collapsed="false">
      <c r="A700" s="1"/>
      <c r="B700" s="20"/>
      <c r="C700" s="15"/>
      <c r="D700" s="11" t="str">
        <f aca="false">IF(C700="","",IFERROR(INDEX(Players!$C$5:$C$304,MATCH(C700,Players!$B$5:$B$304,0)),"UID not in Players sheet"))</f>
        <v/>
      </c>
      <c r="E700" s="12"/>
      <c r="F700" s="15"/>
      <c r="G700" s="21"/>
      <c r="H700" s="1"/>
      <c r="I700" s="1"/>
      <c r="J700" s="1"/>
    </row>
    <row r="701" customFormat="false" ht="21.75" hidden="false" customHeight="true" outlineLevel="0" collapsed="false">
      <c r="A701" s="1"/>
      <c r="B701" s="20"/>
      <c r="C701" s="15"/>
      <c r="D701" s="11" t="str">
        <f aca="false">IF(C701="","",IFERROR(INDEX(Players!$C$5:$C$304,MATCH(C701,Players!$B$5:$B$304,0)),"UID not in Players sheet"))</f>
        <v/>
      </c>
      <c r="E701" s="12"/>
      <c r="F701" s="15"/>
      <c r="G701" s="21"/>
      <c r="H701" s="1"/>
      <c r="I701" s="1"/>
      <c r="J701" s="1"/>
    </row>
    <row r="702" customFormat="false" ht="21.75" hidden="false" customHeight="true" outlineLevel="0" collapsed="false">
      <c r="A702" s="1"/>
      <c r="B702" s="20"/>
      <c r="C702" s="15"/>
      <c r="D702" s="11" t="str">
        <f aca="false">IF(C702="","",IFERROR(INDEX(Players!$C$5:$C$304,MATCH(C702,Players!$B$5:$B$304,0)),"UID not in Players sheet"))</f>
        <v/>
      </c>
      <c r="E702" s="12"/>
      <c r="F702" s="15"/>
      <c r="G702" s="21"/>
      <c r="H702" s="1"/>
      <c r="I702" s="1"/>
      <c r="J702" s="1"/>
    </row>
    <row r="703" customFormat="false" ht="21.75" hidden="false" customHeight="true" outlineLevel="0" collapsed="false">
      <c r="A703" s="1"/>
      <c r="B703" s="20"/>
      <c r="C703" s="15"/>
      <c r="D703" s="11" t="str">
        <f aca="false">IF(C703="","",IFERROR(INDEX(Players!$C$5:$C$304,MATCH(C703,Players!$B$5:$B$304,0)),"UID not in Players sheet"))</f>
        <v/>
      </c>
      <c r="E703" s="12"/>
      <c r="F703" s="15"/>
      <c r="G703" s="21"/>
      <c r="H703" s="1"/>
      <c r="I703" s="1"/>
      <c r="J703" s="1"/>
    </row>
    <row r="704" customFormat="false" ht="21.75" hidden="false" customHeight="true" outlineLevel="0" collapsed="false">
      <c r="A704" s="1"/>
      <c r="B704" s="20"/>
      <c r="C704" s="15"/>
      <c r="D704" s="11" t="str">
        <f aca="false">IF(C704="","",IFERROR(INDEX(Players!$C$5:$C$304,MATCH(C704,Players!$B$5:$B$304,0)),"UID not in Players sheet"))</f>
        <v/>
      </c>
      <c r="E704" s="12"/>
      <c r="F704" s="15"/>
      <c r="G704" s="21"/>
      <c r="H704" s="1"/>
      <c r="I704" s="1"/>
      <c r="J704" s="1"/>
    </row>
    <row r="705" customFormat="false" ht="21.75" hidden="false" customHeight="true" outlineLevel="0" collapsed="false">
      <c r="A705" s="1"/>
      <c r="B705" s="20"/>
      <c r="C705" s="15"/>
      <c r="D705" s="11" t="str">
        <f aca="false">IF(C705="","",IFERROR(INDEX(Players!$C$5:$C$304,MATCH(C705,Players!$B$5:$B$304,0)),"UID not in Players sheet"))</f>
        <v/>
      </c>
      <c r="E705" s="12"/>
      <c r="F705" s="15"/>
      <c r="G705" s="21"/>
      <c r="H705" s="1"/>
      <c r="I705" s="1"/>
      <c r="J705" s="1"/>
    </row>
    <row r="706" customFormat="false" ht="21.75" hidden="false" customHeight="true" outlineLevel="0" collapsed="false">
      <c r="A706" s="1"/>
      <c r="B706" s="20"/>
      <c r="C706" s="15"/>
      <c r="D706" s="11" t="str">
        <f aca="false">IF(C706="","",IFERROR(INDEX(Players!$C$5:$C$304,MATCH(C706,Players!$B$5:$B$304,0)),"UID not in Players sheet"))</f>
        <v/>
      </c>
      <c r="E706" s="12"/>
      <c r="F706" s="15"/>
      <c r="G706" s="21"/>
      <c r="H706" s="1"/>
      <c r="I706" s="1"/>
      <c r="J706" s="1"/>
    </row>
    <row r="707" customFormat="false" ht="21.75" hidden="false" customHeight="true" outlineLevel="0" collapsed="false">
      <c r="A707" s="1"/>
      <c r="B707" s="20"/>
      <c r="C707" s="15"/>
      <c r="D707" s="11" t="str">
        <f aca="false">IF(C707="","",IFERROR(INDEX(Players!$C$5:$C$304,MATCH(C707,Players!$B$5:$B$304,0)),"UID not in Players sheet"))</f>
        <v/>
      </c>
      <c r="E707" s="12"/>
      <c r="F707" s="15"/>
      <c r="G707" s="21"/>
      <c r="H707" s="1"/>
      <c r="I707" s="1"/>
      <c r="J707" s="1"/>
    </row>
    <row r="708" customFormat="false" ht="21.75" hidden="false" customHeight="true" outlineLevel="0" collapsed="false">
      <c r="A708" s="1"/>
      <c r="B708" s="20"/>
      <c r="C708" s="15"/>
      <c r="D708" s="11" t="str">
        <f aca="false">IF(C708="","",IFERROR(INDEX(Players!$C$5:$C$304,MATCH(C708,Players!$B$5:$B$304,0)),"UID not in Players sheet"))</f>
        <v/>
      </c>
      <c r="E708" s="12"/>
      <c r="F708" s="15"/>
      <c r="G708" s="21"/>
      <c r="H708" s="1"/>
      <c r="I708" s="1"/>
      <c r="J708" s="1"/>
    </row>
    <row r="709" customFormat="false" ht="21.75" hidden="false" customHeight="true" outlineLevel="0" collapsed="false">
      <c r="A709" s="1"/>
      <c r="B709" s="20"/>
      <c r="C709" s="15"/>
      <c r="D709" s="11" t="str">
        <f aca="false">IF(C709="","",IFERROR(INDEX(Players!$C$5:$C$304,MATCH(C709,Players!$B$5:$B$304,0)),"UID not in Players sheet"))</f>
        <v/>
      </c>
      <c r="E709" s="12"/>
      <c r="F709" s="15"/>
      <c r="G709" s="21"/>
      <c r="H709" s="1"/>
      <c r="I709" s="1"/>
      <c r="J709" s="1"/>
    </row>
    <row r="710" customFormat="false" ht="21.75" hidden="false" customHeight="true" outlineLevel="0" collapsed="false">
      <c r="A710" s="1"/>
      <c r="B710" s="20"/>
      <c r="C710" s="15"/>
      <c r="D710" s="11" t="str">
        <f aca="false">IF(C710="","",IFERROR(INDEX(Players!$C$5:$C$304,MATCH(C710,Players!$B$5:$B$304,0)),"UID not in Players sheet"))</f>
        <v/>
      </c>
      <c r="E710" s="12"/>
      <c r="F710" s="15"/>
      <c r="G710" s="21"/>
      <c r="H710" s="1"/>
      <c r="I710" s="1"/>
      <c r="J710" s="1"/>
    </row>
    <row r="711" customFormat="false" ht="21.75" hidden="false" customHeight="true" outlineLevel="0" collapsed="false">
      <c r="A711" s="1"/>
      <c r="B711" s="20"/>
      <c r="C711" s="15"/>
      <c r="D711" s="11" t="str">
        <f aca="false">IF(C711="","",IFERROR(INDEX(Players!$C$5:$C$304,MATCH(C711,Players!$B$5:$B$304,0)),"UID not in Players sheet"))</f>
        <v/>
      </c>
      <c r="E711" s="12"/>
      <c r="F711" s="15"/>
      <c r="G711" s="21"/>
      <c r="H711" s="1"/>
      <c r="I711" s="1"/>
      <c r="J711" s="1"/>
    </row>
    <row r="712" customFormat="false" ht="21.75" hidden="false" customHeight="true" outlineLevel="0" collapsed="false">
      <c r="A712" s="1"/>
      <c r="B712" s="20"/>
      <c r="C712" s="15"/>
      <c r="D712" s="11" t="str">
        <f aca="false">IF(C712="","",IFERROR(INDEX(Players!$C$5:$C$304,MATCH(C712,Players!$B$5:$B$304,0)),"UID not in Players sheet"))</f>
        <v/>
      </c>
      <c r="E712" s="12"/>
      <c r="F712" s="15"/>
      <c r="G712" s="21"/>
      <c r="H712" s="1"/>
      <c r="I712" s="1"/>
      <c r="J712" s="1"/>
    </row>
    <row r="713" customFormat="false" ht="21.75" hidden="false" customHeight="true" outlineLevel="0" collapsed="false">
      <c r="A713" s="1"/>
      <c r="B713" s="20"/>
      <c r="C713" s="15"/>
      <c r="D713" s="11" t="str">
        <f aca="false">IF(C713="","",IFERROR(INDEX(Players!$C$5:$C$304,MATCH(C713,Players!$B$5:$B$304,0)),"UID not in Players sheet"))</f>
        <v/>
      </c>
      <c r="E713" s="12"/>
      <c r="F713" s="15"/>
      <c r="G713" s="21"/>
      <c r="H713" s="1"/>
      <c r="I713" s="1"/>
      <c r="J713" s="1"/>
    </row>
    <row r="714" customFormat="false" ht="21.75" hidden="false" customHeight="true" outlineLevel="0" collapsed="false">
      <c r="A714" s="1"/>
      <c r="B714" s="20"/>
      <c r="C714" s="15"/>
      <c r="D714" s="11" t="str">
        <f aca="false">IF(C714="","",IFERROR(INDEX(Players!$C$5:$C$304,MATCH(C714,Players!$B$5:$B$304,0)),"UID not in Players sheet"))</f>
        <v/>
      </c>
      <c r="E714" s="12"/>
      <c r="F714" s="15"/>
      <c r="G714" s="21"/>
      <c r="H714" s="1"/>
      <c r="I714" s="1"/>
      <c r="J714" s="1"/>
    </row>
    <row r="715" customFormat="false" ht="21.75" hidden="false" customHeight="true" outlineLevel="0" collapsed="false">
      <c r="A715" s="1"/>
      <c r="B715" s="20"/>
      <c r="C715" s="15"/>
      <c r="D715" s="11" t="str">
        <f aca="false">IF(C715="","",IFERROR(INDEX(Players!$C$5:$C$304,MATCH(C715,Players!$B$5:$B$304,0)),"UID not in Players sheet"))</f>
        <v/>
      </c>
      <c r="E715" s="12"/>
      <c r="F715" s="15"/>
      <c r="G715" s="21"/>
      <c r="H715" s="1"/>
      <c r="I715" s="1"/>
      <c r="J715" s="1"/>
    </row>
    <row r="716" customFormat="false" ht="21.75" hidden="false" customHeight="true" outlineLevel="0" collapsed="false">
      <c r="A716" s="1"/>
      <c r="B716" s="20"/>
      <c r="C716" s="15"/>
      <c r="D716" s="11" t="str">
        <f aca="false">IF(C716="","",IFERROR(INDEX(Players!$C$5:$C$304,MATCH(C716,Players!$B$5:$B$304,0)),"UID not in Players sheet"))</f>
        <v/>
      </c>
      <c r="E716" s="12"/>
      <c r="F716" s="15"/>
      <c r="G716" s="21"/>
      <c r="H716" s="1"/>
      <c r="I716" s="1"/>
      <c r="J716" s="1"/>
    </row>
    <row r="717" customFormat="false" ht="21.75" hidden="false" customHeight="true" outlineLevel="0" collapsed="false">
      <c r="A717" s="1"/>
      <c r="B717" s="20"/>
      <c r="C717" s="15"/>
      <c r="D717" s="11" t="str">
        <f aca="false">IF(C717="","",IFERROR(INDEX(Players!$C$5:$C$304,MATCH(C717,Players!$B$5:$B$304,0)),"UID not in Players sheet"))</f>
        <v/>
      </c>
      <c r="E717" s="12"/>
      <c r="F717" s="15"/>
      <c r="G717" s="21"/>
      <c r="H717" s="1"/>
      <c r="I717" s="1"/>
      <c r="J717" s="1"/>
    </row>
    <row r="718" customFormat="false" ht="21.75" hidden="false" customHeight="true" outlineLevel="0" collapsed="false">
      <c r="A718" s="1"/>
      <c r="B718" s="20"/>
      <c r="C718" s="15"/>
      <c r="D718" s="11" t="str">
        <f aca="false">IF(C718="","",IFERROR(INDEX(Players!$C$5:$C$304,MATCH(C718,Players!$B$5:$B$304,0)),"UID not in Players sheet"))</f>
        <v/>
      </c>
      <c r="E718" s="12"/>
      <c r="F718" s="15"/>
      <c r="G718" s="21"/>
      <c r="H718" s="1"/>
      <c r="I718" s="1"/>
      <c r="J718" s="1"/>
    </row>
    <row r="719" customFormat="false" ht="21.75" hidden="false" customHeight="true" outlineLevel="0" collapsed="false">
      <c r="A719" s="1"/>
      <c r="B719" s="20"/>
      <c r="C719" s="15"/>
      <c r="D719" s="11" t="str">
        <f aca="false">IF(C719="","",IFERROR(INDEX(Players!$C$5:$C$304,MATCH(C719,Players!$B$5:$B$304,0)),"UID not in Players sheet"))</f>
        <v/>
      </c>
      <c r="E719" s="12"/>
      <c r="F719" s="15"/>
      <c r="G719" s="21"/>
      <c r="H719" s="1"/>
      <c r="I719" s="1"/>
      <c r="J719" s="1"/>
    </row>
    <row r="720" customFormat="false" ht="21.75" hidden="false" customHeight="true" outlineLevel="0" collapsed="false">
      <c r="A720" s="1"/>
      <c r="B720" s="20"/>
      <c r="C720" s="15"/>
      <c r="D720" s="11" t="str">
        <f aca="false">IF(C720="","",IFERROR(INDEX(Players!$C$5:$C$304,MATCH(C720,Players!$B$5:$B$304,0)),"UID not in Players sheet"))</f>
        <v/>
      </c>
      <c r="E720" s="12"/>
      <c r="F720" s="15"/>
      <c r="G720" s="21"/>
      <c r="H720" s="1"/>
      <c r="I720" s="1"/>
      <c r="J720" s="1"/>
    </row>
    <row r="721" customFormat="false" ht="21.75" hidden="false" customHeight="true" outlineLevel="0" collapsed="false">
      <c r="A721" s="1"/>
      <c r="B721" s="20"/>
      <c r="C721" s="15"/>
      <c r="D721" s="11" t="str">
        <f aca="false">IF(C721="","",IFERROR(INDEX(Players!$C$5:$C$304,MATCH(C721,Players!$B$5:$B$304,0)),"UID not in Players sheet"))</f>
        <v/>
      </c>
      <c r="E721" s="12"/>
      <c r="F721" s="15"/>
      <c r="G721" s="21"/>
      <c r="H721" s="1"/>
      <c r="I721" s="1"/>
      <c r="J721" s="1"/>
    </row>
    <row r="722" customFormat="false" ht="21.75" hidden="false" customHeight="true" outlineLevel="0" collapsed="false">
      <c r="A722" s="1"/>
      <c r="B722" s="20"/>
      <c r="C722" s="15"/>
      <c r="D722" s="11" t="str">
        <f aca="false">IF(C722="","",IFERROR(INDEX(Players!$C$5:$C$304,MATCH(C722,Players!$B$5:$B$304,0)),"UID not in Players sheet"))</f>
        <v/>
      </c>
      <c r="E722" s="12"/>
      <c r="F722" s="15"/>
      <c r="G722" s="21"/>
      <c r="H722" s="1"/>
      <c r="I722" s="1"/>
      <c r="J722" s="1"/>
    </row>
    <row r="723" customFormat="false" ht="21.75" hidden="false" customHeight="true" outlineLevel="0" collapsed="false">
      <c r="A723" s="1"/>
      <c r="B723" s="20"/>
      <c r="C723" s="15"/>
      <c r="D723" s="11" t="str">
        <f aca="false">IF(C723="","",IFERROR(INDEX(Players!$C$5:$C$304,MATCH(C723,Players!$B$5:$B$304,0)),"UID not in Players sheet"))</f>
        <v/>
      </c>
      <c r="E723" s="12"/>
      <c r="F723" s="15"/>
      <c r="G723" s="21"/>
      <c r="H723" s="1"/>
      <c r="I723" s="1"/>
      <c r="J723" s="1"/>
    </row>
    <row r="724" customFormat="false" ht="21.75" hidden="false" customHeight="true" outlineLevel="0" collapsed="false">
      <c r="A724" s="1"/>
      <c r="B724" s="20"/>
      <c r="C724" s="15"/>
      <c r="D724" s="11" t="str">
        <f aca="false">IF(C724="","",IFERROR(INDEX(Players!$C$5:$C$304,MATCH(C724,Players!$B$5:$B$304,0)),"UID not in Players sheet"))</f>
        <v/>
      </c>
      <c r="E724" s="12"/>
      <c r="F724" s="15"/>
      <c r="G724" s="21"/>
      <c r="H724" s="1"/>
      <c r="I724" s="1"/>
      <c r="J724" s="1"/>
    </row>
    <row r="725" customFormat="false" ht="21.75" hidden="false" customHeight="true" outlineLevel="0" collapsed="false">
      <c r="A725" s="1"/>
      <c r="B725" s="20"/>
      <c r="C725" s="15"/>
      <c r="D725" s="11" t="str">
        <f aca="false">IF(C725="","",IFERROR(INDEX(Players!$C$5:$C$304,MATCH(C725,Players!$B$5:$B$304,0)),"UID not in Players sheet"))</f>
        <v/>
      </c>
      <c r="E725" s="12"/>
      <c r="F725" s="15"/>
      <c r="G725" s="21"/>
      <c r="H725" s="1"/>
      <c r="I725" s="1"/>
      <c r="J725" s="1"/>
    </row>
    <row r="726" customFormat="false" ht="21.75" hidden="false" customHeight="true" outlineLevel="0" collapsed="false">
      <c r="A726" s="1"/>
      <c r="B726" s="20"/>
      <c r="C726" s="15"/>
      <c r="D726" s="11" t="str">
        <f aca="false">IF(C726="","",IFERROR(INDEX(Players!$C$5:$C$304,MATCH(C726,Players!$B$5:$B$304,0)),"UID not in Players sheet"))</f>
        <v/>
      </c>
      <c r="E726" s="12"/>
      <c r="F726" s="15"/>
      <c r="G726" s="21"/>
      <c r="H726" s="1"/>
      <c r="I726" s="1"/>
      <c r="J726" s="1"/>
    </row>
    <row r="727" customFormat="false" ht="21.75" hidden="false" customHeight="true" outlineLevel="0" collapsed="false">
      <c r="A727" s="1"/>
      <c r="B727" s="20"/>
      <c r="C727" s="15"/>
      <c r="D727" s="11" t="str">
        <f aca="false">IF(C727="","",IFERROR(INDEX(Players!$C$5:$C$304,MATCH(C727,Players!$B$5:$B$304,0)),"UID not in Players sheet"))</f>
        <v/>
      </c>
      <c r="E727" s="12"/>
      <c r="F727" s="15"/>
      <c r="G727" s="21"/>
      <c r="H727" s="1"/>
      <c r="I727" s="1"/>
      <c r="J727" s="1"/>
    </row>
    <row r="728" customFormat="false" ht="21.75" hidden="false" customHeight="true" outlineLevel="0" collapsed="false">
      <c r="A728" s="1"/>
      <c r="B728" s="20"/>
      <c r="C728" s="15"/>
      <c r="D728" s="11" t="str">
        <f aca="false">IF(C728="","",IFERROR(INDEX(Players!$C$5:$C$304,MATCH(C728,Players!$B$5:$B$304,0)),"UID not in Players sheet"))</f>
        <v/>
      </c>
      <c r="E728" s="12"/>
      <c r="F728" s="15"/>
      <c r="G728" s="21"/>
      <c r="H728" s="1"/>
      <c r="I728" s="1"/>
      <c r="J728" s="1"/>
    </row>
    <row r="729" customFormat="false" ht="21.75" hidden="false" customHeight="true" outlineLevel="0" collapsed="false">
      <c r="A729" s="1"/>
      <c r="B729" s="20"/>
      <c r="C729" s="15"/>
      <c r="D729" s="11" t="str">
        <f aca="false">IF(C729="","",IFERROR(INDEX(Players!$C$5:$C$304,MATCH(C729,Players!$B$5:$B$304,0)),"UID not in Players sheet"))</f>
        <v/>
      </c>
      <c r="E729" s="12"/>
      <c r="F729" s="15"/>
      <c r="G729" s="21"/>
      <c r="H729" s="1"/>
      <c r="I729" s="1"/>
      <c r="J729" s="1"/>
    </row>
    <row r="730" customFormat="false" ht="21.75" hidden="false" customHeight="true" outlineLevel="0" collapsed="false">
      <c r="A730" s="1"/>
      <c r="B730" s="20"/>
      <c r="C730" s="15"/>
      <c r="D730" s="11" t="str">
        <f aca="false">IF(C730="","",IFERROR(INDEX(Players!$C$5:$C$304,MATCH(C730,Players!$B$5:$B$304,0)),"UID not in Players sheet"))</f>
        <v/>
      </c>
      <c r="E730" s="12"/>
      <c r="F730" s="15"/>
      <c r="G730" s="21"/>
      <c r="H730" s="1"/>
      <c r="I730" s="1"/>
      <c r="J730" s="1"/>
    </row>
    <row r="731" customFormat="false" ht="21.75" hidden="false" customHeight="true" outlineLevel="0" collapsed="false">
      <c r="A731" s="1"/>
      <c r="B731" s="20"/>
      <c r="C731" s="15"/>
      <c r="D731" s="11" t="str">
        <f aca="false">IF(C731="","",IFERROR(INDEX(Players!$C$5:$C$304,MATCH(C731,Players!$B$5:$B$304,0)),"UID not in Players sheet"))</f>
        <v/>
      </c>
      <c r="E731" s="12"/>
      <c r="F731" s="15"/>
      <c r="G731" s="21"/>
      <c r="H731" s="1"/>
      <c r="I731" s="1"/>
      <c r="J731" s="1"/>
    </row>
    <row r="732" customFormat="false" ht="21.75" hidden="false" customHeight="true" outlineLevel="0" collapsed="false">
      <c r="A732" s="1"/>
      <c r="B732" s="20"/>
      <c r="C732" s="15"/>
      <c r="D732" s="11" t="str">
        <f aca="false">IF(C732="","",IFERROR(INDEX(Players!$C$5:$C$304,MATCH(C732,Players!$B$5:$B$304,0)),"UID not in Players sheet"))</f>
        <v/>
      </c>
      <c r="E732" s="12"/>
      <c r="F732" s="15"/>
      <c r="G732" s="21"/>
      <c r="H732" s="1"/>
      <c r="I732" s="1"/>
      <c r="J732" s="1"/>
    </row>
    <row r="733" customFormat="false" ht="21.75" hidden="false" customHeight="true" outlineLevel="0" collapsed="false">
      <c r="A733" s="1"/>
      <c r="B733" s="20"/>
      <c r="C733" s="15"/>
      <c r="D733" s="11" t="str">
        <f aca="false">IF(C733="","",IFERROR(INDEX(Players!$C$5:$C$304,MATCH(C733,Players!$B$5:$B$304,0)),"UID not in Players sheet"))</f>
        <v/>
      </c>
      <c r="E733" s="12"/>
      <c r="F733" s="15"/>
      <c r="G733" s="21"/>
      <c r="H733" s="1"/>
      <c r="I733" s="1"/>
      <c r="J733" s="1"/>
    </row>
    <row r="734" customFormat="false" ht="21.75" hidden="false" customHeight="true" outlineLevel="0" collapsed="false">
      <c r="A734" s="1"/>
      <c r="B734" s="20"/>
      <c r="C734" s="15"/>
      <c r="D734" s="11" t="str">
        <f aca="false">IF(C734="","",IFERROR(INDEX(Players!$C$5:$C$304,MATCH(C734,Players!$B$5:$B$304,0)),"UID not in Players sheet"))</f>
        <v/>
      </c>
      <c r="E734" s="12"/>
      <c r="F734" s="15"/>
      <c r="G734" s="21"/>
      <c r="H734" s="1"/>
      <c r="I734" s="1"/>
      <c r="J734" s="1"/>
    </row>
    <row r="735" customFormat="false" ht="21.75" hidden="false" customHeight="true" outlineLevel="0" collapsed="false">
      <c r="A735" s="1"/>
      <c r="B735" s="20"/>
      <c r="C735" s="15"/>
      <c r="D735" s="11" t="str">
        <f aca="false">IF(C735="","",IFERROR(INDEX(Players!$C$5:$C$304,MATCH(C735,Players!$B$5:$B$304,0)),"UID not in Players sheet"))</f>
        <v/>
      </c>
      <c r="E735" s="12"/>
      <c r="F735" s="15"/>
      <c r="G735" s="21"/>
      <c r="H735" s="1"/>
      <c r="I735" s="1"/>
      <c r="J735" s="1"/>
    </row>
    <row r="736" customFormat="false" ht="21.75" hidden="false" customHeight="true" outlineLevel="0" collapsed="false">
      <c r="A736" s="1"/>
      <c r="B736" s="20"/>
      <c r="C736" s="15"/>
      <c r="D736" s="11" t="str">
        <f aca="false">IF(C736="","",IFERROR(INDEX(Players!$C$5:$C$304,MATCH(C736,Players!$B$5:$B$304,0)),"UID not in Players sheet"))</f>
        <v/>
      </c>
      <c r="E736" s="12"/>
      <c r="F736" s="15"/>
      <c r="G736" s="21"/>
      <c r="H736" s="1"/>
      <c r="I736" s="1"/>
      <c r="J736" s="1"/>
    </row>
    <row r="737" customFormat="false" ht="21.75" hidden="false" customHeight="true" outlineLevel="0" collapsed="false">
      <c r="A737" s="1"/>
      <c r="B737" s="20"/>
      <c r="C737" s="15"/>
      <c r="D737" s="11" t="str">
        <f aca="false">IF(C737="","",IFERROR(INDEX(Players!$C$5:$C$304,MATCH(C737,Players!$B$5:$B$304,0)),"UID not in Players sheet"))</f>
        <v/>
      </c>
      <c r="E737" s="12"/>
      <c r="F737" s="15"/>
      <c r="G737" s="21"/>
      <c r="H737" s="1"/>
      <c r="I737" s="1"/>
      <c r="J737" s="1"/>
    </row>
    <row r="738" customFormat="false" ht="21.75" hidden="false" customHeight="true" outlineLevel="0" collapsed="false">
      <c r="A738" s="1"/>
      <c r="B738" s="20"/>
      <c r="C738" s="15"/>
      <c r="D738" s="11" t="str">
        <f aca="false">IF(C738="","",IFERROR(INDEX(Players!$C$5:$C$304,MATCH(C738,Players!$B$5:$B$304,0)),"UID not in Players sheet"))</f>
        <v/>
      </c>
      <c r="E738" s="12"/>
      <c r="F738" s="15"/>
      <c r="G738" s="21"/>
      <c r="H738" s="1"/>
      <c r="I738" s="1"/>
      <c r="J738" s="1"/>
    </row>
    <row r="739" customFormat="false" ht="21.75" hidden="false" customHeight="true" outlineLevel="0" collapsed="false">
      <c r="A739" s="1"/>
      <c r="B739" s="20"/>
      <c r="C739" s="15"/>
      <c r="D739" s="11" t="str">
        <f aca="false">IF(C739="","",IFERROR(INDEX(Players!$C$5:$C$304,MATCH(C739,Players!$B$5:$B$304,0)),"UID not in Players sheet"))</f>
        <v/>
      </c>
      <c r="E739" s="12"/>
      <c r="F739" s="15"/>
      <c r="G739" s="21"/>
      <c r="H739" s="1"/>
      <c r="I739" s="1"/>
      <c r="J739" s="1"/>
    </row>
    <row r="740" customFormat="false" ht="21.75" hidden="false" customHeight="true" outlineLevel="0" collapsed="false">
      <c r="A740" s="1"/>
      <c r="B740" s="20"/>
      <c r="C740" s="15"/>
      <c r="D740" s="11" t="str">
        <f aca="false">IF(C740="","",IFERROR(INDEX(Players!$C$5:$C$304,MATCH(C740,Players!$B$5:$B$304,0)),"UID not in Players sheet"))</f>
        <v/>
      </c>
      <c r="E740" s="12"/>
      <c r="F740" s="15"/>
      <c r="G740" s="21"/>
      <c r="H740" s="1"/>
      <c r="I740" s="1"/>
      <c r="J740" s="1"/>
    </row>
    <row r="741" customFormat="false" ht="21.75" hidden="false" customHeight="true" outlineLevel="0" collapsed="false">
      <c r="A741" s="1"/>
      <c r="B741" s="20"/>
      <c r="C741" s="15"/>
      <c r="D741" s="11" t="str">
        <f aca="false">IF(C741="","",IFERROR(INDEX(Players!$C$5:$C$304,MATCH(C741,Players!$B$5:$B$304,0)),"UID not in Players sheet"))</f>
        <v/>
      </c>
      <c r="E741" s="12"/>
      <c r="F741" s="15"/>
      <c r="G741" s="21"/>
      <c r="H741" s="1"/>
      <c r="I741" s="1"/>
      <c r="J741" s="1"/>
    </row>
    <row r="742" customFormat="false" ht="21.75" hidden="false" customHeight="true" outlineLevel="0" collapsed="false">
      <c r="A742" s="1"/>
      <c r="B742" s="20"/>
      <c r="C742" s="15"/>
      <c r="D742" s="11" t="str">
        <f aca="false">IF(C742="","",IFERROR(INDEX(Players!$C$5:$C$304,MATCH(C742,Players!$B$5:$B$304,0)),"UID not in Players sheet"))</f>
        <v/>
      </c>
      <c r="E742" s="12"/>
      <c r="F742" s="15"/>
      <c r="G742" s="21"/>
      <c r="H742" s="1"/>
      <c r="I742" s="1"/>
      <c r="J742" s="1"/>
    </row>
    <row r="743" customFormat="false" ht="21.75" hidden="false" customHeight="true" outlineLevel="0" collapsed="false">
      <c r="A743" s="1"/>
      <c r="B743" s="20"/>
      <c r="C743" s="15"/>
      <c r="D743" s="11" t="str">
        <f aca="false">IF(C743="","",IFERROR(INDEX(Players!$C$5:$C$304,MATCH(C743,Players!$B$5:$B$304,0)),"UID not in Players sheet"))</f>
        <v/>
      </c>
      <c r="E743" s="12"/>
      <c r="F743" s="15"/>
      <c r="G743" s="21"/>
      <c r="H743" s="1"/>
      <c r="I743" s="1"/>
      <c r="J743" s="1"/>
    </row>
    <row r="744" customFormat="false" ht="21.75" hidden="false" customHeight="true" outlineLevel="0" collapsed="false">
      <c r="A744" s="1"/>
      <c r="B744" s="20"/>
      <c r="C744" s="15"/>
      <c r="D744" s="11" t="str">
        <f aca="false">IF(C744="","",IFERROR(INDEX(Players!$C$5:$C$304,MATCH(C744,Players!$B$5:$B$304,0)),"UID not in Players sheet"))</f>
        <v/>
      </c>
      <c r="E744" s="12"/>
      <c r="F744" s="15"/>
      <c r="G744" s="21"/>
      <c r="H744" s="1"/>
      <c r="I744" s="1"/>
      <c r="J744" s="1"/>
    </row>
    <row r="745" customFormat="false" ht="21.75" hidden="false" customHeight="true" outlineLevel="0" collapsed="false">
      <c r="A745" s="1"/>
      <c r="B745" s="20"/>
      <c r="C745" s="15"/>
      <c r="D745" s="11" t="str">
        <f aca="false">IF(C745="","",IFERROR(INDEX(Players!$C$5:$C$304,MATCH(C745,Players!$B$5:$B$304,0)),"UID not in Players sheet"))</f>
        <v/>
      </c>
      <c r="E745" s="12"/>
      <c r="F745" s="15"/>
      <c r="G745" s="21"/>
      <c r="H745" s="1"/>
      <c r="I745" s="1"/>
      <c r="J745" s="1"/>
    </row>
    <row r="746" customFormat="false" ht="21.75" hidden="false" customHeight="true" outlineLevel="0" collapsed="false">
      <c r="A746" s="1"/>
      <c r="B746" s="20"/>
      <c r="C746" s="15"/>
      <c r="D746" s="11" t="str">
        <f aca="false">IF(C746="","",IFERROR(INDEX(Players!$C$5:$C$304,MATCH(C746,Players!$B$5:$B$304,0)),"UID not in Players sheet"))</f>
        <v/>
      </c>
      <c r="E746" s="12"/>
      <c r="F746" s="15"/>
      <c r="G746" s="21"/>
      <c r="H746" s="1"/>
      <c r="I746" s="1"/>
      <c r="J746" s="1"/>
    </row>
    <row r="747" customFormat="false" ht="21.75" hidden="false" customHeight="true" outlineLevel="0" collapsed="false">
      <c r="A747" s="1"/>
      <c r="B747" s="20"/>
      <c r="C747" s="15"/>
      <c r="D747" s="11" t="str">
        <f aca="false">IF(C747="","",IFERROR(INDEX(Players!$C$5:$C$304,MATCH(C747,Players!$B$5:$B$304,0)),"UID not in Players sheet"))</f>
        <v/>
      </c>
      <c r="E747" s="12"/>
      <c r="F747" s="15"/>
      <c r="G747" s="21"/>
      <c r="H747" s="1"/>
      <c r="I747" s="1"/>
      <c r="J747" s="1"/>
    </row>
    <row r="748" customFormat="false" ht="21.75" hidden="false" customHeight="true" outlineLevel="0" collapsed="false">
      <c r="A748" s="1"/>
      <c r="B748" s="20"/>
      <c r="C748" s="15"/>
      <c r="D748" s="11" t="str">
        <f aca="false">IF(C748="","",IFERROR(INDEX(Players!$C$5:$C$304,MATCH(C748,Players!$B$5:$B$304,0)),"UID not in Players sheet"))</f>
        <v/>
      </c>
      <c r="E748" s="12"/>
      <c r="F748" s="15"/>
      <c r="G748" s="21"/>
      <c r="H748" s="1"/>
      <c r="I748" s="1"/>
      <c r="J748" s="1"/>
    </row>
    <row r="749" customFormat="false" ht="21.75" hidden="false" customHeight="true" outlineLevel="0" collapsed="false">
      <c r="A749" s="1"/>
      <c r="B749" s="20"/>
      <c r="C749" s="15"/>
      <c r="D749" s="11" t="str">
        <f aca="false">IF(C749="","",IFERROR(INDEX(Players!$C$5:$C$304,MATCH(C749,Players!$B$5:$B$304,0)),"UID not in Players sheet"))</f>
        <v/>
      </c>
      <c r="E749" s="12"/>
      <c r="F749" s="15"/>
      <c r="G749" s="21"/>
      <c r="H749" s="1"/>
      <c r="I749" s="1"/>
      <c r="J749" s="1"/>
    </row>
    <row r="750" customFormat="false" ht="21.75" hidden="false" customHeight="true" outlineLevel="0" collapsed="false">
      <c r="A750" s="1"/>
      <c r="B750" s="20"/>
      <c r="C750" s="15"/>
      <c r="D750" s="11" t="str">
        <f aca="false">IF(C750="","",IFERROR(INDEX(Players!$C$5:$C$304,MATCH(C750,Players!$B$5:$B$304,0)),"UID not in Players sheet"))</f>
        <v/>
      </c>
      <c r="E750" s="12"/>
      <c r="F750" s="15"/>
      <c r="G750" s="21"/>
      <c r="H750" s="1"/>
      <c r="I750" s="1"/>
      <c r="J750" s="1"/>
    </row>
    <row r="751" customFormat="false" ht="21.75" hidden="false" customHeight="true" outlineLevel="0" collapsed="false">
      <c r="A751" s="1"/>
      <c r="B751" s="20"/>
      <c r="C751" s="15"/>
      <c r="D751" s="11" t="str">
        <f aca="false">IF(C751="","",IFERROR(INDEX(Players!$C$5:$C$304,MATCH(C751,Players!$B$5:$B$304,0)),"UID not in Players sheet"))</f>
        <v/>
      </c>
      <c r="E751" s="12"/>
      <c r="F751" s="15"/>
      <c r="G751" s="21"/>
      <c r="H751" s="1"/>
      <c r="I751" s="1"/>
      <c r="J751" s="1"/>
    </row>
    <row r="752" customFormat="false" ht="21.75" hidden="false" customHeight="true" outlineLevel="0" collapsed="false">
      <c r="A752" s="1"/>
      <c r="B752" s="20"/>
      <c r="C752" s="15"/>
      <c r="D752" s="11" t="str">
        <f aca="false">IF(C752="","",IFERROR(INDEX(Players!$C$5:$C$304,MATCH(C752,Players!$B$5:$B$304,0)),"UID not in Players sheet"))</f>
        <v/>
      </c>
      <c r="E752" s="12"/>
      <c r="F752" s="15"/>
      <c r="G752" s="21"/>
      <c r="H752" s="1"/>
      <c r="I752" s="1"/>
      <c r="J752" s="1"/>
    </row>
    <row r="753" customFormat="false" ht="21.75" hidden="false" customHeight="true" outlineLevel="0" collapsed="false">
      <c r="A753" s="1"/>
      <c r="B753" s="20"/>
      <c r="C753" s="15"/>
      <c r="D753" s="11" t="str">
        <f aca="false">IF(C753="","",IFERROR(INDEX(Players!$C$5:$C$304,MATCH(C753,Players!$B$5:$B$304,0)),"UID not in Players sheet"))</f>
        <v/>
      </c>
      <c r="E753" s="12"/>
      <c r="F753" s="15"/>
      <c r="G753" s="21"/>
      <c r="H753" s="1"/>
      <c r="I753" s="1"/>
      <c r="J753" s="1"/>
    </row>
    <row r="754" customFormat="false" ht="21.75" hidden="false" customHeight="true" outlineLevel="0" collapsed="false">
      <c r="A754" s="1"/>
      <c r="B754" s="20"/>
      <c r="C754" s="15"/>
      <c r="D754" s="11" t="str">
        <f aca="false">IF(C754="","",IFERROR(INDEX(Players!$C$5:$C$304,MATCH(C754,Players!$B$5:$B$304,0)),"UID not in Players sheet"))</f>
        <v/>
      </c>
      <c r="E754" s="12"/>
      <c r="F754" s="15"/>
      <c r="G754" s="21"/>
      <c r="H754" s="1"/>
      <c r="I754" s="1"/>
      <c r="J754" s="1"/>
    </row>
    <row r="755" customFormat="false" ht="21.75" hidden="false" customHeight="true" outlineLevel="0" collapsed="false">
      <c r="A755" s="1"/>
      <c r="B755" s="20"/>
      <c r="C755" s="15"/>
      <c r="D755" s="11" t="str">
        <f aca="false">IF(C755="","",IFERROR(INDEX(Players!$C$5:$C$304,MATCH(C755,Players!$B$5:$B$304,0)),"UID not in Players sheet"))</f>
        <v/>
      </c>
      <c r="E755" s="12"/>
      <c r="F755" s="15"/>
      <c r="G755" s="21"/>
      <c r="H755" s="1"/>
      <c r="I755" s="1"/>
      <c r="J755" s="1"/>
    </row>
    <row r="756" customFormat="false" ht="21.75" hidden="false" customHeight="true" outlineLevel="0" collapsed="false">
      <c r="A756" s="1"/>
      <c r="B756" s="20"/>
      <c r="C756" s="15"/>
      <c r="D756" s="11" t="str">
        <f aca="false">IF(C756="","",IFERROR(INDEX(Players!$C$5:$C$304,MATCH(C756,Players!$B$5:$B$304,0)),"UID not in Players sheet"))</f>
        <v/>
      </c>
      <c r="E756" s="12"/>
      <c r="F756" s="15"/>
      <c r="G756" s="21"/>
      <c r="H756" s="1"/>
      <c r="I756" s="1"/>
      <c r="J756" s="1"/>
    </row>
    <row r="757" customFormat="false" ht="21.75" hidden="false" customHeight="true" outlineLevel="0" collapsed="false">
      <c r="A757" s="1"/>
      <c r="B757" s="20"/>
      <c r="C757" s="15"/>
      <c r="D757" s="11" t="str">
        <f aca="false">IF(C757="","",IFERROR(INDEX(Players!$C$5:$C$304,MATCH(C757,Players!$B$5:$B$304,0)),"UID not in Players sheet"))</f>
        <v/>
      </c>
      <c r="E757" s="12"/>
      <c r="F757" s="15"/>
      <c r="G757" s="21"/>
      <c r="H757" s="1"/>
      <c r="I757" s="1"/>
      <c r="J757" s="1"/>
    </row>
    <row r="758" customFormat="false" ht="21.75" hidden="false" customHeight="true" outlineLevel="0" collapsed="false">
      <c r="A758" s="1"/>
      <c r="B758" s="20"/>
      <c r="C758" s="15"/>
      <c r="D758" s="11" t="str">
        <f aca="false">IF(C758="","",IFERROR(INDEX(Players!$C$5:$C$304,MATCH(C758,Players!$B$5:$B$304,0)),"UID not in Players sheet"))</f>
        <v/>
      </c>
      <c r="E758" s="12"/>
      <c r="F758" s="15"/>
      <c r="G758" s="21"/>
      <c r="H758" s="1"/>
      <c r="I758" s="1"/>
      <c r="J758" s="1"/>
    </row>
    <row r="759" customFormat="false" ht="21.75" hidden="false" customHeight="true" outlineLevel="0" collapsed="false">
      <c r="A759" s="1"/>
      <c r="B759" s="20"/>
      <c r="C759" s="15"/>
      <c r="D759" s="11" t="str">
        <f aca="false">IF(C759="","",IFERROR(INDEX(Players!$C$5:$C$304,MATCH(C759,Players!$B$5:$B$304,0)),"UID not in Players sheet"))</f>
        <v/>
      </c>
      <c r="E759" s="12"/>
      <c r="F759" s="15"/>
      <c r="G759" s="21"/>
      <c r="H759" s="1"/>
      <c r="I759" s="1"/>
      <c r="J759" s="1"/>
    </row>
    <row r="760" customFormat="false" ht="21.75" hidden="false" customHeight="true" outlineLevel="0" collapsed="false">
      <c r="A760" s="1"/>
      <c r="B760" s="20"/>
      <c r="C760" s="15"/>
      <c r="D760" s="11" t="str">
        <f aca="false">IF(C760="","",IFERROR(INDEX(Players!$C$5:$C$304,MATCH(C760,Players!$B$5:$B$304,0)),"UID not in Players sheet"))</f>
        <v/>
      </c>
      <c r="E760" s="12"/>
      <c r="F760" s="15"/>
      <c r="G760" s="21"/>
      <c r="H760" s="1"/>
      <c r="I760" s="1"/>
      <c r="J760" s="1"/>
    </row>
    <row r="761" customFormat="false" ht="21.75" hidden="false" customHeight="true" outlineLevel="0" collapsed="false">
      <c r="A761" s="1"/>
      <c r="B761" s="20"/>
      <c r="C761" s="15"/>
      <c r="D761" s="11" t="str">
        <f aca="false">IF(C761="","",IFERROR(INDEX(Players!$C$5:$C$304,MATCH(C761,Players!$B$5:$B$304,0)),"UID not in Players sheet"))</f>
        <v/>
      </c>
      <c r="E761" s="12"/>
      <c r="F761" s="15"/>
      <c r="G761" s="21"/>
      <c r="H761" s="1"/>
      <c r="I761" s="1"/>
      <c r="J761" s="1"/>
    </row>
    <row r="762" customFormat="false" ht="21.75" hidden="false" customHeight="true" outlineLevel="0" collapsed="false">
      <c r="A762" s="1"/>
      <c r="B762" s="20"/>
      <c r="C762" s="15"/>
      <c r="D762" s="11" t="str">
        <f aca="false">IF(C762="","",IFERROR(INDEX(Players!$C$5:$C$304,MATCH(C762,Players!$B$5:$B$304,0)),"UID not in Players sheet"))</f>
        <v/>
      </c>
      <c r="E762" s="12"/>
      <c r="F762" s="15"/>
      <c r="G762" s="21"/>
      <c r="H762" s="1"/>
      <c r="I762" s="1"/>
      <c r="J762" s="1"/>
    </row>
    <row r="763" customFormat="false" ht="21.75" hidden="false" customHeight="true" outlineLevel="0" collapsed="false">
      <c r="A763" s="1"/>
      <c r="B763" s="20"/>
      <c r="C763" s="15"/>
      <c r="D763" s="11" t="str">
        <f aca="false">IF(C763="","",IFERROR(INDEX(Players!$C$5:$C$304,MATCH(C763,Players!$B$5:$B$304,0)),"UID not in Players sheet"))</f>
        <v/>
      </c>
      <c r="E763" s="12"/>
      <c r="F763" s="15"/>
      <c r="G763" s="21"/>
      <c r="H763" s="1"/>
      <c r="I763" s="1"/>
      <c r="J763" s="1"/>
    </row>
    <row r="764" customFormat="false" ht="21.75" hidden="false" customHeight="true" outlineLevel="0" collapsed="false">
      <c r="A764" s="1"/>
      <c r="B764" s="20"/>
      <c r="C764" s="15"/>
      <c r="D764" s="11" t="str">
        <f aca="false">IF(C764="","",IFERROR(INDEX(Players!$C$5:$C$304,MATCH(C764,Players!$B$5:$B$304,0)),"UID not in Players sheet"))</f>
        <v/>
      </c>
      <c r="E764" s="12"/>
      <c r="F764" s="15"/>
      <c r="G764" s="21"/>
      <c r="H764" s="1"/>
      <c r="I764" s="1"/>
      <c r="J764" s="1"/>
    </row>
    <row r="765" customFormat="false" ht="21.75" hidden="false" customHeight="true" outlineLevel="0" collapsed="false">
      <c r="A765" s="1"/>
      <c r="B765" s="20"/>
      <c r="C765" s="15"/>
      <c r="D765" s="11" t="str">
        <f aca="false">IF(C765="","",IFERROR(INDEX(Players!$C$5:$C$304,MATCH(C765,Players!$B$5:$B$304,0)),"UID not in Players sheet"))</f>
        <v/>
      </c>
      <c r="E765" s="12"/>
      <c r="F765" s="15"/>
      <c r="G765" s="21"/>
      <c r="H765" s="1"/>
      <c r="I765" s="1"/>
      <c r="J765" s="1"/>
    </row>
    <row r="766" customFormat="false" ht="21.75" hidden="false" customHeight="true" outlineLevel="0" collapsed="false">
      <c r="A766" s="1"/>
      <c r="B766" s="20"/>
      <c r="C766" s="15"/>
      <c r="D766" s="11" t="str">
        <f aca="false">IF(C766="","",IFERROR(INDEX(Players!$C$5:$C$304,MATCH(C766,Players!$B$5:$B$304,0)),"UID not in Players sheet"))</f>
        <v/>
      </c>
      <c r="E766" s="12"/>
      <c r="F766" s="15"/>
      <c r="G766" s="21"/>
      <c r="H766" s="1"/>
      <c r="I766" s="1"/>
      <c r="J766" s="1"/>
    </row>
    <row r="767" customFormat="false" ht="21.75" hidden="false" customHeight="true" outlineLevel="0" collapsed="false">
      <c r="A767" s="1"/>
      <c r="B767" s="20"/>
      <c r="C767" s="15"/>
      <c r="D767" s="11" t="str">
        <f aca="false">IF(C767="","",IFERROR(INDEX(Players!$C$5:$C$304,MATCH(C767,Players!$B$5:$B$304,0)),"UID not in Players sheet"))</f>
        <v/>
      </c>
      <c r="E767" s="12"/>
      <c r="F767" s="15"/>
      <c r="G767" s="21"/>
      <c r="H767" s="1"/>
      <c r="I767" s="1"/>
      <c r="J767" s="1"/>
    </row>
    <row r="768" customFormat="false" ht="21.75" hidden="false" customHeight="true" outlineLevel="0" collapsed="false">
      <c r="A768" s="1"/>
      <c r="B768" s="20"/>
      <c r="C768" s="15"/>
      <c r="D768" s="11" t="str">
        <f aca="false">IF(C768="","",IFERROR(INDEX(Players!$C$5:$C$304,MATCH(C768,Players!$B$5:$B$304,0)),"UID not in Players sheet"))</f>
        <v/>
      </c>
      <c r="E768" s="12"/>
      <c r="F768" s="15"/>
      <c r="G768" s="21"/>
      <c r="H768" s="1"/>
      <c r="I768" s="1"/>
      <c r="J768" s="1"/>
    </row>
    <row r="769" customFormat="false" ht="21.75" hidden="false" customHeight="true" outlineLevel="0" collapsed="false">
      <c r="A769" s="1"/>
      <c r="B769" s="20"/>
      <c r="C769" s="15"/>
      <c r="D769" s="11" t="str">
        <f aca="false">IF(C769="","",IFERROR(INDEX(Players!$C$5:$C$304,MATCH(C769,Players!$B$5:$B$304,0)),"UID not in Players sheet"))</f>
        <v/>
      </c>
      <c r="E769" s="12"/>
      <c r="F769" s="15"/>
      <c r="G769" s="21"/>
      <c r="H769" s="1"/>
      <c r="I769" s="1"/>
      <c r="J769" s="1"/>
    </row>
    <row r="770" customFormat="false" ht="21.75" hidden="false" customHeight="true" outlineLevel="0" collapsed="false">
      <c r="A770" s="1"/>
      <c r="B770" s="20"/>
      <c r="C770" s="15"/>
      <c r="D770" s="11" t="str">
        <f aca="false">IF(C770="","",IFERROR(INDEX(Players!$C$5:$C$304,MATCH(C770,Players!$B$5:$B$304,0)),"UID not in Players sheet"))</f>
        <v/>
      </c>
      <c r="E770" s="12"/>
      <c r="F770" s="15"/>
      <c r="G770" s="21"/>
      <c r="H770" s="1"/>
      <c r="I770" s="1"/>
      <c r="J770" s="1"/>
    </row>
    <row r="771" customFormat="false" ht="21.75" hidden="false" customHeight="true" outlineLevel="0" collapsed="false">
      <c r="A771" s="1"/>
      <c r="B771" s="20"/>
      <c r="C771" s="15"/>
      <c r="D771" s="11" t="str">
        <f aca="false">IF(C771="","",IFERROR(INDEX(Players!$C$5:$C$304,MATCH(C771,Players!$B$5:$B$304,0)),"UID not in Players sheet"))</f>
        <v/>
      </c>
      <c r="E771" s="12"/>
      <c r="F771" s="15"/>
      <c r="G771" s="21"/>
      <c r="H771" s="1"/>
      <c r="I771" s="1"/>
      <c r="J771" s="1"/>
    </row>
    <row r="772" customFormat="false" ht="21.75" hidden="false" customHeight="true" outlineLevel="0" collapsed="false">
      <c r="A772" s="1"/>
      <c r="B772" s="20"/>
      <c r="C772" s="15"/>
      <c r="D772" s="11" t="str">
        <f aca="false">IF(C772="","",IFERROR(INDEX(Players!$C$5:$C$304,MATCH(C772,Players!$B$5:$B$304,0)),"UID not in Players sheet"))</f>
        <v/>
      </c>
      <c r="E772" s="12"/>
      <c r="F772" s="15"/>
      <c r="G772" s="21"/>
      <c r="H772" s="1"/>
      <c r="I772" s="1"/>
      <c r="J772" s="1"/>
    </row>
    <row r="773" customFormat="false" ht="21.75" hidden="false" customHeight="true" outlineLevel="0" collapsed="false">
      <c r="A773" s="1"/>
      <c r="B773" s="20"/>
      <c r="C773" s="15"/>
      <c r="D773" s="11" t="str">
        <f aca="false">IF(C773="","",IFERROR(INDEX(Players!$C$5:$C$304,MATCH(C773,Players!$B$5:$B$304,0)),"UID not in Players sheet"))</f>
        <v/>
      </c>
      <c r="E773" s="12"/>
      <c r="F773" s="15"/>
      <c r="G773" s="21"/>
      <c r="H773" s="1"/>
      <c r="I773" s="1"/>
      <c r="J773" s="1"/>
    </row>
    <row r="774" customFormat="false" ht="21.75" hidden="false" customHeight="true" outlineLevel="0" collapsed="false">
      <c r="A774" s="1"/>
      <c r="B774" s="20"/>
      <c r="C774" s="15"/>
      <c r="D774" s="11" t="str">
        <f aca="false">IF(C774="","",IFERROR(INDEX(Players!$C$5:$C$304,MATCH(C774,Players!$B$5:$B$304,0)),"UID not in Players sheet"))</f>
        <v/>
      </c>
      <c r="E774" s="12"/>
      <c r="F774" s="15"/>
      <c r="G774" s="21"/>
      <c r="H774" s="1"/>
      <c r="I774" s="1"/>
      <c r="J774" s="1"/>
    </row>
    <row r="775" customFormat="false" ht="21.75" hidden="false" customHeight="true" outlineLevel="0" collapsed="false">
      <c r="A775" s="1"/>
      <c r="B775" s="20"/>
      <c r="C775" s="15"/>
      <c r="D775" s="11" t="str">
        <f aca="false">IF(C775="","",IFERROR(INDEX(Players!$C$5:$C$304,MATCH(C775,Players!$B$5:$B$304,0)),"UID not in Players sheet"))</f>
        <v/>
      </c>
      <c r="E775" s="12"/>
      <c r="F775" s="15"/>
      <c r="G775" s="21"/>
      <c r="H775" s="1"/>
      <c r="I775" s="1"/>
      <c r="J775" s="1"/>
    </row>
    <row r="776" customFormat="false" ht="21.75" hidden="false" customHeight="true" outlineLevel="0" collapsed="false">
      <c r="A776" s="1"/>
      <c r="B776" s="20"/>
      <c r="C776" s="15"/>
      <c r="D776" s="11" t="str">
        <f aca="false">IF(C776="","",IFERROR(INDEX(Players!$C$5:$C$304,MATCH(C776,Players!$B$5:$B$304,0)),"UID not in Players sheet"))</f>
        <v/>
      </c>
      <c r="E776" s="12"/>
      <c r="F776" s="15"/>
      <c r="G776" s="21"/>
      <c r="H776" s="1"/>
      <c r="I776" s="1"/>
      <c r="J776" s="1"/>
    </row>
    <row r="777" customFormat="false" ht="21.75" hidden="false" customHeight="true" outlineLevel="0" collapsed="false">
      <c r="A777" s="1"/>
      <c r="B777" s="20"/>
      <c r="C777" s="15"/>
      <c r="D777" s="11" t="str">
        <f aca="false">IF(C777="","",IFERROR(INDEX(Players!$C$5:$C$304,MATCH(C777,Players!$B$5:$B$304,0)),"UID not in Players sheet"))</f>
        <v/>
      </c>
      <c r="E777" s="12"/>
      <c r="F777" s="15"/>
      <c r="G777" s="21"/>
      <c r="H777" s="1"/>
      <c r="I777" s="1"/>
      <c r="J777" s="1"/>
    </row>
    <row r="778" customFormat="false" ht="21.75" hidden="false" customHeight="true" outlineLevel="0" collapsed="false">
      <c r="A778" s="1"/>
      <c r="B778" s="20"/>
      <c r="C778" s="15"/>
      <c r="D778" s="11" t="str">
        <f aca="false">IF(C778="","",IFERROR(INDEX(Players!$C$5:$C$304,MATCH(C778,Players!$B$5:$B$304,0)),"UID not in Players sheet"))</f>
        <v/>
      </c>
      <c r="E778" s="12"/>
      <c r="F778" s="15"/>
      <c r="G778" s="21"/>
      <c r="H778" s="1"/>
      <c r="I778" s="1"/>
      <c r="J778" s="1"/>
    </row>
    <row r="779" customFormat="false" ht="21.75" hidden="false" customHeight="true" outlineLevel="0" collapsed="false">
      <c r="A779" s="1"/>
      <c r="B779" s="20"/>
      <c r="C779" s="15"/>
      <c r="D779" s="11" t="str">
        <f aca="false">IF(C779="","",IFERROR(INDEX(Players!$C$5:$C$304,MATCH(C779,Players!$B$5:$B$304,0)),"UID not in Players sheet"))</f>
        <v/>
      </c>
      <c r="E779" s="12"/>
      <c r="F779" s="15"/>
      <c r="G779" s="21"/>
      <c r="H779" s="1"/>
      <c r="I779" s="1"/>
      <c r="J779" s="1"/>
    </row>
    <row r="780" customFormat="false" ht="21.75" hidden="false" customHeight="true" outlineLevel="0" collapsed="false">
      <c r="A780" s="1"/>
      <c r="B780" s="20"/>
      <c r="C780" s="15"/>
      <c r="D780" s="11" t="str">
        <f aca="false">IF(C780="","",IFERROR(INDEX(Players!$C$5:$C$304,MATCH(C780,Players!$B$5:$B$304,0)),"UID not in Players sheet"))</f>
        <v/>
      </c>
      <c r="E780" s="12"/>
      <c r="F780" s="15"/>
      <c r="G780" s="21"/>
      <c r="H780" s="1"/>
      <c r="I780" s="1"/>
      <c r="J780" s="1"/>
    </row>
    <row r="781" customFormat="false" ht="21.75" hidden="false" customHeight="true" outlineLevel="0" collapsed="false">
      <c r="A781" s="1"/>
      <c r="B781" s="20"/>
      <c r="C781" s="15"/>
      <c r="D781" s="11" t="str">
        <f aca="false">IF(C781="","",IFERROR(INDEX(Players!$C$5:$C$304,MATCH(C781,Players!$B$5:$B$304,0)),"UID not in Players sheet"))</f>
        <v/>
      </c>
      <c r="E781" s="12"/>
      <c r="F781" s="15"/>
      <c r="G781" s="21"/>
      <c r="H781" s="1"/>
      <c r="I781" s="1"/>
      <c r="J781" s="1"/>
    </row>
    <row r="782" customFormat="false" ht="21.75" hidden="false" customHeight="true" outlineLevel="0" collapsed="false">
      <c r="A782" s="1"/>
      <c r="B782" s="20"/>
      <c r="C782" s="15"/>
      <c r="D782" s="11" t="str">
        <f aca="false">IF(C782="","",IFERROR(INDEX(Players!$C$5:$C$304,MATCH(C782,Players!$B$5:$B$304,0)),"UID not in Players sheet"))</f>
        <v/>
      </c>
      <c r="E782" s="12"/>
      <c r="F782" s="15"/>
      <c r="G782" s="21"/>
      <c r="H782" s="1"/>
      <c r="I782" s="1"/>
      <c r="J782" s="1"/>
    </row>
    <row r="783" customFormat="false" ht="21.75" hidden="false" customHeight="true" outlineLevel="0" collapsed="false">
      <c r="A783" s="1"/>
      <c r="B783" s="20"/>
      <c r="C783" s="15"/>
      <c r="D783" s="11" t="str">
        <f aca="false">IF(C783="","",IFERROR(INDEX(Players!$C$5:$C$304,MATCH(C783,Players!$B$5:$B$304,0)),"UID not in Players sheet"))</f>
        <v/>
      </c>
      <c r="E783" s="12"/>
      <c r="F783" s="15"/>
      <c r="G783" s="21"/>
      <c r="H783" s="1"/>
      <c r="I783" s="1"/>
      <c r="J783" s="1"/>
    </row>
    <row r="784" customFormat="false" ht="21.75" hidden="false" customHeight="true" outlineLevel="0" collapsed="false">
      <c r="A784" s="1"/>
      <c r="B784" s="20"/>
      <c r="C784" s="15"/>
      <c r="D784" s="11" t="str">
        <f aca="false">IF(C784="","",IFERROR(INDEX(Players!$C$5:$C$304,MATCH(C784,Players!$B$5:$B$304,0)),"UID not in Players sheet"))</f>
        <v/>
      </c>
      <c r="E784" s="12"/>
      <c r="F784" s="15"/>
      <c r="G784" s="21"/>
      <c r="H784" s="1"/>
      <c r="I784" s="1"/>
      <c r="J784" s="1"/>
    </row>
    <row r="785" customFormat="false" ht="21.75" hidden="false" customHeight="true" outlineLevel="0" collapsed="false">
      <c r="A785" s="1"/>
      <c r="B785" s="20"/>
      <c r="C785" s="15"/>
      <c r="D785" s="11" t="str">
        <f aca="false">IF(C785="","",IFERROR(INDEX(Players!$C$5:$C$304,MATCH(C785,Players!$B$5:$B$304,0)),"UID not in Players sheet"))</f>
        <v/>
      </c>
      <c r="E785" s="12"/>
      <c r="F785" s="15"/>
      <c r="G785" s="21"/>
      <c r="H785" s="1"/>
      <c r="I785" s="1"/>
      <c r="J785" s="1"/>
    </row>
    <row r="786" customFormat="false" ht="21.75" hidden="false" customHeight="true" outlineLevel="0" collapsed="false">
      <c r="A786" s="1"/>
      <c r="B786" s="20"/>
      <c r="C786" s="15"/>
      <c r="D786" s="11" t="str">
        <f aca="false">IF(C786="","",IFERROR(INDEX(Players!$C$5:$C$304,MATCH(C786,Players!$B$5:$B$304,0)),"UID not in Players sheet"))</f>
        <v/>
      </c>
      <c r="E786" s="12"/>
      <c r="F786" s="15"/>
      <c r="G786" s="21"/>
      <c r="H786" s="1"/>
      <c r="I786" s="1"/>
      <c r="J786" s="1"/>
    </row>
    <row r="787" customFormat="false" ht="21.75" hidden="false" customHeight="true" outlineLevel="0" collapsed="false">
      <c r="A787" s="1"/>
      <c r="B787" s="20"/>
      <c r="C787" s="15"/>
      <c r="D787" s="11" t="str">
        <f aca="false">IF(C787="","",IFERROR(INDEX(Players!$C$5:$C$304,MATCH(C787,Players!$B$5:$B$304,0)),"UID not in Players sheet"))</f>
        <v/>
      </c>
      <c r="E787" s="12"/>
      <c r="F787" s="15"/>
      <c r="G787" s="21"/>
      <c r="H787" s="1"/>
      <c r="I787" s="1"/>
      <c r="J787" s="1"/>
    </row>
    <row r="788" customFormat="false" ht="21.75" hidden="false" customHeight="true" outlineLevel="0" collapsed="false">
      <c r="A788" s="1"/>
      <c r="B788" s="20"/>
      <c r="C788" s="15"/>
      <c r="D788" s="11" t="str">
        <f aca="false">IF(C788="","",IFERROR(INDEX(Players!$C$5:$C$304,MATCH(C788,Players!$B$5:$B$304,0)),"UID not in Players sheet"))</f>
        <v/>
      </c>
      <c r="E788" s="12"/>
      <c r="F788" s="15"/>
      <c r="G788" s="21"/>
      <c r="H788" s="1"/>
      <c r="I788" s="1"/>
      <c r="J788" s="1"/>
    </row>
    <row r="789" customFormat="false" ht="21.75" hidden="false" customHeight="true" outlineLevel="0" collapsed="false">
      <c r="A789" s="1"/>
      <c r="B789" s="20"/>
      <c r="C789" s="15"/>
      <c r="D789" s="11" t="str">
        <f aca="false">IF(C789="","",IFERROR(INDEX(Players!$C$5:$C$304,MATCH(C789,Players!$B$5:$B$304,0)),"UID not in Players sheet"))</f>
        <v/>
      </c>
      <c r="E789" s="12"/>
      <c r="F789" s="15"/>
      <c r="G789" s="21"/>
      <c r="H789" s="1"/>
      <c r="I789" s="1"/>
      <c r="J789" s="1"/>
    </row>
    <row r="790" customFormat="false" ht="21.75" hidden="false" customHeight="true" outlineLevel="0" collapsed="false">
      <c r="A790" s="1"/>
      <c r="B790" s="20"/>
      <c r="C790" s="15"/>
      <c r="D790" s="11" t="str">
        <f aca="false">IF(C790="","",IFERROR(INDEX(Players!$C$5:$C$304,MATCH(C790,Players!$B$5:$B$304,0)),"UID not in Players sheet"))</f>
        <v/>
      </c>
      <c r="E790" s="12"/>
      <c r="F790" s="15"/>
      <c r="G790" s="21"/>
      <c r="H790" s="1"/>
      <c r="I790" s="1"/>
      <c r="J790" s="1"/>
    </row>
    <row r="791" customFormat="false" ht="21.75" hidden="false" customHeight="true" outlineLevel="0" collapsed="false">
      <c r="A791" s="1"/>
      <c r="B791" s="20"/>
      <c r="C791" s="15"/>
      <c r="D791" s="11" t="str">
        <f aca="false">IF(C791="","",IFERROR(INDEX(Players!$C$5:$C$304,MATCH(C791,Players!$B$5:$B$304,0)),"UID not in Players sheet"))</f>
        <v/>
      </c>
      <c r="E791" s="12"/>
      <c r="F791" s="15"/>
      <c r="G791" s="21"/>
      <c r="H791" s="1"/>
      <c r="I791" s="1"/>
      <c r="J791" s="1"/>
    </row>
    <row r="792" customFormat="false" ht="21.75" hidden="false" customHeight="true" outlineLevel="0" collapsed="false">
      <c r="A792" s="1"/>
      <c r="B792" s="20"/>
      <c r="C792" s="15"/>
      <c r="D792" s="11" t="str">
        <f aca="false">IF(C792="","",IFERROR(INDEX(Players!$C$5:$C$304,MATCH(C792,Players!$B$5:$B$304,0)),"UID not in Players sheet"))</f>
        <v/>
      </c>
      <c r="E792" s="12"/>
      <c r="F792" s="15"/>
      <c r="G792" s="21"/>
      <c r="H792" s="1"/>
      <c r="I792" s="1"/>
      <c r="J792" s="1"/>
    </row>
    <row r="793" customFormat="false" ht="21.75" hidden="false" customHeight="true" outlineLevel="0" collapsed="false">
      <c r="A793" s="1"/>
      <c r="B793" s="20"/>
      <c r="C793" s="15"/>
      <c r="D793" s="11" t="str">
        <f aca="false">IF(C793="","",IFERROR(INDEX(Players!$C$5:$C$304,MATCH(C793,Players!$B$5:$B$304,0)),"UID not in Players sheet"))</f>
        <v/>
      </c>
      <c r="E793" s="12"/>
      <c r="F793" s="15"/>
      <c r="G793" s="21"/>
      <c r="H793" s="1"/>
      <c r="I793" s="1"/>
      <c r="J793" s="1"/>
    </row>
    <row r="794" customFormat="false" ht="21.75" hidden="false" customHeight="true" outlineLevel="0" collapsed="false">
      <c r="A794" s="1"/>
      <c r="B794" s="20"/>
      <c r="C794" s="15"/>
      <c r="D794" s="11" t="str">
        <f aca="false">IF(C794="","",IFERROR(INDEX(Players!$C$5:$C$304,MATCH(C794,Players!$B$5:$B$304,0)),"UID not in Players sheet"))</f>
        <v/>
      </c>
      <c r="E794" s="12"/>
      <c r="F794" s="15"/>
      <c r="G794" s="21"/>
      <c r="H794" s="1"/>
      <c r="I794" s="1"/>
      <c r="J794" s="1"/>
    </row>
    <row r="795" customFormat="false" ht="21.75" hidden="false" customHeight="true" outlineLevel="0" collapsed="false">
      <c r="A795" s="1"/>
      <c r="B795" s="20"/>
      <c r="C795" s="15"/>
      <c r="D795" s="11" t="str">
        <f aca="false">IF(C795="","",IFERROR(INDEX(Players!$C$5:$C$304,MATCH(C795,Players!$B$5:$B$304,0)),"UID not in Players sheet"))</f>
        <v/>
      </c>
      <c r="E795" s="12"/>
      <c r="F795" s="15"/>
      <c r="G795" s="21"/>
      <c r="H795" s="1"/>
      <c r="I795" s="1"/>
      <c r="J795" s="1"/>
    </row>
    <row r="796" customFormat="false" ht="21.75" hidden="false" customHeight="true" outlineLevel="0" collapsed="false">
      <c r="A796" s="1"/>
      <c r="B796" s="20"/>
      <c r="C796" s="15"/>
      <c r="D796" s="11" t="str">
        <f aca="false">IF(C796="","",IFERROR(INDEX(Players!$C$5:$C$304,MATCH(C796,Players!$B$5:$B$304,0)),"UID not in Players sheet"))</f>
        <v/>
      </c>
      <c r="E796" s="12"/>
      <c r="F796" s="15"/>
      <c r="G796" s="21"/>
      <c r="H796" s="1"/>
      <c r="I796" s="1"/>
      <c r="J796" s="1"/>
    </row>
    <row r="797" customFormat="false" ht="21.75" hidden="false" customHeight="true" outlineLevel="0" collapsed="false">
      <c r="A797" s="1"/>
      <c r="B797" s="20"/>
      <c r="C797" s="15"/>
      <c r="D797" s="11" t="str">
        <f aca="false">IF(C797="","",IFERROR(INDEX(Players!$C$5:$C$304,MATCH(C797,Players!$B$5:$B$304,0)),"UID not in Players sheet"))</f>
        <v/>
      </c>
      <c r="E797" s="12"/>
      <c r="F797" s="15"/>
      <c r="G797" s="21"/>
      <c r="H797" s="1"/>
      <c r="I797" s="1"/>
      <c r="J797" s="1"/>
    </row>
    <row r="798" customFormat="false" ht="21.75" hidden="false" customHeight="true" outlineLevel="0" collapsed="false">
      <c r="A798" s="1"/>
      <c r="B798" s="20"/>
      <c r="C798" s="15"/>
      <c r="D798" s="11" t="str">
        <f aca="false">IF(C798="","",IFERROR(INDEX(Players!$C$5:$C$304,MATCH(C798,Players!$B$5:$B$304,0)),"UID not in Players sheet"))</f>
        <v/>
      </c>
      <c r="E798" s="12"/>
      <c r="F798" s="15"/>
      <c r="G798" s="21"/>
      <c r="H798" s="1"/>
      <c r="I798" s="1"/>
      <c r="J798" s="1"/>
    </row>
    <row r="799" customFormat="false" ht="21.75" hidden="false" customHeight="true" outlineLevel="0" collapsed="false">
      <c r="A799" s="1"/>
      <c r="B799" s="20"/>
      <c r="C799" s="15"/>
      <c r="D799" s="11" t="str">
        <f aca="false">IF(C799="","",IFERROR(INDEX(Players!$C$5:$C$304,MATCH(C799,Players!$B$5:$B$304,0)),"UID not in Players sheet"))</f>
        <v/>
      </c>
      <c r="E799" s="12"/>
      <c r="F799" s="15"/>
      <c r="G799" s="21"/>
      <c r="H799" s="1"/>
      <c r="I799" s="1"/>
      <c r="J799" s="1"/>
    </row>
    <row r="800" customFormat="false" ht="21.75" hidden="false" customHeight="true" outlineLevel="0" collapsed="false">
      <c r="A800" s="1"/>
      <c r="B800" s="20"/>
      <c r="C800" s="15"/>
      <c r="D800" s="11" t="str">
        <f aca="false">IF(C800="","",IFERROR(INDEX(Players!$C$5:$C$304,MATCH(C800,Players!$B$5:$B$304,0)),"UID not in Players sheet"))</f>
        <v/>
      </c>
      <c r="E800" s="12"/>
      <c r="F800" s="15"/>
      <c r="G800" s="21"/>
      <c r="H800" s="1"/>
      <c r="I800" s="1"/>
      <c r="J800" s="1"/>
    </row>
    <row r="801" customFormat="false" ht="21.75" hidden="false" customHeight="true" outlineLevel="0" collapsed="false">
      <c r="A801" s="1"/>
      <c r="B801" s="20"/>
      <c r="C801" s="15"/>
      <c r="D801" s="11" t="str">
        <f aca="false">IF(C801="","",IFERROR(INDEX(Players!$C$5:$C$304,MATCH(C801,Players!$B$5:$B$304,0)),"UID not in Players sheet"))</f>
        <v/>
      </c>
      <c r="E801" s="12"/>
      <c r="F801" s="15"/>
      <c r="G801" s="21"/>
      <c r="H801" s="1"/>
      <c r="I801" s="1"/>
      <c r="J801" s="1"/>
    </row>
    <row r="802" customFormat="false" ht="21.75" hidden="false" customHeight="true" outlineLevel="0" collapsed="false">
      <c r="A802" s="1"/>
      <c r="B802" s="20"/>
      <c r="C802" s="15"/>
      <c r="D802" s="11" t="str">
        <f aca="false">IF(C802="","",IFERROR(INDEX(Players!$C$5:$C$304,MATCH(C802,Players!$B$5:$B$304,0)),"UID not in Players sheet"))</f>
        <v/>
      </c>
      <c r="E802" s="12"/>
      <c r="F802" s="15"/>
      <c r="G802" s="21"/>
      <c r="H802" s="1"/>
      <c r="I802" s="1"/>
      <c r="J802" s="1"/>
    </row>
    <row r="803" customFormat="false" ht="21.75" hidden="false" customHeight="true" outlineLevel="0" collapsed="false">
      <c r="A803" s="1"/>
      <c r="B803" s="20"/>
      <c r="C803" s="15"/>
      <c r="D803" s="11" t="str">
        <f aca="false">IF(C803="","",IFERROR(INDEX(Players!$C$5:$C$304,MATCH(C803,Players!$B$5:$B$304,0)),"UID not in Players sheet"))</f>
        <v/>
      </c>
      <c r="E803" s="12"/>
      <c r="F803" s="15"/>
      <c r="G803" s="21"/>
      <c r="H803" s="1"/>
      <c r="I803" s="1"/>
      <c r="J803" s="1"/>
    </row>
    <row r="804" customFormat="false" ht="21.75" hidden="false" customHeight="true" outlineLevel="0" collapsed="false">
      <c r="A804" s="1"/>
      <c r="B804" s="20"/>
      <c r="C804" s="15"/>
      <c r="D804" s="11" t="str">
        <f aca="false">IF(C804="","",IFERROR(INDEX(Players!$C$5:$C$304,MATCH(C804,Players!$B$5:$B$304,0)),"UID not in Players sheet"))</f>
        <v/>
      </c>
      <c r="E804" s="12"/>
      <c r="F804" s="15"/>
      <c r="G804" s="21"/>
      <c r="H804" s="1"/>
      <c r="I804" s="1"/>
      <c r="J804" s="1"/>
    </row>
    <row r="805" customFormat="false" ht="21.75" hidden="false" customHeight="true" outlineLevel="0" collapsed="false">
      <c r="A805" s="1"/>
      <c r="B805" s="20"/>
      <c r="C805" s="15"/>
      <c r="D805" s="11" t="str">
        <f aca="false">IF(C805="","",IFERROR(INDEX(Players!$C$5:$C$304,MATCH(C805,Players!$B$5:$B$304,0)),"UID not in Players sheet"))</f>
        <v/>
      </c>
      <c r="E805" s="12"/>
      <c r="F805" s="15"/>
      <c r="G805" s="21"/>
      <c r="H805" s="1"/>
      <c r="I805" s="1"/>
      <c r="J805" s="1"/>
    </row>
    <row r="806" customFormat="false" ht="21.75" hidden="false" customHeight="true" outlineLevel="0" collapsed="false">
      <c r="A806" s="1"/>
      <c r="B806" s="20"/>
      <c r="C806" s="15"/>
      <c r="D806" s="11" t="str">
        <f aca="false">IF(C806="","",IFERROR(INDEX(Players!$C$5:$C$304,MATCH(C806,Players!$B$5:$B$304,0)),"UID not in Players sheet"))</f>
        <v/>
      </c>
      <c r="E806" s="12"/>
      <c r="F806" s="15"/>
      <c r="G806" s="21"/>
      <c r="H806" s="1"/>
      <c r="I806" s="1"/>
      <c r="J806" s="1"/>
    </row>
    <row r="807" customFormat="false" ht="21.75" hidden="false" customHeight="true" outlineLevel="0" collapsed="false">
      <c r="A807" s="1"/>
      <c r="B807" s="20"/>
      <c r="C807" s="15"/>
      <c r="D807" s="11" t="str">
        <f aca="false">IF(C807="","",IFERROR(INDEX(Players!$C$5:$C$304,MATCH(C807,Players!$B$5:$B$304,0)),"UID not in Players sheet"))</f>
        <v/>
      </c>
      <c r="E807" s="12"/>
      <c r="F807" s="15"/>
      <c r="G807" s="21"/>
      <c r="H807" s="1"/>
      <c r="I807" s="1"/>
      <c r="J807" s="1"/>
    </row>
    <row r="808" customFormat="false" ht="21.75" hidden="false" customHeight="true" outlineLevel="0" collapsed="false">
      <c r="A808" s="1"/>
      <c r="B808" s="20"/>
      <c r="C808" s="15"/>
      <c r="D808" s="11" t="str">
        <f aca="false">IF(C808="","",IFERROR(INDEX(Players!$C$5:$C$304,MATCH(C808,Players!$B$5:$B$304,0)),"UID not in Players sheet"))</f>
        <v/>
      </c>
      <c r="E808" s="12"/>
      <c r="F808" s="15"/>
      <c r="G808" s="21"/>
      <c r="H808" s="1"/>
      <c r="I808" s="1"/>
      <c r="J808" s="1"/>
    </row>
    <row r="809" customFormat="false" ht="21.75" hidden="false" customHeight="true" outlineLevel="0" collapsed="false">
      <c r="A809" s="1"/>
      <c r="B809" s="20"/>
      <c r="C809" s="15"/>
      <c r="D809" s="11" t="str">
        <f aca="false">IF(C809="","",IFERROR(INDEX(Players!$C$5:$C$304,MATCH(C809,Players!$B$5:$B$304,0)),"UID not in Players sheet"))</f>
        <v/>
      </c>
      <c r="E809" s="12"/>
      <c r="F809" s="15"/>
      <c r="G809" s="21"/>
      <c r="H809" s="1"/>
      <c r="I809" s="1"/>
      <c r="J809" s="1"/>
    </row>
    <row r="810" customFormat="false" ht="21.75" hidden="false" customHeight="true" outlineLevel="0" collapsed="false">
      <c r="A810" s="1"/>
      <c r="B810" s="20"/>
      <c r="C810" s="15"/>
      <c r="D810" s="11" t="str">
        <f aca="false">IF(C810="","",IFERROR(INDEX(Players!$C$5:$C$304,MATCH(C810,Players!$B$5:$B$304,0)),"UID not in Players sheet"))</f>
        <v/>
      </c>
      <c r="E810" s="12"/>
      <c r="F810" s="15"/>
      <c r="G810" s="21"/>
      <c r="H810" s="1"/>
      <c r="I810" s="1"/>
      <c r="J810" s="1"/>
    </row>
    <row r="811" customFormat="false" ht="21.75" hidden="false" customHeight="true" outlineLevel="0" collapsed="false">
      <c r="A811" s="1"/>
      <c r="B811" s="20"/>
      <c r="C811" s="15"/>
      <c r="D811" s="11" t="str">
        <f aca="false">IF(C811="","",IFERROR(INDEX(Players!$C$5:$C$304,MATCH(C811,Players!$B$5:$B$304,0)),"UID not in Players sheet"))</f>
        <v/>
      </c>
      <c r="E811" s="12"/>
      <c r="F811" s="15"/>
      <c r="G811" s="21"/>
      <c r="H811" s="1"/>
      <c r="I811" s="1"/>
      <c r="J811" s="1"/>
    </row>
    <row r="812" customFormat="false" ht="21.75" hidden="false" customHeight="true" outlineLevel="0" collapsed="false">
      <c r="A812" s="1"/>
      <c r="B812" s="20"/>
      <c r="C812" s="15"/>
      <c r="D812" s="11" t="str">
        <f aca="false">IF(C812="","",IFERROR(INDEX(Players!$C$5:$C$304,MATCH(C812,Players!$B$5:$B$304,0)),"UID not in Players sheet"))</f>
        <v/>
      </c>
      <c r="E812" s="12"/>
      <c r="F812" s="15"/>
      <c r="G812" s="21"/>
      <c r="H812" s="1"/>
      <c r="I812" s="1"/>
      <c r="J812" s="1"/>
    </row>
    <row r="813" customFormat="false" ht="21.75" hidden="false" customHeight="true" outlineLevel="0" collapsed="false">
      <c r="A813" s="1"/>
      <c r="B813" s="20"/>
      <c r="C813" s="15"/>
      <c r="D813" s="11" t="str">
        <f aca="false">IF(C813="","",IFERROR(INDEX(Players!$C$5:$C$304,MATCH(C813,Players!$B$5:$B$304,0)),"UID not in Players sheet"))</f>
        <v/>
      </c>
      <c r="E813" s="12"/>
      <c r="F813" s="15"/>
      <c r="G813" s="21"/>
      <c r="H813" s="1"/>
      <c r="I813" s="1"/>
      <c r="J813" s="1"/>
    </row>
    <row r="814" customFormat="false" ht="21.75" hidden="false" customHeight="true" outlineLevel="0" collapsed="false">
      <c r="A814" s="1"/>
      <c r="B814" s="20"/>
      <c r="C814" s="15"/>
      <c r="D814" s="11" t="str">
        <f aca="false">IF(C814="","",IFERROR(INDEX(Players!$C$5:$C$304,MATCH(C814,Players!$B$5:$B$304,0)),"UID not in Players sheet"))</f>
        <v/>
      </c>
      <c r="E814" s="12"/>
      <c r="F814" s="15"/>
      <c r="G814" s="21"/>
      <c r="H814" s="1"/>
      <c r="I814" s="1"/>
      <c r="J814" s="1"/>
    </row>
    <row r="815" customFormat="false" ht="21.75" hidden="false" customHeight="true" outlineLevel="0" collapsed="false">
      <c r="A815" s="1"/>
      <c r="B815" s="20"/>
      <c r="C815" s="15"/>
      <c r="D815" s="11" t="str">
        <f aca="false">IF(C815="","",IFERROR(INDEX(Players!$C$5:$C$304,MATCH(C815,Players!$B$5:$B$304,0)),"UID not in Players sheet"))</f>
        <v/>
      </c>
      <c r="E815" s="12"/>
      <c r="F815" s="15"/>
      <c r="G815" s="21"/>
      <c r="H815" s="1"/>
      <c r="I815" s="1"/>
      <c r="J815" s="1"/>
    </row>
    <row r="816" customFormat="false" ht="21.75" hidden="false" customHeight="true" outlineLevel="0" collapsed="false">
      <c r="A816" s="1"/>
      <c r="B816" s="20"/>
      <c r="C816" s="15"/>
      <c r="D816" s="11" t="str">
        <f aca="false">IF(C816="","",IFERROR(INDEX(Players!$C$5:$C$304,MATCH(C816,Players!$B$5:$B$304,0)),"UID not in Players sheet"))</f>
        <v/>
      </c>
      <c r="E816" s="12"/>
      <c r="F816" s="15"/>
      <c r="G816" s="21"/>
      <c r="H816" s="1"/>
      <c r="I816" s="1"/>
      <c r="J816" s="1"/>
    </row>
    <row r="817" customFormat="false" ht="21.75" hidden="false" customHeight="true" outlineLevel="0" collapsed="false">
      <c r="A817" s="1"/>
      <c r="B817" s="20"/>
      <c r="C817" s="15"/>
      <c r="D817" s="11" t="str">
        <f aca="false">IF(C817="","",IFERROR(INDEX(Players!$C$5:$C$304,MATCH(C817,Players!$B$5:$B$304,0)),"UID not in Players sheet"))</f>
        <v/>
      </c>
      <c r="E817" s="12"/>
      <c r="F817" s="15"/>
      <c r="G817" s="21"/>
      <c r="H817" s="1"/>
      <c r="I817" s="1"/>
      <c r="J817" s="1"/>
    </row>
    <row r="818" customFormat="false" ht="21.75" hidden="false" customHeight="true" outlineLevel="0" collapsed="false">
      <c r="A818" s="1"/>
      <c r="B818" s="20"/>
      <c r="C818" s="15"/>
      <c r="D818" s="11" t="str">
        <f aca="false">IF(C818="","",IFERROR(INDEX(Players!$C$5:$C$304,MATCH(C818,Players!$B$5:$B$304,0)),"UID not in Players sheet"))</f>
        <v/>
      </c>
      <c r="E818" s="12"/>
      <c r="F818" s="15"/>
      <c r="G818" s="21"/>
      <c r="H818" s="1"/>
      <c r="I818" s="1"/>
      <c r="J818" s="1"/>
    </row>
    <row r="819" customFormat="false" ht="21.75" hidden="false" customHeight="true" outlineLevel="0" collapsed="false">
      <c r="A819" s="1"/>
      <c r="B819" s="20"/>
      <c r="C819" s="15"/>
      <c r="D819" s="11" t="str">
        <f aca="false">IF(C819="","",IFERROR(INDEX(Players!$C$5:$C$304,MATCH(C819,Players!$B$5:$B$304,0)),"UID not in Players sheet"))</f>
        <v/>
      </c>
      <c r="E819" s="12"/>
      <c r="F819" s="15"/>
      <c r="G819" s="21"/>
      <c r="H819" s="1"/>
      <c r="I819" s="1"/>
      <c r="J819" s="1"/>
    </row>
    <row r="820" customFormat="false" ht="21.75" hidden="false" customHeight="true" outlineLevel="0" collapsed="false">
      <c r="A820" s="1"/>
      <c r="B820" s="20"/>
      <c r="C820" s="15"/>
      <c r="D820" s="11" t="str">
        <f aca="false">IF(C820="","",IFERROR(INDEX(Players!$C$5:$C$304,MATCH(C820,Players!$B$5:$B$304,0)),"UID not in Players sheet"))</f>
        <v/>
      </c>
      <c r="E820" s="12"/>
      <c r="F820" s="15"/>
      <c r="G820" s="21"/>
      <c r="H820" s="1"/>
      <c r="I820" s="1"/>
      <c r="J820" s="1"/>
    </row>
    <row r="821" customFormat="false" ht="21.75" hidden="false" customHeight="true" outlineLevel="0" collapsed="false">
      <c r="A821" s="1"/>
      <c r="B821" s="20"/>
      <c r="C821" s="15"/>
      <c r="D821" s="11" t="str">
        <f aca="false">IF(C821="","",IFERROR(INDEX(Players!$C$5:$C$304,MATCH(C821,Players!$B$5:$B$304,0)),"UID not in Players sheet"))</f>
        <v/>
      </c>
      <c r="E821" s="12"/>
      <c r="F821" s="15"/>
      <c r="G821" s="21"/>
      <c r="H821" s="1"/>
      <c r="I821" s="1"/>
      <c r="J821" s="1"/>
    </row>
    <row r="822" customFormat="false" ht="21.75" hidden="false" customHeight="true" outlineLevel="0" collapsed="false">
      <c r="A822" s="1"/>
      <c r="B822" s="20"/>
      <c r="C822" s="15"/>
      <c r="D822" s="11" t="str">
        <f aca="false">IF(C822="","",IFERROR(INDEX(Players!$C$5:$C$304,MATCH(C822,Players!$B$5:$B$304,0)),"UID not in Players sheet"))</f>
        <v/>
      </c>
      <c r="E822" s="12"/>
      <c r="F822" s="15"/>
      <c r="G822" s="21"/>
      <c r="H822" s="1"/>
      <c r="I822" s="1"/>
      <c r="J822" s="1"/>
    </row>
    <row r="823" customFormat="false" ht="21.75" hidden="false" customHeight="true" outlineLevel="0" collapsed="false">
      <c r="A823" s="1"/>
      <c r="B823" s="20"/>
      <c r="C823" s="15"/>
      <c r="D823" s="11" t="str">
        <f aca="false">IF(C823="","",IFERROR(INDEX(Players!$C$5:$C$304,MATCH(C823,Players!$B$5:$B$304,0)),"UID not in Players sheet"))</f>
        <v/>
      </c>
      <c r="E823" s="12"/>
      <c r="F823" s="15"/>
      <c r="G823" s="21"/>
      <c r="H823" s="1"/>
      <c r="I823" s="1"/>
      <c r="J823" s="1"/>
    </row>
    <row r="824" customFormat="false" ht="21.75" hidden="false" customHeight="true" outlineLevel="0" collapsed="false">
      <c r="A824" s="1"/>
      <c r="B824" s="20"/>
      <c r="C824" s="15"/>
      <c r="D824" s="11" t="str">
        <f aca="false">IF(C824="","",IFERROR(INDEX(Players!$C$5:$C$304,MATCH(C824,Players!$B$5:$B$304,0)),"UID not in Players sheet"))</f>
        <v/>
      </c>
      <c r="E824" s="12"/>
      <c r="F824" s="15"/>
      <c r="G824" s="21"/>
      <c r="H824" s="1"/>
      <c r="I824" s="1"/>
      <c r="J824" s="1"/>
    </row>
    <row r="825" customFormat="false" ht="21.75" hidden="false" customHeight="true" outlineLevel="0" collapsed="false">
      <c r="A825" s="1"/>
      <c r="B825" s="20"/>
      <c r="C825" s="15"/>
      <c r="D825" s="11" t="str">
        <f aca="false">IF(C825="","",IFERROR(INDEX(Players!$C$5:$C$304,MATCH(C825,Players!$B$5:$B$304,0)),"UID not in Players sheet"))</f>
        <v/>
      </c>
      <c r="E825" s="12"/>
      <c r="F825" s="15"/>
      <c r="G825" s="21"/>
      <c r="H825" s="1"/>
      <c r="I825" s="1"/>
      <c r="J825" s="1"/>
    </row>
    <row r="826" customFormat="false" ht="21.75" hidden="false" customHeight="true" outlineLevel="0" collapsed="false">
      <c r="A826" s="1"/>
      <c r="B826" s="20"/>
      <c r="C826" s="15"/>
      <c r="D826" s="11" t="str">
        <f aca="false">IF(C826="","",IFERROR(INDEX(Players!$C$5:$C$304,MATCH(C826,Players!$B$5:$B$304,0)),"UID not in Players sheet"))</f>
        <v/>
      </c>
      <c r="E826" s="12"/>
      <c r="F826" s="15"/>
      <c r="G826" s="21"/>
      <c r="H826" s="1"/>
      <c r="I826" s="1"/>
      <c r="J826" s="1"/>
    </row>
    <row r="827" customFormat="false" ht="21.75" hidden="false" customHeight="true" outlineLevel="0" collapsed="false">
      <c r="A827" s="1"/>
      <c r="B827" s="20"/>
      <c r="C827" s="15"/>
      <c r="D827" s="11" t="str">
        <f aca="false">IF(C827="","",IFERROR(INDEX(Players!$C$5:$C$304,MATCH(C827,Players!$B$5:$B$304,0)),"UID not in Players sheet"))</f>
        <v/>
      </c>
      <c r="E827" s="12"/>
      <c r="F827" s="15"/>
      <c r="G827" s="21"/>
      <c r="H827" s="1"/>
      <c r="I827" s="1"/>
      <c r="J827" s="1"/>
    </row>
    <row r="828" customFormat="false" ht="21.75" hidden="false" customHeight="true" outlineLevel="0" collapsed="false">
      <c r="A828" s="1"/>
      <c r="B828" s="20"/>
      <c r="C828" s="15"/>
      <c r="D828" s="11" t="str">
        <f aca="false">IF(C828="","",IFERROR(INDEX(Players!$C$5:$C$304,MATCH(C828,Players!$B$5:$B$304,0)),"UID not in Players sheet"))</f>
        <v/>
      </c>
      <c r="E828" s="12"/>
      <c r="F828" s="15"/>
      <c r="G828" s="21"/>
      <c r="H828" s="1"/>
      <c r="I828" s="1"/>
      <c r="J828" s="1"/>
    </row>
    <row r="829" customFormat="false" ht="21.75" hidden="false" customHeight="true" outlineLevel="0" collapsed="false">
      <c r="A829" s="1"/>
      <c r="B829" s="20"/>
      <c r="C829" s="15"/>
      <c r="D829" s="11" t="str">
        <f aca="false">IF(C829="","",IFERROR(INDEX(Players!$C$5:$C$304,MATCH(C829,Players!$B$5:$B$304,0)),"UID not in Players sheet"))</f>
        <v/>
      </c>
      <c r="E829" s="12"/>
      <c r="F829" s="15"/>
      <c r="G829" s="21"/>
      <c r="H829" s="1"/>
      <c r="I829" s="1"/>
      <c r="J829" s="1"/>
    </row>
    <row r="830" customFormat="false" ht="21.75" hidden="false" customHeight="true" outlineLevel="0" collapsed="false">
      <c r="A830" s="1"/>
      <c r="B830" s="20"/>
      <c r="C830" s="15"/>
      <c r="D830" s="11" t="str">
        <f aca="false">IF(C830="","",IFERROR(INDEX(Players!$C$5:$C$304,MATCH(C830,Players!$B$5:$B$304,0)),"UID not in Players sheet"))</f>
        <v/>
      </c>
      <c r="E830" s="12"/>
      <c r="F830" s="15"/>
      <c r="G830" s="21"/>
      <c r="H830" s="1"/>
      <c r="I830" s="1"/>
      <c r="J830" s="1"/>
    </row>
    <row r="831" customFormat="false" ht="21.75" hidden="false" customHeight="true" outlineLevel="0" collapsed="false">
      <c r="A831" s="1"/>
      <c r="B831" s="20"/>
      <c r="C831" s="15"/>
      <c r="D831" s="11" t="str">
        <f aca="false">IF(C831="","",IFERROR(INDEX(Players!$C$5:$C$304,MATCH(C831,Players!$B$5:$B$304,0)),"UID not in Players sheet"))</f>
        <v/>
      </c>
      <c r="E831" s="12"/>
      <c r="F831" s="15"/>
      <c r="G831" s="21"/>
      <c r="H831" s="1"/>
      <c r="I831" s="1"/>
      <c r="J831" s="1"/>
    </row>
    <row r="832" customFormat="false" ht="21.75" hidden="false" customHeight="true" outlineLevel="0" collapsed="false">
      <c r="A832" s="1"/>
      <c r="B832" s="20"/>
      <c r="C832" s="15"/>
      <c r="D832" s="11" t="str">
        <f aca="false">IF(C832="","",IFERROR(INDEX(Players!$C$5:$C$304,MATCH(C832,Players!$B$5:$B$304,0)),"UID not in Players sheet"))</f>
        <v/>
      </c>
      <c r="E832" s="12"/>
      <c r="F832" s="15"/>
      <c r="G832" s="21"/>
      <c r="H832" s="1"/>
      <c r="I832" s="1"/>
      <c r="J832" s="1"/>
    </row>
    <row r="833" customFormat="false" ht="21.75" hidden="false" customHeight="true" outlineLevel="0" collapsed="false">
      <c r="A833" s="1"/>
      <c r="B833" s="20"/>
      <c r="C833" s="15"/>
      <c r="D833" s="11" t="str">
        <f aca="false">IF(C833="","",IFERROR(INDEX(Players!$C$5:$C$304,MATCH(C833,Players!$B$5:$B$304,0)),"UID not in Players sheet"))</f>
        <v/>
      </c>
      <c r="E833" s="12"/>
      <c r="F833" s="15"/>
      <c r="G833" s="21"/>
      <c r="H833" s="1"/>
      <c r="I833" s="1"/>
      <c r="J833" s="1"/>
    </row>
    <row r="834" customFormat="false" ht="21.75" hidden="false" customHeight="true" outlineLevel="0" collapsed="false">
      <c r="A834" s="1"/>
      <c r="B834" s="20"/>
      <c r="C834" s="15"/>
      <c r="D834" s="11" t="str">
        <f aca="false">IF(C834="","",IFERROR(INDEX(Players!$C$5:$C$304,MATCH(C834,Players!$B$5:$B$304,0)),"UID not in Players sheet"))</f>
        <v/>
      </c>
      <c r="E834" s="12"/>
      <c r="F834" s="15"/>
      <c r="G834" s="21"/>
      <c r="H834" s="1"/>
      <c r="I834" s="1"/>
      <c r="J834" s="1"/>
    </row>
    <row r="835" customFormat="false" ht="21.75" hidden="false" customHeight="true" outlineLevel="0" collapsed="false">
      <c r="A835" s="1"/>
      <c r="B835" s="20"/>
      <c r="C835" s="15"/>
      <c r="D835" s="11" t="str">
        <f aca="false">IF(C835="","",IFERROR(INDEX(Players!$C$5:$C$304,MATCH(C835,Players!$B$5:$B$304,0)),"UID not in Players sheet"))</f>
        <v/>
      </c>
      <c r="E835" s="12"/>
      <c r="F835" s="15"/>
      <c r="G835" s="21"/>
      <c r="H835" s="1"/>
      <c r="I835" s="1"/>
      <c r="J835" s="1"/>
    </row>
    <row r="836" customFormat="false" ht="21.75" hidden="false" customHeight="true" outlineLevel="0" collapsed="false">
      <c r="A836" s="1"/>
      <c r="B836" s="20"/>
      <c r="C836" s="15"/>
      <c r="D836" s="11" t="str">
        <f aca="false">IF(C836="","",IFERROR(INDEX(Players!$C$5:$C$304,MATCH(C836,Players!$B$5:$B$304,0)),"UID not in Players sheet"))</f>
        <v/>
      </c>
      <c r="E836" s="12"/>
      <c r="F836" s="15"/>
      <c r="G836" s="21"/>
      <c r="H836" s="1"/>
      <c r="I836" s="1"/>
      <c r="J836" s="1"/>
    </row>
    <row r="837" customFormat="false" ht="21.75" hidden="false" customHeight="true" outlineLevel="0" collapsed="false">
      <c r="A837" s="1"/>
      <c r="B837" s="20"/>
      <c r="C837" s="15"/>
      <c r="D837" s="11" t="str">
        <f aca="false">IF(C837="","",IFERROR(INDEX(Players!$C$5:$C$304,MATCH(C837,Players!$B$5:$B$304,0)),"UID not in Players sheet"))</f>
        <v/>
      </c>
      <c r="E837" s="12"/>
      <c r="F837" s="15"/>
      <c r="G837" s="21"/>
      <c r="H837" s="1"/>
      <c r="I837" s="1"/>
      <c r="J837" s="1"/>
    </row>
    <row r="838" customFormat="false" ht="21.75" hidden="false" customHeight="true" outlineLevel="0" collapsed="false">
      <c r="A838" s="1"/>
      <c r="B838" s="20"/>
      <c r="C838" s="15"/>
      <c r="D838" s="11" t="str">
        <f aca="false">IF(C838="","",IFERROR(INDEX(Players!$C$5:$C$304,MATCH(C838,Players!$B$5:$B$304,0)),"UID not in Players sheet"))</f>
        <v/>
      </c>
      <c r="E838" s="12"/>
      <c r="F838" s="15"/>
      <c r="G838" s="21"/>
      <c r="H838" s="1"/>
      <c r="I838" s="1"/>
      <c r="J838" s="1"/>
    </row>
    <row r="839" customFormat="false" ht="21.75" hidden="false" customHeight="true" outlineLevel="0" collapsed="false">
      <c r="A839" s="1"/>
      <c r="B839" s="20"/>
      <c r="C839" s="15"/>
      <c r="D839" s="11" t="str">
        <f aca="false">IF(C839="","",IFERROR(INDEX(Players!$C$5:$C$304,MATCH(C839,Players!$B$5:$B$304,0)),"UID not in Players sheet"))</f>
        <v/>
      </c>
      <c r="E839" s="12"/>
      <c r="F839" s="15"/>
      <c r="G839" s="21"/>
      <c r="H839" s="1"/>
      <c r="I839" s="1"/>
      <c r="J839" s="1"/>
    </row>
    <row r="840" customFormat="false" ht="21.75" hidden="false" customHeight="true" outlineLevel="0" collapsed="false">
      <c r="A840" s="1"/>
      <c r="B840" s="20"/>
      <c r="C840" s="15"/>
      <c r="D840" s="11" t="str">
        <f aca="false">IF(C840="","",IFERROR(INDEX(Players!$C$5:$C$304,MATCH(C840,Players!$B$5:$B$304,0)),"UID not in Players sheet"))</f>
        <v/>
      </c>
      <c r="E840" s="12"/>
      <c r="F840" s="15"/>
      <c r="G840" s="21"/>
      <c r="H840" s="1"/>
      <c r="I840" s="1"/>
      <c r="J840" s="1"/>
    </row>
    <row r="841" customFormat="false" ht="21.75" hidden="false" customHeight="true" outlineLevel="0" collapsed="false">
      <c r="A841" s="1"/>
      <c r="B841" s="20"/>
      <c r="C841" s="15"/>
      <c r="D841" s="11" t="str">
        <f aca="false">IF(C841="","",IFERROR(INDEX(Players!$C$5:$C$304,MATCH(C841,Players!$B$5:$B$304,0)),"UID not in Players sheet"))</f>
        <v/>
      </c>
      <c r="E841" s="12"/>
      <c r="F841" s="15"/>
      <c r="G841" s="21"/>
      <c r="H841" s="1"/>
      <c r="I841" s="1"/>
      <c r="J841" s="1"/>
    </row>
    <row r="842" customFormat="false" ht="21.75" hidden="false" customHeight="true" outlineLevel="0" collapsed="false">
      <c r="A842" s="1"/>
      <c r="B842" s="20"/>
      <c r="C842" s="15"/>
      <c r="D842" s="11" t="str">
        <f aca="false">IF(C842="","",IFERROR(INDEX(Players!$C$5:$C$304,MATCH(C842,Players!$B$5:$B$304,0)),"UID not in Players sheet"))</f>
        <v/>
      </c>
      <c r="E842" s="12"/>
      <c r="F842" s="15"/>
      <c r="G842" s="21"/>
      <c r="H842" s="1"/>
      <c r="I842" s="1"/>
      <c r="J842" s="1"/>
    </row>
    <row r="843" customFormat="false" ht="21.75" hidden="false" customHeight="true" outlineLevel="0" collapsed="false">
      <c r="A843" s="1"/>
      <c r="B843" s="20"/>
      <c r="C843" s="15"/>
      <c r="D843" s="11" t="str">
        <f aca="false">IF(C843="","",IFERROR(INDEX(Players!$C$5:$C$304,MATCH(C843,Players!$B$5:$B$304,0)),"UID not in Players sheet"))</f>
        <v/>
      </c>
      <c r="E843" s="12"/>
      <c r="F843" s="15"/>
      <c r="G843" s="21"/>
      <c r="H843" s="1"/>
      <c r="I843" s="1"/>
      <c r="J843" s="1"/>
    </row>
    <row r="844" customFormat="false" ht="21.75" hidden="false" customHeight="true" outlineLevel="0" collapsed="false">
      <c r="A844" s="1"/>
      <c r="B844" s="20"/>
      <c r="C844" s="15"/>
      <c r="D844" s="11" t="str">
        <f aca="false">IF(C844="","",IFERROR(INDEX(Players!$C$5:$C$304,MATCH(C844,Players!$B$5:$B$304,0)),"UID not in Players sheet"))</f>
        <v/>
      </c>
      <c r="E844" s="12"/>
      <c r="F844" s="15"/>
      <c r="G844" s="21"/>
      <c r="H844" s="1"/>
      <c r="I844" s="1"/>
      <c r="J844" s="1"/>
    </row>
    <row r="845" customFormat="false" ht="21.75" hidden="false" customHeight="true" outlineLevel="0" collapsed="false">
      <c r="A845" s="1"/>
      <c r="B845" s="20"/>
      <c r="C845" s="15"/>
      <c r="D845" s="11" t="str">
        <f aca="false">IF(C845="","",IFERROR(INDEX(Players!$C$5:$C$304,MATCH(C845,Players!$B$5:$B$304,0)),"UID not in Players sheet"))</f>
        <v/>
      </c>
      <c r="E845" s="12"/>
      <c r="F845" s="15"/>
      <c r="G845" s="21"/>
      <c r="H845" s="1"/>
      <c r="I845" s="1"/>
      <c r="J845" s="1"/>
    </row>
    <row r="846" customFormat="false" ht="21.75" hidden="false" customHeight="true" outlineLevel="0" collapsed="false">
      <c r="A846" s="1"/>
      <c r="B846" s="20"/>
      <c r="C846" s="15"/>
      <c r="D846" s="11" t="str">
        <f aca="false">IF(C846="","",IFERROR(INDEX(Players!$C$5:$C$304,MATCH(C846,Players!$B$5:$B$304,0)),"UID not in Players sheet"))</f>
        <v/>
      </c>
      <c r="E846" s="12"/>
      <c r="F846" s="15"/>
      <c r="G846" s="21"/>
      <c r="H846" s="1"/>
      <c r="I846" s="1"/>
      <c r="J846" s="1"/>
    </row>
    <row r="847" customFormat="false" ht="21.75" hidden="false" customHeight="true" outlineLevel="0" collapsed="false">
      <c r="A847" s="1"/>
      <c r="B847" s="20"/>
      <c r="C847" s="15"/>
      <c r="D847" s="11" t="str">
        <f aca="false">IF(C847="","",IFERROR(INDEX(Players!$C$5:$C$304,MATCH(C847,Players!$B$5:$B$304,0)),"UID not in Players sheet"))</f>
        <v/>
      </c>
      <c r="E847" s="12"/>
      <c r="F847" s="15"/>
      <c r="G847" s="21"/>
      <c r="H847" s="1"/>
      <c r="I847" s="1"/>
      <c r="J847" s="1"/>
    </row>
    <row r="848" customFormat="false" ht="21.75" hidden="false" customHeight="true" outlineLevel="0" collapsed="false">
      <c r="A848" s="1"/>
      <c r="B848" s="20"/>
      <c r="C848" s="15"/>
      <c r="D848" s="11" t="str">
        <f aca="false">IF(C848="","",IFERROR(INDEX(Players!$C$5:$C$304,MATCH(C848,Players!$B$5:$B$304,0)),"UID not in Players sheet"))</f>
        <v/>
      </c>
      <c r="E848" s="12"/>
      <c r="F848" s="15"/>
      <c r="G848" s="21"/>
      <c r="H848" s="1"/>
      <c r="I848" s="1"/>
      <c r="J848" s="1"/>
    </row>
    <row r="849" customFormat="false" ht="21.75" hidden="false" customHeight="true" outlineLevel="0" collapsed="false">
      <c r="A849" s="1"/>
      <c r="B849" s="20"/>
      <c r="C849" s="15"/>
      <c r="D849" s="11" t="str">
        <f aca="false">IF(C849="","",IFERROR(INDEX(Players!$C$5:$C$304,MATCH(C849,Players!$B$5:$B$304,0)),"UID not in Players sheet"))</f>
        <v/>
      </c>
      <c r="E849" s="12"/>
      <c r="F849" s="15"/>
      <c r="G849" s="21"/>
      <c r="H849" s="1"/>
      <c r="I849" s="1"/>
      <c r="J849" s="1"/>
    </row>
    <row r="850" customFormat="false" ht="21.75" hidden="false" customHeight="true" outlineLevel="0" collapsed="false">
      <c r="A850" s="1"/>
      <c r="B850" s="20"/>
      <c r="C850" s="15"/>
      <c r="D850" s="11" t="str">
        <f aca="false">IF(C850="","",IFERROR(INDEX(Players!$C$5:$C$304,MATCH(C850,Players!$B$5:$B$304,0)),"UID not in Players sheet"))</f>
        <v/>
      </c>
      <c r="E850" s="12"/>
      <c r="F850" s="15"/>
      <c r="G850" s="21"/>
      <c r="H850" s="1"/>
      <c r="I850" s="1"/>
      <c r="J850" s="1"/>
    </row>
    <row r="851" customFormat="false" ht="21.75" hidden="false" customHeight="true" outlineLevel="0" collapsed="false">
      <c r="A851" s="1"/>
      <c r="B851" s="20"/>
      <c r="C851" s="15"/>
      <c r="D851" s="11" t="str">
        <f aca="false">IF(C851="","",IFERROR(INDEX(Players!$C$5:$C$304,MATCH(C851,Players!$B$5:$B$304,0)),"UID not in Players sheet"))</f>
        <v/>
      </c>
      <c r="E851" s="12"/>
      <c r="F851" s="15"/>
      <c r="G851" s="21"/>
      <c r="H851" s="1"/>
      <c r="I851" s="1"/>
      <c r="J851" s="1"/>
    </row>
    <row r="852" customFormat="false" ht="21.75" hidden="false" customHeight="true" outlineLevel="0" collapsed="false">
      <c r="A852" s="1"/>
      <c r="B852" s="20"/>
      <c r="C852" s="15"/>
      <c r="D852" s="11" t="str">
        <f aca="false">IF(C852="","",IFERROR(INDEX(Players!$C$5:$C$304,MATCH(C852,Players!$B$5:$B$304,0)),"UID not in Players sheet"))</f>
        <v/>
      </c>
      <c r="E852" s="12"/>
      <c r="F852" s="15"/>
      <c r="G852" s="21"/>
      <c r="H852" s="1"/>
      <c r="I852" s="1"/>
      <c r="J852" s="1"/>
    </row>
    <row r="853" customFormat="false" ht="21.75" hidden="false" customHeight="true" outlineLevel="0" collapsed="false">
      <c r="A853" s="1"/>
      <c r="B853" s="20"/>
      <c r="C853" s="15"/>
      <c r="D853" s="11" t="str">
        <f aca="false">IF(C853="","",IFERROR(INDEX(Players!$C$5:$C$304,MATCH(C853,Players!$B$5:$B$304,0)),"UID not in Players sheet"))</f>
        <v/>
      </c>
      <c r="E853" s="12"/>
      <c r="F853" s="15"/>
      <c r="G853" s="21"/>
      <c r="H853" s="1"/>
      <c r="I853" s="1"/>
      <c r="J853" s="1"/>
    </row>
    <row r="854" customFormat="false" ht="21.75" hidden="false" customHeight="true" outlineLevel="0" collapsed="false">
      <c r="A854" s="1"/>
      <c r="B854" s="20"/>
      <c r="C854" s="15"/>
      <c r="D854" s="11" t="str">
        <f aca="false">IF(C854="","",IFERROR(INDEX(Players!$C$5:$C$304,MATCH(C854,Players!$B$5:$B$304,0)),"UID not in Players sheet"))</f>
        <v/>
      </c>
      <c r="E854" s="12"/>
      <c r="F854" s="15"/>
      <c r="G854" s="21"/>
      <c r="H854" s="1"/>
      <c r="I854" s="1"/>
      <c r="J854" s="1"/>
    </row>
    <row r="855" customFormat="false" ht="21.75" hidden="false" customHeight="true" outlineLevel="0" collapsed="false">
      <c r="A855" s="1"/>
      <c r="B855" s="20"/>
      <c r="C855" s="15"/>
      <c r="D855" s="11" t="str">
        <f aca="false">IF(C855="","",IFERROR(INDEX(Players!$C$5:$C$304,MATCH(C855,Players!$B$5:$B$304,0)),"UID not in Players sheet"))</f>
        <v/>
      </c>
      <c r="E855" s="12"/>
      <c r="F855" s="15"/>
      <c r="G855" s="21"/>
      <c r="H855" s="1"/>
      <c r="I855" s="1"/>
      <c r="J855" s="1"/>
    </row>
    <row r="856" customFormat="false" ht="21.75" hidden="false" customHeight="true" outlineLevel="0" collapsed="false">
      <c r="A856" s="1"/>
      <c r="B856" s="20"/>
      <c r="C856" s="15"/>
      <c r="D856" s="11" t="str">
        <f aca="false">IF(C856="","",IFERROR(INDEX(Players!$C$5:$C$304,MATCH(C856,Players!$B$5:$B$304,0)),"UID not in Players sheet"))</f>
        <v/>
      </c>
      <c r="E856" s="12"/>
      <c r="F856" s="15"/>
      <c r="G856" s="21"/>
      <c r="H856" s="1"/>
      <c r="I856" s="1"/>
      <c r="J856" s="1"/>
    </row>
    <row r="857" customFormat="false" ht="21.75" hidden="false" customHeight="true" outlineLevel="0" collapsed="false">
      <c r="A857" s="1"/>
      <c r="B857" s="20"/>
      <c r="C857" s="15"/>
      <c r="D857" s="11" t="str">
        <f aca="false">IF(C857="","",IFERROR(INDEX(Players!$C$5:$C$304,MATCH(C857,Players!$B$5:$B$304,0)),"UID not in Players sheet"))</f>
        <v/>
      </c>
      <c r="E857" s="12"/>
      <c r="F857" s="15"/>
      <c r="G857" s="21"/>
      <c r="H857" s="1"/>
      <c r="I857" s="1"/>
      <c r="J857" s="1"/>
    </row>
    <row r="858" customFormat="false" ht="21.75" hidden="false" customHeight="true" outlineLevel="0" collapsed="false">
      <c r="A858" s="1"/>
      <c r="B858" s="20"/>
      <c r="C858" s="15"/>
      <c r="D858" s="11" t="str">
        <f aca="false">IF(C858="","",IFERROR(INDEX(Players!$C$5:$C$304,MATCH(C858,Players!$B$5:$B$304,0)),"UID not in Players sheet"))</f>
        <v/>
      </c>
      <c r="E858" s="12"/>
      <c r="F858" s="15"/>
      <c r="G858" s="21"/>
      <c r="H858" s="1"/>
      <c r="I858" s="1"/>
      <c r="J858" s="1"/>
    </row>
    <row r="859" customFormat="false" ht="21.75" hidden="false" customHeight="true" outlineLevel="0" collapsed="false">
      <c r="A859" s="1"/>
      <c r="B859" s="20"/>
      <c r="C859" s="15"/>
      <c r="D859" s="11" t="str">
        <f aca="false">IF(C859="","",IFERROR(INDEX(Players!$C$5:$C$304,MATCH(C859,Players!$B$5:$B$304,0)),"UID not in Players sheet"))</f>
        <v/>
      </c>
      <c r="E859" s="12"/>
      <c r="F859" s="15"/>
      <c r="G859" s="21"/>
      <c r="H859" s="1"/>
      <c r="I859" s="1"/>
      <c r="J859" s="1"/>
    </row>
    <row r="860" customFormat="false" ht="21.75" hidden="false" customHeight="true" outlineLevel="0" collapsed="false">
      <c r="A860" s="1"/>
      <c r="B860" s="20"/>
      <c r="C860" s="15"/>
      <c r="D860" s="11" t="str">
        <f aca="false">IF(C860="","",IFERROR(INDEX(Players!$C$5:$C$304,MATCH(C860,Players!$B$5:$B$304,0)),"UID not in Players sheet"))</f>
        <v/>
      </c>
      <c r="E860" s="12"/>
      <c r="F860" s="15"/>
      <c r="G860" s="21"/>
      <c r="H860" s="1"/>
      <c r="I860" s="1"/>
      <c r="J860" s="1"/>
    </row>
    <row r="861" customFormat="false" ht="21.75" hidden="false" customHeight="true" outlineLevel="0" collapsed="false">
      <c r="A861" s="1"/>
      <c r="B861" s="20"/>
      <c r="C861" s="15"/>
      <c r="D861" s="11" t="str">
        <f aca="false">IF(C861="","",IFERROR(INDEX(Players!$C$5:$C$304,MATCH(C861,Players!$B$5:$B$304,0)),"UID not in Players sheet"))</f>
        <v/>
      </c>
      <c r="E861" s="12"/>
      <c r="F861" s="15"/>
      <c r="G861" s="21"/>
      <c r="H861" s="1"/>
      <c r="I861" s="1"/>
      <c r="J861" s="1"/>
    </row>
    <row r="862" customFormat="false" ht="21.75" hidden="false" customHeight="true" outlineLevel="0" collapsed="false">
      <c r="A862" s="1"/>
      <c r="B862" s="20"/>
      <c r="C862" s="15"/>
      <c r="D862" s="11" t="str">
        <f aca="false">IF(C862="","",IFERROR(INDEX(Players!$C$5:$C$304,MATCH(C862,Players!$B$5:$B$304,0)),"UID not in Players sheet"))</f>
        <v/>
      </c>
      <c r="E862" s="12"/>
      <c r="F862" s="15"/>
      <c r="G862" s="21"/>
      <c r="H862" s="1"/>
      <c r="I862" s="1"/>
      <c r="J862" s="1"/>
    </row>
    <row r="863" customFormat="false" ht="21.75" hidden="false" customHeight="true" outlineLevel="0" collapsed="false">
      <c r="A863" s="1"/>
      <c r="B863" s="20"/>
      <c r="C863" s="15"/>
      <c r="D863" s="11" t="str">
        <f aca="false">IF(C863="","",IFERROR(INDEX(Players!$C$5:$C$304,MATCH(C863,Players!$B$5:$B$304,0)),"UID not in Players sheet"))</f>
        <v/>
      </c>
      <c r="E863" s="12"/>
      <c r="F863" s="15"/>
      <c r="G863" s="21"/>
      <c r="H863" s="1"/>
      <c r="I863" s="1"/>
      <c r="J863" s="1"/>
    </row>
    <row r="864" customFormat="false" ht="21.75" hidden="false" customHeight="true" outlineLevel="0" collapsed="false">
      <c r="A864" s="1"/>
      <c r="B864" s="20"/>
      <c r="C864" s="15"/>
      <c r="D864" s="11" t="str">
        <f aca="false">IF(C864="","",IFERROR(INDEX(Players!$C$5:$C$304,MATCH(C864,Players!$B$5:$B$304,0)),"UID not in Players sheet"))</f>
        <v/>
      </c>
      <c r="E864" s="12"/>
      <c r="F864" s="15"/>
      <c r="G864" s="21"/>
      <c r="H864" s="1"/>
      <c r="I864" s="1"/>
      <c r="J864" s="1"/>
    </row>
    <row r="865" customFormat="false" ht="21.75" hidden="false" customHeight="true" outlineLevel="0" collapsed="false">
      <c r="A865" s="1"/>
      <c r="B865" s="20"/>
      <c r="C865" s="15"/>
      <c r="D865" s="11" t="str">
        <f aca="false">IF(C865="","",IFERROR(INDEX(Players!$C$5:$C$304,MATCH(C865,Players!$B$5:$B$304,0)),"UID not in Players sheet"))</f>
        <v/>
      </c>
      <c r="E865" s="12"/>
      <c r="F865" s="15"/>
      <c r="G865" s="21"/>
      <c r="H865" s="1"/>
      <c r="I865" s="1"/>
      <c r="J865" s="1"/>
    </row>
    <row r="866" customFormat="false" ht="21.75" hidden="false" customHeight="true" outlineLevel="0" collapsed="false">
      <c r="A866" s="1"/>
      <c r="B866" s="20"/>
      <c r="C866" s="15"/>
      <c r="D866" s="11" t="str">
        <f aca="false">IF(C866="","",IFERROR(INDEX(Players!$C$5:$C$304,MATCH(C866,Players!$B$5:$B$304,0)),"UID not in Players sheet"))</f>
        <v/>
      </c>
      <c r="E866" s="12"/>
      <c r="F866" s="15"/>
      <c r="G866" s="21"/>
      <c r="H866" s="1"/>
      <c r="I866" s="1"/>
      <c r="J866" s="1"/>
    </row>
    <row r="867" customFormat="false" ht="21.75" hidden="false" customHeight="true" outlineLevel="0" collapsed="false">
      <c r="A867" s="1"/>
      <c r="B867" s="20"/>
      <c r="C867" s="15"/>
      <c r="D867" s="11" t="str">
        <f aca="false">IF(C867="","",IFERROR(INDEX(Players!$C$5:$C$304,MATCH(C867,Players!$B$5:$B$304,0)),"UID not in Players sheet"))</f>
        <v/>
      </c>
      <c r="E867" s="12"/>
      <c r="F867" s="15"/>
      <c r="G867" s="21"/>
      <c r="H867" s="1"/>
      <c r="I867" s="1"/>
      <c r="J867" s="1"/>
    </row>
    <row r="868" customFormat="false" ht="21.75" hidden="false" customHeight="true" outlineLevel="0" collapsed="false">
      <c r="A868" s="1"/>
      <c r="B868" s="20"/>
      <c r="C868" s="15"/>
      <c r="D868" s="11" t="str">
        <f aca="false">IF(C868="","",IFERROR(INDEX(Players!$C$5:$C$304,MATCH(C868,Players!$B$5:$B$304,0)),"UID not in Players sheet"))</f>
        <v/>
      </c>
      <c r="E868" s="12"/>
      <c r="F868" s="15"/>
      <c r="G868" s="21"/>
      <c r="H868" s="1"/>
      <c r="I868" s="1"/>
      <c r="J868" s="1"/>
    </row>
    <row r="869" customFormat="false" ht="21.75" hidden="false" customHeight="true" outlineLevel="0" collapsed="false">
      <c r="A869" s="1"/>
      <c r="B869" s="20"/>
      <c r="C869" s="15"/>
      <c r="D869" s="11" t="str">
        <f aca="false">IF(C869="","",IFERROR(INDEX(Players!$C$5:$C$304,MATCH(C869,Players!$B$5:$B$304,0)),"UID not in Players sheet"))</f>
        <v/>
      </c>
      <c r="E869" s="12"/>
      <c r="F869" s="15"/>
      <c r="G869" s="21"/>
      <c r="H869" s="1"/>
      <c r="I869" s="1"/>
      <c r="J869" s="1"/>
    </row>
    <row r="870" customFormat="false" ht="21.75" hidden="false" customHeight="true" outlineLevel="0" collapsed="false">
      <c r="A870" s="1"/>
      <c r="B870" s="20"/>
      <c r="C870" s="15"/>
      <c r="D870" s="11" t="str">
        <f aca="false">IF(C870="","",IFERROR(INDEX(Players!$C$5:$C$304,MATCH(C870,Players!$B$5:$B$304,0)),"UID not in Players sheet"))</f>
        <v/>
      </c>
      <c r="E870" s="12"/>
      <c r="F870" s="15"/>
      <c r="G870" s="21"/>
      <c r="H870" s="1"/>
      <c r="I870" s="1"/>
      <c r="J870" s="1"/>
    </row>
    <row r="871" customFormat="false" ht="21.75" hidden="false" customHeight="true" outlineLevel="0" collapsed="false">
      <c r="A871" s="1"/>
      <c r="B871" s="20"/>
      <c r="C871" s="15"/>
      <c r="D871" s="11" t="str">
        <f aca="false">IF(C871="","",IFERROR(INDEX(Players!$C$5:$C$304,MATCH(C871,Players!$B$5:$B$304,0)),"UID not in Players sheet"))</f>
        <v/>
      </c>
      <c r="E871" s="12"/>
      <c r="F871" s="15"/>
      <c r="G871" s="21"/>
      <c r="H871" s="1"/>
      <c r="I871" s="1"/>
      <c r="J871" s="1"/>
    </row>
    <row r="872" customFormat="false" ht="21.75" hidden="false" customHeight="true" outlineLevel="0" collapsed="false">
      <c r="A872" s="1"/>
      <c r="B872" s="20"/>
      <c r="C872" s="15"/>
      <c r="D872" s="11" t="str">
        <f aca="false">IF(C872="","",IFERROR(INDEX(Players!$C$5:$C$304,MATCH(C872,Players!$B$5:$B$304,0)),"UID not in Players sheet"))</f>
        <v/>
      </c>
      <c r="E872" s="12"/>
      <c r="F872" s="15"/>
      <c r="G872" s="21"/>
      <c r="H872" s="1"/>
      <c r="I872" s="1"/>
      <c r="J872" s="1"/>
    </row>
    <row r="873" customFormat="false" ht="21.75" hidden="false" customHeight="true" outlineLevel="0" collapsed="false">
      <c r="A873" s="1"/>
      <c r="B873" s="20"/>
      <c r="C873" s="15"/>
      <c r="D873" s="11" t="str">
        <f aca="false">IF(C873="","",IFERROR(INDEX(Players!$C$5:$C$304,MATCH(C873,Players!$B$5:$B$304,0)),"UID not in Players sheet"))</f>
        <v/>
      </c>
      <c r="E873" s="12"/>
      <c r="F873" s="15"/>
      <c r="G873" s="21"/>
      <c r="H873" s="1"/>
      <c r="I873" s="1"/>
      <c r="J873" s="1"/>
    </row>
    <row r="874" customFormat="false" ht="21.75" hidden="false" customHeight="true" outlineLevel="0" collapsed="false">
      <c r="A874" s="1"/>
      <c r="B874" s="20"/>
      <c r="C874" s="15"/>
      <c r="D874" s="11" t="str">
        <f aca="false">IF(C874="","",IFERROR(INDEX(Players!$C$5:$C$304,MATCH(C874,Players!$B$5:$B$304,0)),"UID not in Players sheet"))</f>
        <v/>
      </c>
      <c r="E874" s="12"/>
      <c r="F874" s="15"/>
      <c r="G874" s="21"/>
      <c r="H874" s="1"/>
      <c r="I874" s="1"/>
      <c r="J874" s="1"/>
    </row>
    <row r="875" customFormat="false" ht="21.75" hidden="false" customHeight="true" outlineLevel="0" collapsed="false">
      <c r="A875" s="1"/>
      <c r="B875" s="20"/>
      <c r="C875" s="15"/>
      <c r="D875" s="11" t="str">
        <f aca="false">IF(C875="","",IFERROR(INDEX(Players!$C$5:$C$304,MATCH(C875,Players!$B$5:$B$304,0)),"UID not in Players sheet"))</f>
        <v/>
      </c>
      <c r="E875" s="12"/>
      <c r="F875" s="15"/>
      <c r="G875" s="21"/>
      <c r="H875" s="1"/>
      <c r="I875" s="1"/>
      <c r="J875" s="1"/>
    </row>
    <row r="876" customFormat="false" ht="21.75" hidden="false" customHeight="true" outlineLevel="0" collapsed="false">
      <c r="A876" s="1"/>
      <c r="B876" s="20"/>
      <c r="C876" s="15"/>
      <c r="D876" s="11" t="str">
        <f aca="false">IF(C876="","",IFERROR(INDEX(Players!$C$5:$C$304,MATCH(C876,Players!$B$5:$B$304,0)),"UID not in Players sheet"))</f>
        <v/>
      </c>
      <c r="E876" s="12"/>
      <c r="F876" s="15"/>
      <c r="G876" s="21"/>
      <c r="H876" s="1"/>
      <c r="I876" s="1"/>
      <c r="J876" s="1"/>
    </row>
    <row r="877" customFormat="false" ht="21.75" hidden="false" customHeight="true" outlineLevel="0" collapsed="false">
      <c r="A877" s="1"/>
      <c r="B877" s="20"/>
      <c r="C877" s="15"/>
      <c r="D877" s="11" t="str">
        <f aca="false">IF(C877="","",IFERROR(INDEX(Players!$C$5:$C$304,MATCH(C877,Players!$B$5:$B$304,0)),"UID not in Players sheet"))</f>
        <v/>
      </c>
      <c r="E877" s="12"/>
      <c r="F877" s="15"/>
      <c r="G877" s="21"/>
      <c r="H877" s="1"/>
      <c r="I877" s="1"/>
      <c r="J877" s="1"/>
    </row>
    <row r="878" customFormat="false" ht="21.75" hidden="false" customHeight="true" outlineLevel="0" collapsed="false">
      <c r="A878" s="1"/>
      <c r="B878" s="20"/>
      <c r="C878" s="15"/>
      <c r="D878" s="11" t="str">
        <f aca="false">IF(C878="","",IFERROR(INDEX(Players!$C$5:$C$304,MATCH(C878,Players!$B$5:$B$304,0)),"UID not in Players sheet"))</f>
        <v/>
      </c>
      <c r="E878" s="12"/>
      <c r="F878" s="15"/>
      <c r="G878" s="21"/>
      <c r="H878" s="1"/>
      <c r="I878" s="1"/>
      <c r="J878" s="1"/>
    </row>
    <row r="879" customFormat="false" ht="21.75" hidden="false" customHeight="true" outlineLevel="0" collapsed="false">
      <c r="A879" s="1"/>
      <c r="B879" s="20"/>
      <c r="C879" s="15"/>
      <c r="D879" s="11" t="str">
        <f aca="false">IF(C879="","",IFERROR(INDEX(Players!$C$5:$C$304,MATCH(C879,Players!$B$5:$B$304,0)),"UID not in Players sheet"))</f>
        <v/>
      </c>
      <c r="E879" s="12"/>
      <c r="F879" s="15"/>
      <c r="G879" s="21"/>
      <c r="H879" s="1"/>
      <c r="I879" s="1"/>
      <c r="J879" s="1"/>
    </row>
    <row r="880" customFormat="false" ht="21.75" hidden="false" customHeight="true" outlineLevel="0" collapsed="false">
      <c r="A880" s="1"/>
      <c r="B880" s="20"/>
      <c r="C880" s="15"/>
      <c r="D880" s="11" t="str">
        <f aca="false">IF(C880="","",IFERROR(INDEX(Players!$C$5:$C$304,MATCH(C880,Players!$B$5:$B$304,0)),"UID not in Players sheet"))</f>
        <v/>
      </c>
      <c r="E880" s="12"/>
      <c r="F880" s="15"/>
      <c r="G880" s="21"/>
      <c r="H880" s="1"/>
      <c r="I880" s="1"/>
      <c r="J880" s="1"/>
    </row>
    <row r="881" customFormat="false" ht="21.75" hidden="false" customHeight="true" outlineLevel="0" collapsed="false">
      <c r="A881" s="1"/>
      <c r="B881" s="20"/>
      <c r="C881" s="15"/>
      <c r="D881" s="11" t="str">
        <f aca="false">IF(C881="","",IFERROR(INDEX(Players!$C$5:$C$304,MATCH(C881,Players!$B$5:$B$304,0)),"UID not in Players sheet"))</f>
        <v/>
      </c>
      <c r="E881" s="12"/>
      <c r="F881" s="15"/>
      <c r="G881" s="21"/>
      <c r="H881" s="1"/>
      <c r="I881" s="1"/>
      <c r="J881" s="1"/>
    </row>
    <row r="882" customFormat="false" ht="21.75" hidden="false" customHeight="true" outlineLevel="0" collapsed="false">
      <c r="A882" s="1"/>
      <c r="B882" s="20"/>
      <c r="C882" s="15"/>
      <c r="D882" s="11" t="str">
        <f aca="false">IF(C882="","",IFERROR(INDEX(Players!$C$5:$C$304,MATCH(C882,Players!$B$5:$B$304,0)),"UID not in Players sheet"))</f>
        <v/>
      </c>
      <c r="E882" s="12"/>
      <c r="F882" s="15"/>
      <c r="G882" s="21"/>
      <c r="H882" s="1"/>
      <c r="I882" s="1"/>
      <c r="J882" s="1"/>
    </row>
    <row r="883" customFormat="false" ht="21.75" hidden="false" customHeight="true" outlineLevel="0" collapsed="false">
      <c r="A883" s="1"/>
      <c r="B883" s="20"/>
      <c r="C883" s="15"/>
      <c r="D883" s="11" t="str">
        <f aca="false">IF(C883="","",IFERROR(INDEX(Players!$C$5:$C$304,MATCH(C883,Players!$B$5:$B$304,0)),"UID not in Players sheet"))</f>
        <v/>
      </c>
      <c r="E883" s="12"/>
      <c r="F883" s="15"/>
      <c r="G883" s="21"/>
      <c r="H883" s="1"/>
      <c r="I883" s="1"/>
      <c r="J883" s="1"/>
    </row>
    <row r="884" customFormat="false" ht="21.75" hidden="false" customHeight="true" outlineLevel="0" collapsed="false">
      <c r="A884" s="1"/>
      <c r="B884" s="20"/>
      <c r="C884" s="15"/>
      <c r="D884" s="11" t="str">
        <f aca="false">IF(C884="","",IFERROR(INDEX(Players!$C$5:$C$304,MATCH(C884,Players!$B$5:$B$304,0)),"UID not in Players sheet"))</f>
        <v/>
      </c>
      <c r="E884" s="12"/>
      <c r="F884" s="15"/>
      <c r="G884" s="21"/>
      <c r="H884" s="1"/>
      <c r="I884" s="1"/>
      <c r="J884" s="1"/>
    </row>
    <row r="885" customFormat="false" ht="21.75" hidden="false" customHeight="true" outlineLevel="0" collapsed="false">
      <c r="A885" s="1"/>
      <c r="B885" s="20"/>
      <c r="C885" s="15"/>
      <c r="D885" s="11" t="str">
        <f aca="false">IF(C885="","",IFERROR(INDEX(Players!$C$5:$C$304,MATCH(C885,Players!$B$5:$B$304,0)),"UID not in Players sheet"))</f>
        <v/>
      </c>
      <c r="E885" s="12"/>
      <c r="F885" s="15"/>
      <c r="G885" s="21"/>
      <c r="H885" s="1"/>
      <c r="I885" s="1"/>
      <c r="J885" s="1"/>
    </row>
    <row r="886" customFormat="false" ht="21.75" hidden="false" customHeight="true" outlineLevel="0" collapsed="false">
      <c r="A886" s="1"/>
      <c r="B886" s="20"/>
      <c r="C886" s="15"/>
      <c r="D886" s="11" t="str">
        <f aca="false">IF(C886="","",IFERROR(INDEX(Players!$C$5:$C$304,MATCH(C886,Players!$B$5:$B$304,0)),"UID not in Players sheet"))</f>
        <v/>
      </c>
      <c r="E886" s="12"/>
      <c r="F886" s="15"/>
      <c r="G886" s="21"/>
      <c r="H886" s="1"/>
      <c r="I886" s="1"/>
      <c r="J886" s="1"/>
    </row>
    <row r="887" customFormat="false" ht="21.75" hidden="false" customHeight="true" outlineLevel="0" collapsed="false">
      <c r="A887" s="1"/>
      <c r="B887" s="20"/>
      <c r="C887" s="15"/>
      <c r="D887" s="11" t="str">
        <f aca="false">IF(C887="","",IFERROR(INDEX(Players!$C$5:$C$304,MATCH(C887,Players!$B$5:$B$304,0)),"UID not in Players sheet"))</f>
        <v/>
      </c>
      <c r="E887" s="12"/>
      <c r="F887" s="15"/>
      <c r="G887" s="21"/>
      <c r="H887" s="1"/>
      <c r="I887" s="1"/>
      <c r="J887" s="1"/>
    </row>
    <row r="888" customFormat="false" ht="21.75" hidden="false" customHeight="true" outlineLevel="0" collapsed="false">
      <c r="A888" s="1"/>
      <c r="B888" s="20"/>
      <c r="C888" s="15"/>
      <c r="D888" s="11" t="str">
        <f aca="false">IF(C888="","",IFERROR(INDEX(Players!$C$5:$C$304,MATCH(C888,Players!$B$5:$B$304,0)),"UID not in Players sheet"))</f>
        <v/>
      </c>
      <c r="E888" s="12"/>
      <c r="F888" s="15"/>
      <c r="G888" s="21"/>
      <c r="H888" s="1"/>
      <c r="I888" s="1"/>
      <c r="J888" s="1"/>
    </row>
    <row r="889" customFormat="false" ht="21.75" hidden="false" customHeight="true" outlineLevel="0" collapsed="false">
      <c r="A889" s="1"/>
      <c r="B889" s="20"/>
      <c r="C889" s="15"/>
      <c r="D889" s="11" t="str">
        <f aca="false">IF(C889="","",IFERROR(INDEX(Players!$C$5:$C$304,MATCH(C889,Players!$B$5:$B$304,0)),"UID not in Players sheet"))</f>
        <v/>
      </c>
      <c r="E889" s="12"/>
      <c r="F889" s="15"/>
      <c r="G889" s="21"/>
      <c r="H889" s="1"/>
      <c r="I889" s="1"/>
      <c r="J889" s="1"/>
    </row>
    <row r="890" customFormat="false" ht="21.75" hidden="false" customHeight="true" outlineLevel="0" collapsed="false">
      <c r="A890" s="1"/>
      <c r="B890" s="20"/>
      <c r="C890" s="15"/>
      <c r="D890" s="11" t="str">
        <f aca="false">IF(C890="","",IFERROR(INDEX(Players!$C$5:$C$304,MATCH(C890,Players!$B$5:$B$304,0)),"UID not in Players sheet"))</f>
        <v/>
      </c>
      <c r="E890" s="12"/>
      <c r="F890" s="15"/>
      <c r="G890" s="21"/>
      <c r="H890" s="1"/>
      <c r="I890" s="1"/>
      <c r="J890" s="1"/>
    </row>
    <row r="891" customFormat="false" ht="21.75" hidden="false" customHeight="true" outlineLevel="0" collapsed="false">
      <c r="A891" s="1"/>
      <c r="B891" s="20"/>
      <c r="C891" s="15"/>
      <c r="D891" s="11" t="str">
        <f aca="false">IF(C891="","",IFERROR(INDEX(Players!$C$5:$C$304,MATCH(C891,Players!$B$5:$B$304,0)),"UID not in Players sheet"))</f>
        <v/>
      </c>
      <c r="E891" s="12"/>
      <c r="F891" s="15"/>
      <c r="G891" s="21"/>
      <c r="H891" s="1"/>
      <c r="I891" s="1"/>
      <c r="J891" s="1"/>
    </row>
    <row r="892" customFormat="false" ht="21.75" hidden="false" customHeight="true" outlineLevel="0" collapsed="false">
      <c r="A892" s="1"/>
      <c r="B892" s="20"/>
      <c r="C892" s="15"/>
      <c r="D892" s="11" t="str">
        <f aca="false">IF(C892="","",IFERROR(INDEX(Players!$C$5:$C$304,MATCH(C892,Players!$B$5:$B$304,0)),"UID not in Players sheet"))</f>
        <v/>
      </c>
      <c r="E892" s="12"/>
      <c r="F892" s="15"/>
      <c r="G892" s="21"/>
      <c r="H892" s="1"/>
      <c r="I892" s="1"/>
      <c r="J892" s="1"/>
    </row>
    <row r="893" customFormat="false" ht="21.75" hidden="false" customHeight="true" outlineLevel="0" collapsed="false">
      <c r="A893" s="1"/>
      <c r="B893" s="20"/>
      <c r="C893" s="15"/>
      <c r="D893" s="11" t="str">
        <f aca="false">IF(C893="","",IFERROR(INDEX(Players!$C$5:$C$304,MATCH(C893,Players!$B$5:$B$304,0)),"UID not in Players sheet"))</f>
        <v/>
      </c>
      <c r="E893" s="12"/>
      <c r="F893" s="15"/>
      <c r="G893" s="21"/>
      <c r="H893" s="1"/>
      <c r="I893" s="1"/>
      <c r="J893" s="1"/>
    </row>
    <row r="894" customFormat="false" ht="21.75" hidden="false" customHeight="true" outlineLevel="0" collapsed="false">
      <c r="A894" s="1"/>
      <c r="B894" s="20"/>
      <c r="C894" s="15"/>
      <c r="D894" s="11" t="str">
        <f aca="false">IF(C894="","",IFERROR(INDEX(Players!$C$5:$C$304,MATCH(C894,Players!$B$5:$B$304,0)),"UID not in Players sheet"))</f>
        <v/>
      </c>
      <c r="E894" s="12"/>
      <c r="F894" s="15"/>
      <c r="G894" s="21"/>
      <c r="H894" s="1"/>
      <c r="I894" s="1"/>
      <c r="J894" s="1"/>
    </row>
    <row r="895" customFormat="false" ht="21.75" hidden="false" customHeight="true" outlineLevel="0" collapsed="false">
      <c r="A895" s="1"/>
      <c r="B895" s="20"/>
      <c r="C895" s="15"/>
      <c r="D895" s="11" t="str">
        <f aca="false">IF(C895="","",IFERROR(INDEX(Players!$C$5:$C$304,MATCH(C895,Players!$B$5:$B$304,0)),"UID not in Players sheet"))</f>
        <v/>
      </c>
      <c r="E895" s="12"/>
      <c r="F895" s="15"/>
      <c r="G895" s="21"/>
      <c r="H895" s="1"/>
      <c r="I895" s="1"/>
      <c r="J895" s="1"/>
    </row>
    <row r="896" customFormat="false" ht="21.75" hidden="false" customHeight="true" outlineLevel="0" collapsed="false">
      <c r="A896" s="1"/>
      <c r="B896" s="20"/>
      <c r="C896" s="15"/>
      <c r="D896" s="11" t="str">
        <f aca="false">IF(C896="","",IFERROR(INDEX(Players!$C$5:$C$304,MATCH(C896,Players!$B$5:$B$304,0)),"UID not in Players sheet"))</f>
        <v/>
      </c>
      <c r="E896" s="12"/>
      <c r="F896" s="15"/>
      <c r="G896" s="21"/>
      <c r="H896" s="1"/>
      <c r="I896" s="1"/>
      <c r="J896" s="1"/>
    </row>
    <row r="897" customFormat="false" ht="21.75" hidden="false" customHeight="true" outlineLevel="0" collapsed="false">
      <c r="A897" s="1"/>
      <c r="B897" s="20"/>
      <c r="C897" s="15"/>
      <c r="D897" s="11" t="str">
        <f aca="false">IF(C897="","",IFERROR(INDEX(Players!$C$5:$C$304,MATCH(C897,Players!$B$5:$B$304,0)),"UID not in Players sheet"))</f>
        <v/>
      </c>
      <c r="E897" s="12"/>
      <c r="F897" s="15"/>
      <c r="G897" s="21"/>
      <c r="H897" s="1"/>
      <c r="I897" s="1"/>
      <c r="J897" s="1"/>
    </row>
    <row r="898" customFormat="false" ht="21.75" hidden="false" customHeight="true" outlineLevel="0" collapsed="false">
      <c r="A898" s="1"/>
      <c r="B898" s="20"/>
      <c r="C898" s="15"/>
      <c r="D898" s="11" t="str">
        <f aca="false">IF(C898="","",IFERROR(INDEX(Players!$C$5:$C$304,MATCH(C898,Players!$B$5:$B$304,0)),"UID not in Players sheet"))</f>
        <v/>
      </c>
      <c r="E898" s="12"/>
      <c r="F898" s="15"/>
      <c r="G898" s="21"/>
      <c r="H898" s="1"/>
      <c r="I898" s="1"/>
      <c r="J898" s="1"/>
    </row>
    <row r="899" customFormat="false" ht="21.75" hidden="false" customHeight="true" outlineLevel="0" collapsed="false">
      <c r="A899" s="1"/>
      <c r="B899" s="20"/>
      <c r="C899" s="15"/>
      <c r="D899" s="11" t="str">
        <f aca="false">IF(C899="","",IFERROR(INDEX(Players!$C$5:$C$304,MATCH(C899,Players!$B$5:$B$304,0)),"UID not in Players sheet"))</f>
        <v/>
      </c>
      <c r="E899" s="12"/>
      <c r="F899" s="15"/>
      <c r="G899" s="21"/>
      <c r="H899" s="1"/>
      <c r="I899" s="1"/>
      <c r="J899" s="1"/>
    </row>
    <row r="900" customFormat="false" ht="21.75" hidden="false" customHeight="true" outlineLevel="0" collapsed="false">
      <c r="A900" s="1"/>
      <c r="B900" s="20"/>
      <c r="C900" s="15"/>
      <c r="D900" s="11" t="str">
        <f aca="false">IF(C900="","",IFERROR(INDEX(Players!$C$5:$C$304,MATCH(C900,Players!$B$5:$B$304,0)),"UID not in Players sheet"))</f>
        <v/>
      </c>
      <c r="E900" s="12"/>
      <c r="F900" s="15"/>
      <c r="G900" s="21"/>
      <c r="H900" s="1"/>
      <c r="I900" s="1"/>
      <c r="J900" s="1"/>
    </row>
    <row r="901" customFormat="false" ht="21.75" hidden="false" customHeight="true" outlineLevel="0" collapsed="false">
      <c r="A901" s="1"/>
      <c r="B901" s="20"/>
      <c r="C901" s="15"/>
      <c r="D901" s="11" t="str">
        <f aca="false">IF(C901="","",IFERROR(INDEX(Players!$C$5:$C$304,MATCH(C901,Players!$B$5:$B$304,0)),"UID not in Players sheet"))</f>
        <v/>
      </c>
      <c r="E901" s="12"/>
      <c r="F901" s="15"/>
      <c r="G901" s="21"/>
      <c r="H901" s="1"/>
      <c r="I901" s="1"/>
      <c r="J901" s="1"/>
    </row>
    <row r="902" customFormat="false" ht="21.75" hidden="false" customHeight="true" outlineLevel="0" collapsed="false">
      <c r="A902" s="1"/>
      <c r="B902" s="20"/>
      <c r="C902" s="15"/>
      <c r="D902" s="11" t="str">
        <f aca="false">IF(C902="","",IFERROR(INDEX(Players!$C$5:$C$304,MATCH(C902,Players!$B$5:$B$304,0)),"UID not in Players sheet"))</f>
        <v/>
      </c>
      <c r="E902" s="12"/>
      <c r="F902" s="15"/>
      <c r="G902" s="21"/>
      <c r="H902" s="1"/>
      <c r="I902" s="1"/>
      <c r="J902" s="1"/>
    </row>
    <row r="903" customFormat="false" ht="21.75" hidden="false" customHeight="true" outlineLevel="0" collapsed="false">
      <c r="A903" s="1"/>
      <c r="B903" s="20"/>
      <c r="C903" s="15"/>
      <c r="D903" s="11" t="str">
        <f aca="false">IF(C903="","",IFERROR(INDEX(Players!$C$5:$C$304,MATCH(C903,Players!$B$5:$B$304,0)),"UID not in Players sheet"))</f>
        <v/>
      </c>
      <c r="E903" s="12"/>
      <c r="F903" s="15"/>
      <c r="G903" s="21"/>
      <c r="H903" s="1"/>
      <c r="I903" s="1"/>
      <c r="J903" s="1"/>
    </row>
    <row r="904" customFormat="false" ht="21.75" hidden="false" customHeight="true" outlineLevel="0" collapsed="false">
      <c r="A904" s="1"/>
      <c r="B904" s="20"/>
      <c r="C904" s="15"/>
      <c r="D904" s="11" t="str">
        <f aca="false">IF(C904="","",IFERROR(INDEX(Players!$C$5:$C$304,MATCH(C904,Players!$B$5:$B$304,0)),"UID not in Players sheet"))</f>
        <v/>
      </c>
      <c r="E904" s="12"/>
      <c r="F904" s="15"/>
      <c r="G904" s="21"/>
      <c r="H904" s="1"/>
      <c r="I904" s="1"/>
      <c r="J904" s="1"/>
    </row>
    <row r="905" customFormat="false" ht="21.75" hidden="false" customHeight="true" outlineLevel="0" collapsed="false">
      <c r="A905" s="1"/>
      <c r="B905" s="20"/>
      <c r="C905" s="15"/>
      <c r="D905" s="11" t="str">
        <f aca="false">IF(C905="","",IFERROR(INDEX(Players!$C$5:$C$304,MATCH(C905,Players!$B$5:$B$304,0)),"UID not in Players sheet"))</f>
        <v/>
      </c>
      <c r="E905" s="12"/>
      <c r="F905" s="15"/>
      <c r="G905" s="21"/>
      <c r="H905" s="1"/>
      <c r="I905" s="1"/>
      <c r="J905" s="1"/>
    </row>
    <row r="906" customFormat="false" ht="21.75" hidden="false" customHeight="true" outlineLevel="0" collapsed="false">
      <c r="A906" s="1"/>
      <c r="B906" s="20"/>
      <c r="C906" s="15"/>
      <c r="D906" s="11" t="str">
        <f aca="false">IF(C906="","",IFERROR(INDEX(Players!$C$5:$C$304,MATCH(C906,Players!$B$5:$B$304,0)),"UID not in Players sheet"))</f>
        <v/>
      </c>
      <c r="E906" s="12"/>
      <c r="F906" s="15"/>
      <c r="G906" s="21"/>
      <c r="H906" s="1"/>
      <c r="I906" s="1"/>
      <c r="J906" s="1"/>
    </row>
    <row r="907" customFormat="false" ht="21.75" hidden="false" customHeight="true" outlineLevel="0" collapsed="false">
      <c r="A907" s="1"/>
      <c r="B907" s="20"/>
      <c r="C907" s="15"/>
      <c r="D907" s="11" t="str">
        <f aca="false">IF(C907="","",IFERROR(INDEX(Players!$C$5:$C$304,MATCH(C907,Players!$B$5:$B$304,0)),"UID not in Players sheet"))</f>
        <v/>
      </c>
      <c r="E907" s="12"/>
      <c r="F907" s="15"/>
      <c r="G907" s="21"/>
      <c r="H907" s="1"/>
      <c r="I907" s="1"/>
      <c r="J907" s="1"/>
    </row>
    <row r="908" customFormat="false" ht="21.75" hidden="false" customHeight="true" outlineLevel="0" collapsed="false">
      <c r="A908" s="1"/>
      <c r="B908" s="20"/>
      <c r="C908" s="15"/>
      <c r="D908" s="11" t="str">
        <f aca="false">IF(C908="","",IFERROR(INDEX(Players!$C$5:$C$304,MATCH(C908,Players!$B$5:$B$304,0)),"UID not in Players sheet"))</f>
        <v/>
      </c>
      <c r="E908" s="12"/>
      <c r="F908" s="15"/>
      <c r="G908" s="21"/>
      <c r="H908" s="1"/>
      <c r="I908" s="1"/>
      <c r="J908" s="1"/>
    </row>
    <row r="909" customFormat="false" ht="21.75" hidden="false" customHeight="true" outlineLevel="0" collapsed="false">
      <c r="A909" s="1"/>
      <c r="B909" s="20"/>
      <c r="C909" s="15"/>
      <c r="D909" s="11" t="str">
        <f aca="false">IF(C909="","",IFERROR(INDEX(Players!$C$5:$C$304,MATCH(C909,Players!$B$5:$B$304,0)),"UID not in Players sheet"))</f>
        <v/>
      </c>
      <c r="E909" s="12"/>
      <c r="F909" s="15"/>
      <c r="G909" s="21"/>
      <c r="H909" s="1"/>
      <c r="I909" s="1"/>
      <c r="J909" s="1"/>
    </row>
    <row r="910" customFormat="false" ht="21.75" hidden="false" customHeight="true" outlineLevel="0" collapsed="false">
      <c r="A910" s="1"/>
      <c r="B910" s="20"/>
      <c r="C910" s="15"/>
      <c r="D910" s="11" t="str">
        <f aca="false">IF(C910="","",IFERROR(INDEX(Players!$C$5:$C$304,MATCH(C910,Players!$B$5:$B$304,0)),"UID not in Players sheet"))</f>
        <v/>
      </c>
      <c r="E910" s="12"/>
      <c r="F910" s="15"/>
      <c r="G910" s="21"/>
      <c r="H910" s="1"/>
      <c r="I910" s="1"/>
      <c r="J910" s="1"/>
    </row>
    <row r="911" customFormat="false" ht="21.75" hidden="false" customHeight="true" outlineLevel="0" collapsed="false">
      <c r="A911" s="1"/>
      <c r="B911" s="20"/>
      <c r="C911" s="15"/>
      <c r="D911" s="11" t="str">
        <f aca="false">IF(C911="","",IFERROR(INDEX(Players!$C$5:$C$304,MATCH(C911,Players!$B$5:$B$304,0)),"UID not in Players sheet"))</f>
        <v/>
      </c>
      <c r="E911" s="12"/>
      <c r="F911" s="15"/>
      <c r="G911" s="21"/>
      <c r="H911" s="1"/>
      <c r="I911" s="1"/>
      <c r="J911" s="1"/>
    </row>
    <row r="912" customFormat="false" ht="21.75" hidden="false" customHeight="true" outlineLevel="0" collapsed="false">
      <c r="A912" s="1"/>
      <c r="B912" s="20"/>
      <c r="C912" s="15"/>
      <c r="D912" s="11" t="str">
        <f aca="false">IF(C912="","",IFERROR(INDEX(Players!$C$5:$C$304,MATCH(C912,Players!$B$5:$B$304,0)),"UID not in Players sheet"))</f>
        <v/>
      </c>
      <c r="E912" s="12"/>
      <c r="F912" s="15"/>
      <c r="G912" s="21"/>
      <c r="H912" s="1"/>
      <c r="I912" s="1"/>
      <c r="J912" s="1"/>
    </row>
    <row r="913" customFormat="false" ht="21.75" hidden="false" customHeight="true" outlineLevel="0" collapsed="false">
      <c r="A913" s="1"/>
      <c r="B913" s="20"/>
      <c r="C913" s="15"/>
      <c r="D913" s="11" t="str">
        <f aca="false">IF(C913="","",IFERROR(INDEX(Players!$C$5:$C$304,MATCH(C913,Players!$B$5:$B$304,0)),"UID not in Players sheet"))</f>
        <v/>
      </c>
      <c r="E913" s="12"/>
      <c r="F913" s="15"/>
      <c r="G913" s="21"/>
      <c r="H913" s="1"/>
      <c r="I913" s="1"/>
      <c r="J913" s="1"/>
    </row>
    <row r="914" customFormat="false" ht="21.75" hidden="false" customHeight="true" outlineLevel="0" collapsed="false">
      <c r="A914" s="1"/>
      <c r="B914" s="20"/>
      <c r="C914" s="15"/>
      <c r="D914" s="11" t="str">
        <f aca="false">IF(C914="","",IFERROR(INDEX(Players!$C$5:$C$304,MATCH(C914,Players!$B$5:$B$304,0)),"UID not in Players sheet"))</f>
        <v/>
      </c>
      <c r="E914" s="12"/>
      <c r="F914" s="15"/>
      <c r="G914" s="21"/>
      <c r="H914" s="1"/>
      <c r="I914" s="1"/>
      <c r="J914" s="1"/>
    </row>
    <row r="915" customFormat="false" ht="21.75" hidden="false" customHeight="true" outlineLevel="0" collapsed="false">
      <c r="A915" s="1"/>
      <c r="B915" s="20"/>
      <c r="C915" s="15"/>
      <c r="D915" s="11" t="str">
        <f aca="false">IF(C915="","",IFERROR(INDEX(Players!$C$5:$C$304,MATCH(C915,Players!$B$5:$B$304,0)),"UID not in Players sheet"))</f>
        <v/>
      </c>
      <c r="E915" s="12"/>
      <c r="F915" s="15"/>
      <c r="G915" s="21"/>
      <c r="H915" s="1"/>
      <c r="I915" s="1"/>
      <c r="J915" s="1"/>
    </row>
    <row r="916" customFormat="false" ht="21.75" hidden="false" customHeight="true" outlineLevel="0" collapsed="false">
      <c r="A916" s="1"/>
      <c r="B916" s="20"/>
      <c r="C916" s="15"/>
      <c r="D916" s="11" t="str">
        <f aca="false">IF(C916="","",IFERROR(INDEX(Players!$C$5:$C$304,MATCH(C916,Players!$B$5:$B$304,0)),"UID not in Players sheet"))</f>
        <v/>
      </c>
      <c r="E916" s="12"/>
      <c r="F916" s="15"/>
      <c r="G916" s="21"/>
      <c r="H916" s="1"/>
      <c r="I916" s="1"/>
      <c r="J916" s="1"/>
    </row>
    <row r="917" customFormat="false" ht="21.75" hidden="false" customHeight="true" outlineLevel="0" collapsed="false">
      <c r="A917" s="1"/>
      <c r="B917" s="20"/>
      <c r="C917" s="15"/>
      <c r="D917" s="11" t="str">
        <f aca="false">IF(C917="","",IFERROR(INDEX(Players!$C$5:$C$304,MATCH(C917,Players!$B$5:$B$304,0)),"UID not in Players sheet"))</f>
        <v/>
      </c>
      <c r="E917" s="12"/>
      <c r="F917" s="15"/>
      <c r="G917" s="21"/>
      <c r="H917" s="1"/>
      <c r="I917" s="1"/>
      <c r="J917" s="1"/>
    </row>
    <row r="918" customFormat="false" ht="21.75" hidden="false" customHeight="true" outlineLevel="0" collapsed="false">
      <c r="A918" s="1"/>
      <c r="B918" s="20"/>
      <c r="C918" s="15"/>
      <c r="D918" s="11" t="str">
        <f aca="false">IF(C918="","",IFERROR(INDEX(Players!$C$5:$C$304,MATCH(C918,Players!$B$5:$B$304,0)),"UID not in Players sheet"))</f>
        <v/>
      </c>
      <c r="E918" s="12"/>
      <c r="F918" s="15"/>
      <c r="G918" s="21"/>
      <c r="H918" s="1"/>
      <c r="I918" s="1"/>
      <c r="J918" s="1"/>
    </row>
    <row r="919" customFormat="false" ht="21.75" hidden="false" customHeight="true" outlineLevel="0" collapsed="false">
      <c r="A919" s="1"/>
      <c r="B919" s="20"/>
      <c r="C919" s="15"/>
      <c r="D919" s="11" t="str">
        <f aca="false">IF(C919="","",IFERROR(INDEX(Players!$C$5:$C$304,MATCH(C919,Players!$B$5:$B$304,0)),"UID not in Players sheet"))</f>
        <v/>
      </c>
      <c r="E919" s="12"/>
      <c r="F919" s="15"/>
      <c r="G919" s="21"/>
      <c r="H919" s="1"/>
      <c r="I919" s="1"/>
      <c r="J919" s="1"/>
    </row>
    <row r="920" customFormat="false" ht="21.75" hidden="false" customHeight="true" outlineLevel="0" collapsed="false">
      <c r="A920" s="1"/>
      <c r="B920" s="20"/>
      <c r="C920" s="15"/>
      <c r="D920" s="11" t="str">
        <f aca="false">IF(C920="","",IFERROR(INDEX(Players!$C$5:$C$304,MATCH(C920,Players!$B$5:$B$304,0)),"UID not in Players sheet"))</f>
        <v/>
      </c>
      <c r="E920" s="12"/>
      <c r="F920" s="15"/>
      <c r="G920" s="21"/>
      <c r="H920" s="1"/>
      <c r="I920" s="1"/>
      <c r="J920" s="1"/>
    </row>
    <row r="921" customFormat="false" ht="21.75" hidden="false" customHeight="true" outlineLevel="0" collapsed="false">
      <c r="A921" s="1"/>
      <c r="B921" s="20"/>
      <c r="C921" s="15"/>
      <c r="D921" s="11" t="str">
        <f aca="false">IF(C921="","",IFERROR(INDEX(Players!$C$5:$C$304,MATCH(C921,Players!$B$5:$B$304,0)),"UID not in Players sheet"))</f>
        <v/>
      </c>
      <c r="E921" s="12"/>
      <c r="F921" s="15"/>
      <c r="G921" s="21"/>
      <c r="H921" s="1"/>
      <c r="I921" s="1"/>
      <c r="J921" s="1"/>
    </row>
    <row r="922" customFormat="false" ht="21.75" hidden="false" customHeight="true" outlineLevel="0" collapsed="false">
      <c r="A922" s="1"/>
      <c r="B922" s="20"/>
      <c r="C922" s="15"/>
      <c r="D922" s="11" t="str">
        <f aca="false">IF(C922="","",IFERROR(INDEX(Players!$C$5:$C$304,MATCH(C922,Players!$B$5:$B$304,0)),"UID not in Players sheet"))</f>
        <v/>
      </c>
      <c r="E922" s="12"/>
      <c r="F922" s="15"/>
      <c r="G922" s="21"/>
      <c r="H922" s="1"/>
      <c r="I922" s="1"/>
      <c r="J922" s="1"/>
    </row>
    <row r="923" customFormat="false" ht="21.75" hidden="false" customHeight="true" outlineLevel="0" collapsed="false">
      <c r="A923" s="1"/>
      <c r="B923" s="20"/>
      <c r="C923" s="15"/>
      <c r="D923" s="11" t="str">
        <f aca="false">IF(C923="","",IFERROR(INDEX(Players!$C$5:$C$304,MATCH(C923,Players!$B$5:$B$304,0)),"UID not in Players sheet"))</f>
        <v/>
      </c>
      <c r="E923" s="12"/>
      <c r="F923" s="15"/>
      <c r="G923" s="21"/>
      <c r="H923" s="1"/>
      <c r="I923" s="1"/>
      <c r="J923" s="1"/>
    </row>
    <row r="924" customFormat="false" ht="21.75" hidden="false" customHeight="true" outlineLevel="0" collapsed="false">
      <c r="A924" s="1"/>
      <c r="B924" s="20"/>
      <c r="C924" s="15"/>
      <c r="D924" s="11" t="str">
        <f aca="false">IF(C924="","",IFERROR(INDEX(Players!$C$5:$C$304,MATCH(C924,Players!$B$5:$B$304,0)),"UID not in Players sheet"))</f>
        <v/>
      </c>
      <c r="E924" s="12"/>
      <c r="F924" s="15"/>
      <c r="G924" s="21"/>
      <c r="H924" s="1"/>
      <c r="I924" s="1"/>
      <c r="J924" s="1"/>
    </row>
    <row r="925" customFormat="false" ht="21.75" hidden="false" customHeight="true" outlineLevel="0" collapsed="false">
      <c r="A925" s="1"/>
      <c r="B925" s="20"/>
      <c r="C925" s="15"/>
      <c r="D925" s="11" t="str">
        <f aca="false">IF(C925="","",IFERROR(INDEX(Players!$C$5:$C$304,MATCH(C925,Players!$B$5:$B$304,0)),"UID not in Players sheet"))</f>
        <v/>
      </c>
      <c r="E925" s="12"/>
      <c r="F925" s="15"/>
      <c r="G925" s="21"/>
      <c r="H925" s="1"/>
      <c r="I925" s="1"/>
      <c r="J925" s="1"/>
    </row>
    <row r="926" customFormat="false" ht="21.75" hidden="false" customHeight="true" outlineLevel="0" collapsed="false">
      <c r="A926" s="1"/>
      <c r="B926" s="20"/>
      <c r="C926" s="15"/>
      <c r="D926" s="11" t="str">
        <f aca="false">IF(C926="","",IFERROR(INDEX(Players!$C$5:$C$304,MATCH(C926,Players!$B$5:$B$304,0)),"UID not in Players sheet"))</f>
        <v/>
      </c>
      <c r="E926" s="12"/>
      <c r="F926" s="15"/>
      <c r="G926" s="21"/>
      <c r="H926" s="1"/>
      <c r="I926" s="1"/>
      <c r="J926" s="1"/>
    </row>
    <row r="927" customFormat="false" ht="21.75" hidden="false" customHeight="true" outlineLevel="0" collapsed="false">
      <c r="A927" s="1"/>
      <c r="B927" s="20"/>
      <c r="C927" s="15"/>
      <c r="D927" s="11" t="str">
        <f aca="false">IF(C927="","",IFERROR(INDEX(Players!$C$5:$C$304,MATCH(C927,Players!$B$5:$B$304,0)),"UID not in Players sheet"))</f>
        <v/>
      </c>
      <c r="E927" s="12"/>
      <c r="F927" s="15"/>
      <c r="G927" s="21"/>
      <c r="H927" s="1"/>
      <c r="I927" s="1"/>
      <c r="J927" s="1"/>
    </row>
    <row r="928" customFormat="false" ht="21.75" hidden="false" customHeight="true" outlineLevel="0" collapsed="false">
      <c r="A928" s="1"/>
      <c r="B928" s="20"/>
      <c r="C928" s="15"/>
      <c r="D928" s="11" t="str">
        <f aca="false">IF(C928="","",IFERROR(INDEX(Players!$C$5:$C$304,MATCH(C928,Players!$B$5:$B$304,0)),"UID not in Players sheet"))</f>
        <v/>
      </c>
      <c r="E928" s="12"/>
      <c r="F928" s="15"/>
      <c r="G928" s="21"/>
      <c r="H928" s="1"/>
      <c r="I928" s="1"/>
      <c r="J928" s="1"/>
    </row>
    <row r="929" customFormat="false" ht="21.75" hidden="false" customHeight="true" outlineLevel="0" collapsed="false">
      <c r="A929" s="1"/>
      <c r="B929" s="20"/>
      <c r="C929" s="15"/>
      <c r="D929" s="11" t="str">
        <f aca="false">IF(C929="","",IFERROR(INDEX(Players!$C$5:$C$304,MATCH(C929,Players!$B$5:$B$304,0)),"UID not in Players sheet"))</f>
        <v/>
      </c>
      <c r="E929" s="12"/>
      <c r="F929" s="15"/>
      <c r="G929" s="21"/>
      <c r="H929" s="1"/>
      <c r="I929" s="1"/>
      <c r="J929" s="1"/>
    </row>
    <row r="930" customFormat="false" ht="21.75" hidden="false" customHeight="true" outlineLevel="0" collapsed="false">
      <c r="A930" s="1"/>
      <c r="B930" s="20"/>
      <c r="C930" s="15"/>
      <c r="D930" s="11" t="str">
        <f aca="false">IF(C930="","",IFERROR(INDEX(Players!$C$5:$C$304,MATCH(C930,Players!$B$5:$B$304,0)),"UID not in Players sheet"))</f>
        <v/>
      </c>
      <c r="E930" s="12"/>
      <c r="F930" s="15"/>
      <c r="G930" s="21"/>
      <c r="H930" s="1"/>
      <c r="I930" s="1"/>
      <c r="J930" s="1"/>
    </row>
    <row r="931" customFormat="false" ht="21.75" hidden="false" customHeight="true" outlineLevel="0" collapsed="false">
      <c r="A931" s="1"/>
      <c r="B931" s="20"/>
      <c r="C931" s="15"/>
      <c r="D931" s="11" t="str">
        <f aca="false">IF(C931="","",IFERROR(INDEX(Players!$C$5:$C$304,MATCH(C931,Players!$B$5:$B$304,0)),"UID not in Players sheet"))</f>
        <v/>
      </c>
      <c r="E931" s="12"/>
      <c r="F931" s="15"/>
      <c r="G931" s="21"/>
      <c r="H931" s="1"/>
      <c r="I931" s="1"/>
      <c r="J931" s="1"/>
    </row>
    <row r="932" customFormat="false" ht="21.75" hidden="false" customHeight="true" outlineLevel="0" collapsed="false">
      <c r="A932" s="1"/>
      <c r="B932" s="20"/>
      <c r="C932" s="15"/>
      <c r="D932" s="11" t="str">
        <f aca="false">IF(C932="","",IFERROR(INDEX(Players!$C$5:$C$304,MATCH(C932,Players!$B$5:$B$304,0)),"UID not in Players sheet"))</f>
        <v/>
      </c>
      <c r="E932" s="12"/>
      <c r="F932" s="15"/>
      <c r="G932" s="21"/>
      <c r="H932" s="1"/>
      <c r="I932" s="1"/>
      <c r="J932" s="1"/>
    </row>
    <row r="933" customFormat="false" ht="21.75" hidden="false" customHeight="true" outlineLevel="0" collapsed="false">
      <c r="A933" s="1"/>
      <c r="B933" s="20"/>
      <c r="C933" s="15"/>
      <c r="D933" s="11" t="str">
        <f aca="false">IF(C933="","",IFERROR(INDEX(Players!$C$5:$C$304,MATCH(C933,Players!$B$5:$B$304,0)),"UID not in Players sheet"))</f>
        <v/>
      </c>
      <c r="E933" s="12"/>
      <c r="F933" s="15"/>
      <c r="G933" s="21"/>
      <c r="H933" s="1"/>
      <c r="I933" s="1"/>
      <c r="J933" s="1"/>
    </row>
    <row r="934" customFormat="false" ht="21.75" hidden="false" customHeight="true" outlineLevel="0" collapsed="false">
      <c r="A934" s="1"/>
      <c r="B934" s="20"/>
      <c r="C934" s="15"/>
      <c r="D934" s="11" t="str">
        <f aca="false">IF(C934="","",IFERROR(INDEX(Players!$C$5:$C$304,MATCH(C934,Players!$B$5:$B$304,0)),"UID not in Players sheet"))</f>
        <v/>
      </c>
      <c r="E934" s="12"/>
      <c r="F934" s="15"/>
      <c r="G934" s="21"/>
      <c r="H934" s="1"/>
      <c r="I934" s="1"/>
      <c r="J934" s="1"/>
    </row>
    <row r="935" customFormat="false" ht="21.75" hidden="false" customHeight="true" outlineLevel="0" collapsed="false">
      <c r="A935" s="1"/>
      <c r="B935" s="20"/>
      <c r="C935" s="15"/>
      <c r="D935" s="11" t="str">
        <f aca="false">IF(C935="","",IFERROR(INDEX(Players!$C$5:$C$304,MATCH(C935,Players!$B$5:$B$304,0)),"UID not in Players sheet"))</f>
        <v/>
      </c>
      <c r="E935" s="12"/>
      <c r="F935" s="15"/>
      <c r="G935" s="21"/>
      <c r="H935" s="1"/>
      <c r="I935" s="1"/>
      <c r="J935" s="1"/>
    </row>
    <row r="936" customFormat="false" ht="21.75" hidden="false" customHeight="true" outlineLevel="0" collapsed="false">
      <c r="A936" s="1"/>
      <c r="B936" s="20"/>
      <c r="C936" s="15"/>
      <c r="D936" s="11" t="str">
        <f aca="false">IF(C936="","",IFERROR(INDEX(Players!$C$5:$C$304,MATCH(C936,Players!$B$5:$B$304,0)),"UID not in Players sheet"))</f>
        <v/>
      </c>
      <c r="E936" s="12"/>
      <c r="F936" s="15"/>
      <c r="G936" s="21"/>
      <c r="H936" s="1"/>
      <c r="I936" s="1"/>
      <c r="J936" s="1"/>
    </row>
    <row r="937" customFormat="false" ht="21.75" hidden="false" customHeight="true" outlineLevel="0" collapsed="false">
      <c r="A937" s="1"/>
      <c r="B937" s="20"/>
      <c r="C937" s="15"/>
      <c r="D937" s="11" t="str">
        <f aca="false">IF(C937="","",IFERROR(INDEX(Players!$C$5:$C$304,MATCH(C937,Players!$B$5:$B$304,0)),"UID not in Players sheet"))</f>
        <v/>
      </c>
      <c r="E937" s="12"/>
      <c r="F937" s="15"/>
      <c r="G937" s="21"/>
      <c r="H937" s="1"/>
      <c r="I937" s="1"/>
      <c r="J937" s="1"/>
    </row>
    <row r="938" customFormat="false" ht="21.75" hidden="false" customHeight="true" outlineLevel="0" collapsed="false">
      <c r="A938" s="1"/>
      <c r="B938" s="20"/>
      <c r="C938" s="15"/>
      <c r="D938" s="11" t="str">
        <f aca="false">IF(C938="","",IFERROR(INDEX(Players!$C$5:$C$304,MATCH(C938,Players!$B$5:$B$304,0)),"UID not in Players sheet"))</f>
        <v/>
      </c>
      <c r="E938" s="12"/>
      <c r="F938" s="15"/>
      <c r="G938" s="21"/>
      <c r="H938" s="1"/>
      <c r="I938" s="1"/>
      <c r="J938" s="1"/>
    </row>
    <row r="939" customFormat="false" ht="21.75" hidden="false" customHeight="true" outlineLevel="0" collapsed="false">
      <c r="A939" s="1"/>
      <c r="B939" s="20"/>
      <c r="C939" s="15"/>
      <c r="D939" s="11" t="str">
        <f aca="false">IF(C939="","",IFERROR(INDEX(Players!$C$5:$C$304,MATCH(C939,Players!$B$5:$B$304,0)),"UID not in Players sheet"))</f>
        <v/>
      </c>
      <c r="E939" s="12"/>
      <c r="F939" s="15"/>
      <c r="G939" s="21"/>
      <c r="H939" s="1"/>
      <c r="I939" s="1"/>
      <c r="J939" s="1"/>
    </row>
    <row r="940" customFormat="false" ht="21.75" hidden="false" customHeight="true" outlineLevel="0" collapsed="false">
      <c r="A940" s="1"/>
      <c r="B940" s="20"/>
      <c r="C940" s="15"/>
      <c r="D940" s="11" t="str">
        <f aca="false">IF(C940="","",IFERROR(INDEX(Players!$C$5:$C$304,MATCH(C940,Players!$B$5:$B$304,0)),"UID not in Players sheet"))</f>
        <v/>
      </c>
      <c r="E940" s="12"/>
      <c r="F940" s="15"/>
      <c r="G940" s="21"/>
      <c r="H940" s="1"/>
      <c r="I940" s="1"/>
      <c r="J940" s="1"/>
    </row>
    <row r="941" customFormat="false" ht="21.75" hidden="false" customHeight="true" outlineLevel="0" collapsed="false">
      <c r="A941" s="1"/>
      <c r="B941" s="20"/>
      <c r="C941" s="15"/>
      <c r="D941" s="11" t="str">
        <f aca="false">IF(C941="","",IFERROR(INDEX(Players!$C$5:$C$304,MATCH(C941,Players!$B$5:$B$304,0)),"UID not in Players sheet"))</f>
        <v/>
      </c>
      <c r="E941" s="12"/>
      <c r="F941" s="15"/>
      <c r="G941" s="21"/>
      <c r="H941" s="1"/>
      <c r="I941" s="1"/>
      <c r="J941" s="1"/>
    </row>
    <row r="942" customFormat="false" ht="21.75" hidden="false" customHeight="true" outlineLevel="0" collapsed="false">
      <c r="A942" s="1"/>
      <c r="B942" s="20"/>
      <c r="C942" s="15"/>
      <c r="D942" s="11" t="str">
        <f aca="false">IF(C942="","",IFERROR(INDEX(Players!$C$5:$C$304,MATCH(C942,Players!$B$5:$B$304,0)),"UID not in Players sheet"))</f>
        <v/>
      </c>
      <c r="E942" s="12"/>
      <c r="F942" s="15"/>
      <c r="G942" s="21"/>
      <c r="H942" s="1"/>
      <c r="I942" s="1"/>
      <c r="J942" s="1"/>
    </row>
    <row r="943" customFormat="false" ht="21.75" hidden="false" customHeight="true" outlineLevel="0" collapsed="false">
      <c r="A943" s="1"/>
      <c r="B943" s="20"/>
      <c r="C943" s="15"/>
      <c r="D943" s="11" t="str">
        <f aca="false">IF(C943="","",IFERROR(INDEX(Players!$C$5:$C$304,MATCH(C943,Players!$B$5:$B$304,0)),"UID not in Players sheet"))</f>
        <v/>
      </c>
      <c r="E943" s="12"/>
      <c r="F943" s="15"/>
      <c r="G943" s="21"/>
      <c r="H943" s="1"/>
      <c r="I943" s="1"/>
      <c r="J943" s="1"/>
    </row>
    <row r="944" customFormat="false" ht="21.75" hidden="false" customHeight="true" outlineLevel="0" collapsed="false">
      <c r="A944" s="1"/>
      <c r="B944" s="20"/>
      <c r="C944" s="15"/>
      <c r="D944" s="11" t="str">
        <f aca="false">IF(C944="","",IFERROR(INDEX(Players!$C$5:$C$304,MATCH(C944,Players!$B$5:$B$304,0)),"UID not in Players sheet"))</f>
        <v/>
      </c>
      <c r="E944" s="12"/>
      <c r="F944" s="15"/>
      <c r="G944" s="21"/>
      <c r="H944" s="1"/>
      <c r="I944" s="1"/>
      <c r="J944" s="1"/>
    </row>
    <row r="945" customFormat="false" ht="21.75" hidden="false" customHeight="true" outlineLevel="0" collapsed="false">
      <c r="A945" s="1"/>
      <c r="B945" s="20"/>
      <c r="C945" s="15"/>
      <c r="D945" s="11" t="str">
        <f aca="false">IF(C945="","",IFERROR(INDEX(Players!$C$5:$C$304,MATCH(C945,Players!$B$5:$B$304,0)),"UID not in Players sheet"))</f>
        <v/>
      </c>
      <c r="E945" s="12"/>
      <c r="F945" s="15"/>
      <c r="G945" s="21"/>
      <c r="H945" s="1"/>
      <c r="I945" s="1"/>
      <c r="J945" s="1"/>
    </row>
    <row r="946" customFormat="false" ht="21.75" hidden="false" customHeight="true" outlineLevel="0" collapsed="false">
      <c r="A946" s="1"/>
      <c r="B946" s="20"/>
      <c r="C946" s="15"/>
      <c r="D946" s="11" t="str">
        <f aca="false">IF(C946="","",IFERROR(INDEX(Players!$C$5:$C$304,MATCH(C946,Players!$B$5:$B$304,0)),"UID not in Players sheet"))</f>
        <v/>
      </c>
      <c r="E946" s="12"/>
      <c r="F946" s="15"/>
      <c r="G946" s="21"/>
      <c r="H946" s="1"/>
      <c r="I946" s="1"/>
      <c r="J946" s="1"/>
    </row>
    <row r="947" customFormat="false" ht="21.75" hidden="false" customHeight="true" outlineLevel="0" collapsed="false">
      <c r="A947" s="1"/>
      <c r="B947" s="20"/>
      <c r="C947" s="15"/>
      <c r="D947" s="11" t="str">
        <f aca="false">IF(C947="","",IFERROR(INDEX(Players!$C$5:$C$304,MATCH(C947,Players!$B$5:$B$304,0)),"UID not in Players sheet"))</f>
        <v/>
      </c>
      <c r="E947" s="12"/>
      <c r="F947" s="15"/>
      <c r="G947" s="21"/>
      <c r="H947" s="1"/>
      <c r="I947" s="1"/>
      <c r="J947" s="1"/>
    </row>
    <row r="948" customFormat="false" ht="21.75" hidden="false" customHeight="true" outlineLevel="0" collapsed="false">
      <c r="A948" s="1"/>
      <c r="B948" s="20"/>
      <c r="C948" s="15"/>
      <c r="D948" s="11" t="str">
        <f aca="false">IF(C948="","",IFERROR(INDEX(Players!$C$5:$C$304,MATCH(C948,Players!$B$5:$B$304,0)),"UID not in Players sheet"))</f>
        <v/>
      </c>
      <c r="E948" s="12"/>
      <c r="F948" s="15"/>
      <c r="G948" s="21"/>
      <c r="H948" s="1"/>
      <c r="I948" s="1"/>
      <c r="J948" s="1"/>
    </row>
    <row r="949" customFormat="false" ht="21.75" hidden="false" customHeight="true" outlineLevel="0" collapsed="false">
      <c r="A949" s="1"/>
      <c r="B949" s="20"/>
      <c r="C949" s="15"/>
      <c r="D949" s="11" t="str">
        <f aca="false">IF(C949="","",IFERROR(INDEX(Players!$C$5:$C$304,MATCH(C949,Players!$B$5:$B$304,0)),"UID not in Players sheet"))</f>
        <v/>
      </c>
      <c r="E949" s="12"/>
      <c r="F949" s="15"/>
      <c r="G949" s="21"/>
      <c r="H949" s="1"/>
      <c r="I949" s="1"/>
      <c r="J949" s="1"/>
    </row>
    <row r="950" customFormat="false" ht="21.75" hidden="false" customHeight="true" outlineLevel="0" collapsed="false">
      <c r="A950" s="1"/>
      <c r="B950" s="20"/>
      <c r="C950" s="15"/>
      <c r="D950" s="11" t="str">
        <f aca="false">IF(C950="","",IFERROR(INDEX(Players!$C$5:$C$304,MATCH(C950,Players!$B$5:$B$304,0)),"UID not in Players sheet"))</f>
        <v/>
      </c>
      <c r="E950" s="12"/>
      <c r="F950" s="15"/>
      <c r="G950" s="21"/>
      <c r="H950" s="1"/>
      <c r="I950" s="1"/>
      <c r="J950" s="1"/>
    </row>
    <row r="951" customFormat="false" ht="21.75" hidden="false" customHeight="true" outlineLevel="0" collapsed="false">
      <c r="A951" s="1"/>
      <c r="B951" s="20"/>
      <c r="C951" s="15"/>
      <c r="D951" s="11" t="str">
        <f aca="false">IF(C951="","",IFERROR(INDEX(Players!$C$5:$C$304,MATCH(C951,Players!$B$5:$B$304,0)),"UID not in Players sheet"))</f>
        <v/>
      </c>
      <c r="E951" s="12"/>
      <c r="F951" s="15"/>
      <c r="G951" s="21"/>
      <c r="H951" s="1"/>
      <c r="I951" s="1"/>
      <c r="J951" s="1"/>
    </row>
    <row r="952" customFormat="false" ht="21.75" hidden="false" customHeight="true" outlineLevel="0" collapsed="false">
      <c r="A952" s="1"/>
      <c r="B952" s="20"/>
      <c r="C952" s="15"/>
      <c r="D952" s="11" t="str">
        <f aca="false">IF(C952="","",IFERROR(INDEX(Players!$C$5:$C$304,MATCH(C952,Players!$B$5:$B$304,0)),"UID not in Players sheet"))</f>
        <v/>
      </c>
      <c r="E952" s="12"/>
      <c r="F952" s="15"/>
      <c r="G952" s="21"/>
      <c r="H952" s="1"/>
      <c r="I952" s="1"/>
      <c r="J952" s="1"/>
    </row>
    <row r="953" customFormat="false" ht="21.75" hidden="false" customHeight="true" outlineLevel="0" collapsed="false">
      <c r="A953" s="1"/>
      <c r="B953" s="20"/>
      <c r="C953" s="15"/>
      <c r="D953" s="11" t="str">
        <f aca="false">IF(C953="","",IFERROR(INDEX(Players!$C$5:$C$304,MATCH(C953,Players!$B$5:$B$304,0)),"UID not in Players sheet"))</f>
        <v/>
      </c>
      <c r="E953" s="12"/>
      <c r="F953" s="15"/>
      <c r="G953" s="21"/>
      <c r="H953" s="1"/>
      <c r="I953" s="1"/>
      <c r="J953" s="1"/>
    </row>
    <row r="954" customFormat="false" ht="21.75" hidden="false" customHeight="true" outlineLevel="0" collapsed="false">
      <c r="A954" s="1"/>
      <c r="B954" s="20"/>
      <c r="C954" s="15"/>
      <c r="D954" s="11" t="str">
        <f aca="false">IF(C954="","",IFERROR(INDEX(Players!$C$5:$C$304,MATCH(C954,Players!$B$5:$B$304,0)),"UID not in Players sheet"))</f>
        <v/>
      </c>
      <c r="E954" s="12"/>
      <c r="F954" s="15"/>
      <c r="G954" s="21"/>
      <c r="H954" s="1"/>
      <c r="I954" s="1"/>
      <c r="J954" s="1"/>
    </row>
    <row r="955" customFormat="false" ht="21.75" hidden="false" customHeight="true" outlineLevel="0" collapsed="false">
      <c r="A955" s="1"/>
      <c r="B955" s="20"/>
      <c r="C955" s="15"/>
      <c r="D955" s="11" t="str">
        <f aca="false">IF(C955="","",IFERROR(INDEX(Players!$C$5:$C$304,MATCH(C955,Players!$B$5:$B$304,0)),"UID not in Players sheet"))</f>
        <v/>
      </c>
      <c r="E955" s="12"/>
      <c r="F955" s="15"/>
      <c r="G955" s="21"/>
      <c r="H955" s="1"/>
      <c r="I955" s="1"/>
      <c r="J955" s="1"/>
    </row>
    <row r="956" customFormat="false" ht="21.75" hidden="false" customHeight="true" outlineLevel="0" collapsed="false">
      <c r="A956" s="1"/>
      <c r="B956" s="20"/>
      <c r="C956" s="15"/>
      <c r="D956" s="11" t="str">
        <f aca="false">IF(C956="","",IFERROR(INDEX(Players!$C$5:$C$304,MATCH(C956,Players!$B$5:$B$304,0)),"UID not in Players sheet"))</f>
        <v/>
      </c>
      <c r="E956" s="12"/>
      <c r="F956" s="15"/>
      <c r="G956" s="21"/>
      <c r="H956" s="1"/>
      <c r="I956" s="1"/>
      <c r="J956" s="1"/>
    </row>
    <row r="957" customFormat="false" ht="21.75" hidden="false" customHeight="true" outlineLevel="0" collapsed="false">
      <c r="A957" s="1"/>
      <c r="B957" s="20"/>
      <c r="C957" s="15"/>
      <c r="D957" s="11" t="str">
        <f aca="false">IF(C957="","",IFERROR(INDEX(Players!$C$5:$C$304,MATCH(C957,Players!$B$5:$B$304,0)),"UID not in Players sheet"))</f>
        <v/>
      </c>
      <c r="E957" s="12"/>
      <c r="F957" s="15"/>
      <c r="G957" s="21"/>
      <c r="H957" s="1"/>
      <c r="I957" s="1"/>
      <c r="J957" s="1"/>
    </row>
    <row r="958" customFormat="false" ht="21.75" hidden="false" customHeight="true" outlineLevel="0" collapsed="false">
      <c r="A958" s="1"/>
      <c r="B958" s="20"/>
      <c r="C958" s="15"/>
      <c r="D958" s="11" t="str">
        <f aca="false">IF(C958="","",IFERROR(INDEX(Players!$C$5:$C$304,MATCH(C958,Players!$B$5:$B$304,0)),"UID not in Players sheet"))</f>
        <v/>
      </c>
      <c r="E958" s="12"/>
      <c r="F958" s="15"/>
      <c r="G958" s="21"/>
      <c r="H958" s="1"/>
      <c r="I958" s="1"/>
      <c r="J958" s="1"/>
    </row>
    <row r="959" customFormat="false" ht="21.75" hidden="false" customHeight="true" outlineLevel="0" collapsed="false">
      <c r="A959" s="1"/>
      <c r="B959" s="20"/>
      <c r="C959" s="15"/>
      <c r="D959" s="11" t="str">
        <f aca="false">IF(C959="","",IFERROR(INDEX(Players!$C$5:$C$304,MATCH(C959,Players!$B$5:$B$304,0)),"UID not in Players sheet"))</f>
        <v/>
      </c>
      <c r="E959" s="12"/>
      <c r="F959" s="15"/>
      <c r="G959" s="21"/>
      <c r="H959" s="1"/>
      <c r="I959" s="1"/>
      <c r="J959" s="1"/>
    </row>
    <row r="960" customFormat="false" ht="21.75" hidden="false" customHeight="true" outlineLevel="0" collapsed="false">
      <c r="A960" s="1"/>
      <c r="B960" s="20"/>
      <c r="C960" s="15"/>
      <c r="D960" s="11" t="str">
        <f aca="false">IF(C960="","",IFERROR(INDEX(Players!$C$5:$C$304,MATCH(C960,Players!$B$5:$B$304,0)),"UID not in Players sheet"))</f>
        <v/>
      </c>
      <c r="E960" s="12"/>
      <c r="F960" s="15"/>
      <c r="G960" s="21"/>
      <c r="H960" s="1"/>
      <c r="I960" s="1"/>
      <c r="J960" s="1"/>
    </row>
    <row r="961" customFormat="false" ht="21.75" hidden="false" customHeight="true" outlineLevel="0" collapsed="false">
      <c r="A961" s="1"/>
      <c r="B961" s="20"/>
      <c r="C961" s="15"/>
      <c r="D961" s="11" t="str">
        <f aca="false">IF(C961="","",IFERROR(INDEX(Players!$C$5:$C$304,MATCH(C961,Players!$B$5:$B$304,0)),"UID not in Players sheet"))</f>
        <v/>
      </c>
      <c r="E961" s="12"/>
      <c r="F961" s="15"/>
      <c r="G961" s="21"/>
      <c r="H961" s="1"/>
      <c r="I961" s="1"/>
      <c r="J961" s="1"/>
    </row>
    <row r="962" customFormat="false" ht="21.75" hidden="false" customHeight="true" outlineLevel="0" collapsed="false">
      <c r="A962" s="1"/>
      <c r="B962" s="20"/>
      <c r="C962" s="15"/>
      <c r="D962" s="11" t="str">
        <f aca="false">IF(C962="","",IFERROR(INDEX(Players!$C$5:$C$304,MATCH(C962,Players!$B$5:$B$304,0)),"UID not in Players sheet"))</f>
        <v/>
      </c>
      <c r="E962" s="12"/>
      <c r="F962" s="15"/>
      <c r="G962" s="21"/>
      <c r="H962" s="1"/>
      <c r="I962" s="1"/>
      <c r="J962" s="1"/>
    </row>
    <row r="963" customFormat="false" ht="21.75" hidden="false" customHeight="true" outlineLevel="0" collapsed="false">
      <c r="A963" s="1"/>
      <c r="B963" s="20"/>
      <c r="C963" s="15"/>
      <c r="D963" s="11" t="str">
        <f aca="false">IF(C963="","",IFERROR(INDEX(Players!$C$5:$C$304,MATCH(C963,Players!$B$5:$B$304,0)),"UID not in Players sheet"))</f>
        <v/>
      </c>
      <c r="E963" s="12"/>
      <c r="F963" s="15"/>
      <c r="G963" s="21"/>
      <c r="H963" s="1"/>
      <c r="I963" s="1"/>
      <c r="J963" s="1"/>
    </row>
    <row r="964" customFormat="false" ht="21.75" hidden="false" customHeight="true" outlineLevel="0" collapsed="false">
      <c r="A964" s="1"/>
      <c r="B964" s="20"/>
      <c r="C964" s="15"/>
      <c r="D964" s="11" t="str">
        <f aca="false">IF(C964="","",IFERROR(INDEX(Players!$C$5:$C$304,MATCH(C964,Players!$B$5:$B$304,0)),"UID not in Players sheet"))</f>
        <v/>
      </c>
      <c r="E964" s="12"/>
      <c r="F964" s="15"/>
      <c r="G964" s="21"/>
      <c r="H964" s="1"/>
      <c r="I964" s="1"/>
      <c r="J964" s="1"/>
    </row>
    <row r="965" customFormat="false" ht="21.75" hidden="false" customHeight="true" outlineLevel="0" collapsed="false">
      <c r="A965" s="1"/>
      <c r="B965" s="20"/>
      <c r="C965" s="15"/>
      <c r="D965" s="11" t="str">
        <f aca="false">IF(C965="","",IFERROR(INDEX(Players!$C$5:$C$304,MATCH(C965,Players!$B$5:$B$304,0)),"UID not in Players sheet"))</f>
        <v/>
      </c>
      <c r="E965" s="12"/>
      <c r="F965" s="15"/>
      <c r="G965" s="21"/>
      <c r="H965" s="1"/>
      <c r="I965" s="1"/>
      <c r="J965" s="1"/>
    </row>
    <row r="966" customFormat="false" ht="21.75" hidden="false" customHeight="true" outlineLevel="0" collapsed="false">
      <c r="A966" s="1"/>
      <c r="B966" s="20"/>
      <c r="C966" s="15"/>
      <c r="D966" s="11" t="str">
        <f aca="false">IF(C966="","",IFERROR(INDEX(Players!$C$5:$C$304,MATCH(C966,Players!$B$5:$B$304,0)),"UID not in Players sheet"))</f>
        <v/>
      </c>
      <c r="E966" s="12"/>
      <c r="F966" s="15"/>
      <c r="G966" s="21"/>
      <c r="H966" s="1"/>
      <c r="I966" s="1"/>
      <c r="J966" s="1"/>
    </row>
    <row r="967" customFormat="false" ht="21.75" hidden="false" customHeight="true" outlineLevel="0" collapsed="false">
      <c r="A967" s="1"/>
      <c r="B967" s="20"/>
      <c r="C967" s="15"/>
      <c r="D967" s="11" t="str">
        <f aca="false">IF(C967="","",IFERROR(INDEX(Players!$C$5:$C$304,MATCH(C967,Players!$B$5:$B$304,0)),"UID not in Players sheet"))</f>
        <v/>
      </c>
      <c r="E967" s="12"/>
      <c r="F967" s="15"/>
      <c r="G967" s="21"/>
      <c r="H967" s="1"/>
      <c r="I967" s="1"/>
      <c r="J967" s="1"/>
    </row>
    <row r="968" customFormat="false" ht="21.75" hidden="false" customHeight="true" outlineLevel="0" collapsed="false">
      <c r="A968" s="1"/>
      <c r="B968" s="20"/>
      <c r="C968" s="15"/>
      <c r="D968" s="11" t="str">
        <f aca="false">IF(C968="","",IFERROR(INDEX(Players!$C$5:$C$304,MATCH(C968,Players!$B$5:$B$304,0)),"UID not in Players sheet"))</f>
        <v/>
      </c>
      <c r="E968" s="12"/>
      <c r="F968" s="15"/>
      <c r="G968" s="21"/>
      <c r="H968" s="1"/>
      <c r="I968" s="1"/>
      <c r="J968" s="1"/>
    </row>
    <row r="969" customFormat="false" ht="21.75" hidden="false" customHeight="true" outlineLevel="0" collapsed="false">
      <c r="A969" s="1"/>
      <c r="B969" s="20"/>
      <c r="C969" s="15"/>
      <c r="D969" s="11" t="str">
        <f aca="false">IF(C969="","",IFERROR(INDEX(Players!$C$5:$C$304,MATCH(C969,Players!$B$5:$B$304,0)),"UID not in Players sheet"))</f>
        <v/>
      </c>
      <c r="E969" s="12"/>
      <c r="F969" s="15"/>
      <c r="G969" s="21"/>
      <c r="H969" s="1"/>
      <c r="I969" s="1"/>
      <c r="J969" s="1"/>
    </row>
    <row r="970" customFormat="false" ht="21.75" hidden="false" customHeight="true" outlineLevel="0" collapsed="false">
      <c r="A970" s="1"/>
      <c r="B970" s="20"/>
      <c r="C970" s="15"/>
      <c r="D970" s="11" t="str">
        <f aca="false">IF(C970="","",IFERROR(INDEX(Players!$C$5:$C$304,MATCH(C970,Players!$B$5:$B$304,0)),"UID not in Players sheet"))</f>
        <v/>
      </c>
      <c r="E970" s="12"/>
      <c r="F970" s="15"/>
      <c r="G970" s="21"/>
      <c r="H970" s="1"/>
      <c r="I970" s="1"/>
      <c r="J970" s="1"/>
    </row>
    <row r="971" customFormat="false" ht="21.75" hidden="false" customHeight="true" outlineLevel="0" collapsed="false">
      <c r="A971" s="1"/>
      <c r="B971" s="20"/>
      <c r="C971" s="15"/>
      <c r="D971" s="11" t="str">
        <f aca="false">IF(C971="","",IFERROR(INDEX(Players!$C$5:$C$304,MATCH(C971,Players!$B$5:$B$304,0)),"UID not in Players sheet"))</f>
        <v/>
      </c>
      <c r="E971" s="12"/>
      <c r="F971" s="15"/>
      <c r="G971" s="21"/>
      <c r="H971" s="1"/>
      <c r="I971" s="1"/>
      <c r="J971" s="1"/>
    </row>
    <row r="972" customFormat="false" ht="21.75" hidden="false" customHeight="true" outlineLevel="0" collapsed="false">
      <c r="A972" s="1"/>
      <c r="B972" s="20"/>
      <c r="C972" s="15"/>
      <c r="D972" s="11" t="str">
        <f aca="false">IF(C972="","",IFERROR(INDEX(Players!$C$5:$C$304,MATCH(C972,Players!$B$5:$B$304,0)),"UID not in Players sheet"))</f>
        <v/>
      </c>
      <c r="E972" s="12"/>
      <c r="F972" s="15"/>
      <c r="G972" s="21"/>
      <c r="H972" s="1"/>
      <c r="I972" s="1"/>
      <c r="J972" s="1"/>
    </row>
    <row r="973" customFormat="false" ht="21.75" hidden="false" customHeight="true" outlineLevel="0" collapsed="false">
      <c r="A973" s="1"/>
      <c r="B973" s="20"/>
      <c r="C973" s="15"/>
      <c r="D973" s="11" t="str">
        <f aca="false">IF(C973="","",IFERROR(INDEX(Players!$C$5:$C$304,MATCH(C973,Players!$B$5:$B$304,0)),"UID not in Players sheet"))</f>
        <v/>
      </c>
      <c r="E973" s="12"/>
      <c r="F973" s="15"/>
      <c r="G973" s="21"/>
      <c r="H973" s="1"/>
      <c r="I973" s="1"/>
      <c r="J973" s="1"/>
    </row>
    <row r="974" customFormat="false" ht="21.75" hidden="false" customHeight="true" outlineLevel="0" collapsed="false">
      <c r="A974" s="1"/>
      <c r="B974" s="20"/>
      <c r="C974" s="15"/>
      <c r="D974" s="11" t="str">
        <f aca="false">IF(C974="","",IFERROR(INDEX(Players!$C$5:$C$304,MATCH(C974,Players!$B$5:$B$304,0)),"UID not in Players sheet"))</f>
        <v/>
      </c>
      <c r="E974" s="12"/>
      <c r="F974" s="15"/>
      <c r="G974" s="21"/>
      <c r="H974" s="1"/>
      <c r="I974" s="1"/>
      <c r="J974" s="1"/>
    </row>
    <row r="975" customFormat="false" ht="21.75" hidden="false" customHeight="true" outlineLevel="0" collapsed="false">
      <c r="A975" s="1"/>
      <c r="B975" s="20"/>
      <c r="C975" s="15"/>
      <c r="D975" s="11" t="str">
        <f aca="false">IF(C975="","",IFERROR(INDEX(Players!$C$5:$C$304,MATCH(C975,Players!$B$5:$B$304,0)),"UID not in Players sheet"))</f>
        <v/>
      </c>
      <c r="E975" s="12"/>
      <c r="F975" s="15"/>
      <c r="G975" s="21"/>
      <c r="H975" s="1"/>
      <c r="I975" s="1"/>
      <c r="J975" s="1"/>
    </row>
    <row r="976" customFormat="false" ht="21.75" hidden="false" customHeight="true" outlineLevel="0" collapsed="false">
      <c r="A976" s="1"/>
      <c r="B976" s="20"/>
      <c r="C976" s="15"/>
      <c r="D976" s="11" t="str">
        <f aca="false">IF(C976="","",IFERROR(INDEX(Players!$C$5:$C$304,MATCH(C976,Players!$B$5:$B$304,0)),"UID not in Players sheet"))</f>
        <v/>
      </c>
      <c r="E976" s="12"/>
      <c r="F976" s="15"/>
      <c r="G976" s="21"/>
      <c r="H976" s="1"/>
      <c r="I976" s="1"/>
      <c r="J976" s="1"/>
    </row>
    <row r="977" customFormat="false" ht="21.75" hidden="false" customHeight="true" outlineLevel="0" collapsed="false">
      <c r="A977" s="1"/>
      <c r="B977" s="20"/>
      <c r="C977" s="15"/>
      <c r="D977" s="11" t="str">
        <f aca="false">IF(C977="","",IFERROR(INDEX(Players!$C$5:$C$304,MATCH(C977,Players!$B$5:$B$304,0)),"UID not in Players sheet"))</f>
        <v/>
      </c>
      <c r="E977" s="12"/>
      <c r="F977" s="15"/>
      <c r="G977" s="21"/>
      <c r="H977" s="1"/>
      <c r="I977" s="1"/>
      <c r="J977" s="1"/>
    </row>
    <row r="978" customFormat="false" ht="21.75" hidden="false" customHeight="true" outlineLevel="0" collapsed="false">
      <c r="A978" s="1"/>
      <c r="B978" s="20"/>
      <c r="C978" s="15"/>
      <c r="D978" s="11" t="str">
        <f aca="false">IF(C978="","",IFERROR(INDEX(Players!$C$5:$C$304,MATCH(C978,Players!$B$5:$B$304,0)),"UID not in Players sheet"))</f>
        <v/>
      </c>
      <c r="E978" s="12"/>
      <c r="F978" s="15"/>
      <c r="G978" s="21"/>
      <c r="H978" s="1"/>
      <c r="I978" s="1"/>
      <c r="J978" s="1"/>
    </row>
    <row r="979" customFormat="false" ht="21.75" hidden="false" customHeight="true" outlineLevel="0" collapsed="false">
      <c r="A979" s="1"/>
      <c r="B979" s="20"/>
      <c r="C979" s="15"/>
      <c r="D979" s="11" t="str">
        <f aca="false">IF(C979="","",IFERROR(INDEX(Players!$C$5:$C$304,MATCH(C979,Players!$B$5:$B$304,0)),"UID not in Players sheet"))</f>
        <v/>
      </c>
      <c r="E979" s="12"/>
      <c r="F979" s="15"/>
      <c r="G979" s="21"/>
      <c r="H979" s="1"/>
      <c r="I979" s="1"/>
      <c r="J979" s="1"/>
    </row>
    <row r="980" customFormat="false" ht="21.75" hidden="false" customHeight="true" outlineLevel="0" collapsed="false">
      <c r="A980" s="1"/>
      <c r="B980" s="20"/>
      <c r="C980" s="15"/>
      <c r="D980" s="11" t="str">
        <f aca="false">IF(C980="","",IFERROR(INDEX(Players!$C$5:$C$304,MATCH(C980,Players!$B$5:$B$304,0)),"UID not in Players sheet"))</f>
        <v/>
      </c>
      <c r="E980" s="12"/>
      <c r="F980" s="15"/>
      <c r="G980" s="21"/>
      <c r="H980" s="1"/>
      <c r="I980" s="1"/>
      <c r="J980" s="1"/>
    </row>
    <row r="981" customFormat="false" ht="21.75" hidden="false" customHeight="true" outlineLevel="0" collapsed="false">
      <c r="A981" s="1"/>
      <c r="B981" s="20"/>
      <c r="C981" s="15"/>
      <c r="D981" s="11" t="str">
        <f aca="false">IF(C981="","",IFERROR(INDEX(Players!$C$5:$C$304,MATCH(C981,Players!$B$5:$B$304,0)),"UID not in Players sheet"))</f>
        <v/>
      </c>
      <c r="E981" s="12"/>
      <c r="F981" s="15"/>
      <c r="G981" s="21"/>
      <c r="H981" s="1"/>
      <c r="I981" s="1"/>
      <c r="J981" s="1"/>
    </row>
    <row r="982" customFormat="false" ht="21.75" hidden="false" customHeight="true" outlineLevel="0" collapsed="false">
      <c r="A982" s="1"/>
      <c r="B982" s="20"/>
      <c r="C982" s="15"/>
      <c r="D982" s="11" t="str">
        <f aca="false">IF(C982="","",IFERROR(INDEX(Players!$C$5:$C$304,MATCH(C982,Players!$B$5:$B$304,0)),"UID not in Players sheet"))</f>
        <v/>
      </c>
      <c r="E982" s="12"/>
      <c r="F982" s="15"/>
      <c r="G982" s="21"/>
      <c r="H982" s="1"/>
      <c r="I982" s="1"/>
      <c r="J982" s="1"/>
    </row>
    <row r="983" customFormat="false" ht="21.75" hidden="false" customHeight="true" outlineLevel="0" collapsed="false">
      <c r="A983" s="1"/>
      <c r="B983" s="20"/>
      <c r="C983" s="15"/>
      <c r="D983" s="11" t="str">
        <f aca="false">IF(C983="","",IFERROR(INDEX(Players!$C$5:$C$304,MATCH(C983,Players!$B$5:$B$304,0)),"UID not in Players sheet"))</f>
        <v/>
      </c>
      <c r="E983" s="12"/>
      <c r="F983" s="15"/>
      <c r="G983" s="21"/>
      <c r="H983" s="1"/>
      <c r="I983" s="1"/>
      <c r="J983" s="1"/>
    </row>
    <row r="984" customFormat="false" ht="21.75" hidden="false" customHeight="true" outlineLevel="0" collapsed="false">
      <c r="A984" s="1"/>
      <c r="B984" s="20"/>
      <c r="C984" s="15"/>
      <c r="D984" s="11" t="str">
        <f aca="false">IF(C984="","",IFERROR(INDEX(Players!$C$5:$C$304,MATCH(C984,Players!$B$5:$B$304,0)),"UID not in Players sheet"))</f>
        <v/>
      </c>
      <c r="E984" s="12"/>
      <c r="F984" s="15"/>
      <c r="G984" s="21"/>
      <c r="H984" s="1"/>
      <c r="I984" s="1"/>
      <c r="J984" s="1"/>
    </row>
    <row r="985" customFormat="false" ht="21.75" hidden="false" customHeight="true" outlineLevel="0" collapsed="false">
      <c r="A985" s="1"/>
      <c r="B985" s="20"/>
      <c r="C985" s="15"/>
      <c r="D985" s="11" t="str">
        <f aca="false">IF(C985="","",IFERROR(INDEX(Players!$C$5:$C$304,MATCH(C985,Players!$B$5:$B$304,0)),"UID not in Players sheet"))</f>
        <v/>
      </c>
      <c r="E985" s="12"/>
      <c r="F985" s="15"/>
      <c r="G985" s="21"/>
      <c r="H985" s="1"/>
      <c r="I985" s="1"/>
      <c r="J985" s="1"/>
    </row>
    <row r="986" customFormat="false" ht="21.75" hidden="false" customHeight="true" outlineLevel="0" collapsed="false">
      <c r="A986" s="1"/>
      <c r="B986" s="20"/>
      <c r="C986" s="15"/>
      <c r="D986" s="11" t="str">
        <f aca="false">IF(C986="","",IFERROR(INDEX(Players!$C$5:$C$304,MATCH(C986,Players!$B$5:$B$304,0)),"UID not in Players sheet"))</f>
        <v/>
      </c>
      <c r="E986" s="12"/>
      <c r="F986" s="15"/>
      <c r="G986" s="21"/>
      <c r="H986" s="1"/>
      <c r="I986" s="1"/>
      <c r="J986" s="1"/>
    </row>
    <row r="987" customFormat="false" ht="21.75" hidden="false" customHeight="true" outlineLevel="0" collapsed="false">
      <c r="A987" s="1"/>
      <c r="B987" s="20"/>
      <c r="C987" s="15"/>
      <c r="D987" s="11" t="str">
        <f aca="false">IF(C987="","",IFERROR(INDEX(Players!$C$5:$C$304,MATCH(C987,Players!$B$5:$B$304,0)),"UID not in Players sheet"))</f>
        <v/>
      </c>
      <c r="E987" s="12"/>
      <c r="F987" s="15"/>
      <c r="G987" s="21"/>
      <c r="H987" s="1"/>
      <c r="I987" s="1"/>
      <c r="J987" s="1"/>
    </row>
    <row r="988" customFormat="false" ht="21.75" hidden="false" customHeight="true" outlineLevel="0" collapsed="false">
      <c r="A988" s="1"/>
      <c r="B988" s="20"/>
      <c r="C988" s="15"/>
      <c r="D988" s="11" t="str">
        <f aca="false">IF(C988="","",IFERROR(INDEX(Players!$C$5:$C$304,MATCH(C988,Players!$B$5:$B$304,0)),"UID not in Players sheet"))</f>
        <v/>
      </c>
      <c r="E988" s="12"/>
      <c r="F988" s="15"/>
      <c r="G988" s="21"/>
      <c r="H988" s="1"/>
      <c r="I988" s="1"/>
      <c r="J988" s="1"/>
    </row>
    <row r="989" customFormat="false" ht="21.75" hidden="false" customHeight="true" outlineLevel="0" collapsed="false">
      <c r="A989" s="1"/>
      <c r="B989" s="20"/>
      <c r="C989" s="15"/>
      <c r="D989" s="11" t="str">
        <f aca="false">IF(C989="","",IFERROR(INDEX(Players!$C$5:$C$304,MATCH(C989,Players!$B$5:$B$304,0)),"UID not in Players sheet"))</f>
        <v/>
      </c>
      <c r="E989" s="12"/>
      <c r="F989" s="15"/>
      <c r="G989" s="21"/>
      <c r="H989" s="1"/>
      <c r="I989" s="1"/>
      <c r="J989" s="1"/>
    </row>
    <row r="990" customFormat="false" ht="21.75" hidden="false" customHeight="true" outlineLevel="0" collapsed="false">
      <c r="A990" s="1"/>
      <c r="B990" s="20"/>
      <c r="C990" s="15"/>
      <c r="D990" s="11" t="str">
        <f aca="false">IF(C990="","",IFERROR(INDEX(Players!$C$5:$C$304,MATCH(C990,Players!$B$5:$B$304,0)),"UID not in Players sheet"))</f>
        <v/>
      </c>
      <c r="E990" s="12"/>
      <c r="F990" s="15"/>
      <c r="G990" s="21"/>
      <c r="H990" s="1"/>
      <c r="I990" s="1"/>
      <c r="J990" s="1"/>
    </row>
    <row r="991" customFormat="false" ht="21.75" hidden="false" customHeight="true" outlineLevel="0" collapsed="false">
      <c r="A991" s="1"/>
      <c r="B991" s="20"/>
      <c r="C991" s="15"/>
      <c r="D991" s="11" t="str">
        <f aca="false">IF(C991="","",IFERROR(INDEX(Players!$C$5:$C$304,MATCH(C991,Players!$B$5:$B$304,0)),"UID not in Players sheet"))</f>
        <v/>
      </c>
      <c r="E991" s="12"/>
      <c r="F991" s="15"/>
      <c r="G991" s="21"/>
      <c r="H991" s="1"/>
      <c r="I991" s="1"/>
      <c r="J991" s="1"/>
    </row>
    <row r="992" customFormat="false" ht="21.75" hidden="false" customHeight="true" outlineLevel="0" collapsed="false">
      <c r="A992" s="1"/>
      <c r="B992" s="20"/>
      <c r="C992" s="15"/>
      <c r="D992" s="11" t="str">
        <f aca="false">IF(C992="","",IFERROR(INDEX(Players!$C$5:$C$304,MATCH(C992,Players!$B$5:$B$304,0)),"UID not in Players sheet"))</f>
        <v/>
      </c>
      <c r="E992" s="12"/>
      <c r="F992" s="15"/>
      <c r="G992" s="21"/>
      <c r="H992" s="1"/>
      <c r="I992" s="1"/>
      <c r="J992" s="1"/>
    </row>
    <row r="993" customFormat="false" ht="21.75" hidden="false" customHeight="true" outlineLevel="0" collapsed="false">
      <c r="A993" s="1"/>
      <c r="B993" s="20"/>
      <c r="C993" s="15"/>
      <c r="D993" s="11" t="str">
        <f aca="false">IF(C993="","",IFERROR(INDEX(Players!$C$5:$C$304,MATCH(C993,Players!$B$5:$B$304,0)),"UID not in Players sheet"))</f>
        <v/>
      </c>
      <c r="E993" s="12"/>
      <c r="F993" s="15"/>
      <c r="G993" s="21"/>
      <c r="H993" s="1"/>
      <c r="I993" s="1"/>
      <c r="J993" s="1"/>
    </row>
    <row r="994" customFormat="false" ht="21.75" hidden="false" customHeight="true" outlineLevel="0" collapsed="false">
      <c r="A994" s="1"/>
      <c r="B994" s="20"/>
      <c r="C994" s="15"/>
      <c r="D994" s="11" t="str">
        <f aca="false">IF(C994="","",IFERROR(INDEX(Players!$C$5:$C$304,MATCH(C994,Players!$B$5:$B$304,0)),"UID not in Players sheet"))</f>
        <v/>
      </c>
      <c r="E994" s="12"/>
      <c r="F994" s="15"/>
      <c r="G994" s="21"/>
      <c r="H994" s="1"/>
      <c r="I994" s="1"/>
      <c r="J994" s="1"/>
    </row>
    <row r="995" customFormat="false" ht="21.75" hidden="false" customHeight="true" outlineLevel="0" collapsed="false">
      <c r="A995" s="1"/>
      <c r="B995" s="20"/>
      <c r="C995" s="15"/>
      <c r="D995" s="11" t="str">
        <f aca="false">IF(C995="","",IFERROR(INDEX(Players!$C$5:$C$304,MATCH(C995,Players!$B$5:$B$304,0)),"UID not in Players sheet"))</f>
        <v/>
      </c>
      <c r="E995" s="12"/>
      <c r="F995" s="15"/>
      <c r="G995" s="21"/>
      <c r="H995" s="1"/>
      <c r="I995" s="1"/>
      <c r="J995" s="1"/>
    </row>
    <row r="996" customFormat="false" ht="21.75" hidden="false" customHeight="true" outlineLevel="0" collapsed="false">
      <c r="A996" s="1"/>
      <c r="B996" s="20"/>
      <c r="C996" s="15"/>
      <c r="D996" s="11" t="str">
        <f aca="false">IF(C996="","",IFERROR(INDEX(Players!$C$5:$C$304,MATCH(C996,Players!$B$5:$B$304,0)),"UID not in Players sheet"))</f>
        <v/>
      </c>
      <c r="E996" s="12"/>
      <c r="F996" s="15"/>
      <c r="G996" s="21"/>
      <c r="H996" s="1"/>
      <c r="I996" s="1"/>
      <c r="J996" s="1"/>
    </row>
    <row r="997" customFormat="false" ht="21.75" hidden="false" customHeight="true" outlineLevel="0" collapsed="false">
      <c r="A997" s="1"/>
      <c r="B997" s="20"/>
      <c r="C997" s="15"/>
      <c r="D997" s="11" t="str">
        <f aca="false">IF(C997="","",IFERROR(INDEX(Players!$C$5:$C$304,MATCH(C997,Players!$B$5:$B$304,0)),"UID not in Players sheet"))</f>
        <v/>
      </c>
      <c r="E997" s="12"/>
      <c r="F997" s="15"/>
      <c r="G997" s="21"/>
      <c r="H997" s="1"/>
      <c r="I997" s="1"/>
      <c r="J997" s="1"/>
    </row>
    <row r="998" customFormat="false" ht="21.75" hidden="false" customHeight="true" outlineLevel="0" collapsed="false">
      <c r="A998" s="1"/>
      <c r="B998" s="20"/>
      <c r="C998" s="15"/>
      <c r="D998" s="11" t="str">
        <f aca="false">IF(C998="","",IFERROR(INDEX(Players!$C$5:$C$304,MATCH(C998,Players!$B$5:$B$304,0)),"UID not in Players sheet"))</f>
        <v/>
      </c>
      <c r="E998" s="12"/>
      <c r="F998" s="15"/>
      <c r="G998" s="21"/>
      <c r="H998" s="1"/>
      <c r="I998" s="1"/>
      <c r="J998" s="1"/>
    </row>
    <row r="999" customFormat="false" ht="21.75" hidden="false" customHeight="true" outlineLevel="0" collapsed="false">
      <c r="A999" s="1"/>
      <c r="B999" s="20"/>
      <c r="C999" s="15"/>
      <c r="D999" s="11" t="str">
        <f aca="false">IF(C999="","",IFERROR(INDEX(Players!$C$5:$C$304,MATCH(C999,Players!$B$5:$B$304,0)),"UID not in Players sheet"))</f>
        <v/>
      </c>
      <c r="E999" s="12"/>
      <c r="F999" s="15"/>
      <c r="G999" s="21"/>
      <c r="H999" s="1"/>
      <c r="I999" s="1"/>
      <c r="J999" s="1"/>
    </row>
    <row r="1000" customFormat="false" ht="21.75" hidden="false" customHeight="true" outlineLevel="0" collapsed="false">
      <c r="A1000" s="1"/>
      <c r="B1000" s="20"/>
      <c r="C1000" s="15"/>
      <c r="D1000" s="11" t="str">
        <f aca="false">IF(C1000="","",IFERROR(INDEX(Players!$C$5:$C$304,MATCH(C1000,Players!$B$5:$B$304,0)),"UID not in Players sheet"))</f>
        <v/>
      </c>
      <c r="E1000" s="12"/>
      <c r="F1000" s="15"/>
      <c r="G1000" s="21"/>
      <c r="H1000" s="1"/>
      <c r="I1000" s="1"/>
      <c r="J1000" s="1"/>
    </row>
    <row r="1001" customFormat="false" ht="21.75" hidden="false" customHeight="true" outlineLevel="0" collapsed="false">
      <c r="A1001" s="1"/>
      <c r="B1001" s="20"/>
      <c r="C1001" s="15"/>
      <c r="D1001" s="11" t="str">
        <f aca="false">IF(C1001="","",IFERROR(INDEX(Players!$C$5:$C$304,MATCH(C1001,Players!$B$5:$B$304,0)),"UID not in Players sheet"))</f>
        <v/>
      </c>
      <c r="E1001" s="12"/>
      <c r="F1001" s="15"/>
      <c r="G1001" s="21"/>
      <c r="H1001" s="1"/>
      <c r="I1001" s="1"/>
      <c r="J1001" s="1"/>
    </row>
    <row r="1002" customFormat="false" ht="21.75" hidden="false" customHeight="true" outlineLevel="0" collapsed="false">
      <c r="A1002" s="1"/>
      <c r="B1002" s="20"/>
      <c r="C1002" s="15"/>
      <c r="D1002" s="11" t="str">
        <f aca="false">IF(C1002="","",IFERROR(INDEX(Players!$C$5:$C$304,MATCH(C1002,Players!$B$5:$B$304,0)),"UID not in Players sheet"))</f>
        <v/>
      </c>
      <c r="E1002" s="12"/>
      <c r="F1002" s="15"/>
      <c r="G1002" s="21"/>
      <c r="H1002" s="1"/>
      <c r="I1002" s="1"/>
      <c r="J1002" s="1"/>
    </row>
    <row r="1003" customFormat="false" ht="21.75" hidden="false" customHeight="true" outlineLevel="0" collapsed="false">
      <c r="A1003" s="1"/>
      <c r="B1003" s="20"/>
      <c r="C1003" s="15"/>
      <c r="D1003" s="11" t="str">
        <f aca="false">IF(C1003="","",IFERROR(INDEX(Players!$C$5:$C$304,MATCH(C1003,Players!$B$5:$B$304,0)),"UID not in Players sheet"))</f>
        <v/>
      </c>
      <c r="E1003" s="12"/>
      <c r="F1003" s="15"/>
      <c r="G1003" s="21"/>
      <c r="H1003" s="1"/>
      <c r="I1003" s="1"/>
      <c r="J1003" s="1"/>
    </row>
    <row r="1004" customFormat="false" ht="21.75" hidden="false" customHeight="true" outlineLevel="0" collapsed="false">
      <c r="A1004" s="1"/>
      <c r="B1004" s="20"/>
      <c r="C1004" s="15"/>
      <c r="D1004" s="11" t="str">
        <f aca="false">IF(C1004="","",IFERROR(INDEX(Players!$C$5:$C$304,MATCH(C1004,Players!$B$5:$B$304,0)),"UID not in Players sheet"))</f>
        <v/>
      </c>
      <c r="E1004" s="12"/>
      <c r="F1004" s="15"/>
      <c r="G1004" s="21"/>
      <c r="H1004" s="1"/>
      <c r="I1004" s="1"/>
      <c r="J1004" s="1"/>
    </row>
    <row r="1005" customFormat="false" ht="15" hidden="false" customHeight="fals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</row>
    <row r="1006" customFormat="false" ht="15" hidden="false" customHeight="fals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</row>
  </sheetData>
  <autoFilter ref="B4:G1004"/>
  <conditionalFormatting sqref="D5:D1004">
    <cfRule type="expression" priority="2" aboveAverage="0" equalAverage="0" bottom="0" percent="0" rank="0" text="" dxfId="7">
      <formula>LEFT(D5,3)="UID"</formula>
    </cfRule>
  </conditionalFormatting>
  <conditionalFormatting sqref="G5:G1004">
    <cfRule type="expression" priority="3" aboveAverage="0" equalAverage="0" bottom="0" percent="0" rank="0" text="" dxfId="8">
      <formula>G5="Yes"</formula>
    </cfRule>
    <cfRule type="expression" priority="4" aboveAverage="0" equalAverage="0" bottom="0" percent="0" rank="0" text="" dxfId="9">
      <formula>G5="No"</formula>
    </cfRule>
  </conditionalFormatting>
  <dataValidations count="1">
    <dataValidation allowBlank="true" errorStyle="stop" operator="between" showDropDown="false" showErrorMessage="false" showInputMessage="false" sqref="G5:G10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00"/>
    <pageSetUpPr fitToPage="false"/>
  </sheetPr>
  <dimension ref="A1:I2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8" min="8" style="0" width="44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7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1"/>
      <c r="B3" s="3" t="s">
        <v>62</v>
      </c>
      <c r="C3" s="1"/>
      <c r="D3" s="1"/>
      <c r="E3" s="1"/>
      <c r="F3" s="1"/>
      <c r="G3" s="1"/>
      <c r="H3" s="1"/>
      <c r="I3" s="1"/>
    </row>
    <row r="4" customFormat="false" ht="30" hidden="false" customHeight="true" outlineLevel="0" collapsed="false">
      <c r="A4" s="1"/>
      <c r="B4" s="10" t="s">
        <v>63</v>
      </c>
      <c r="C4" s="10" t="s">
        <v>64</v>
      </c>
      <c r="D4" s="10" t="s">
        <v>34</v>
      </c>
      <c r="E4" s="10" t="s">
        <v>52</v>
      </c>
      <c r="F4" s="10" t="s">
        <v>65</v>
      </c>
      <c r="G4" s="1"/>
      <c r="H4" s="10" t="s">
        <v>41</v>
      </c>
      <c r="I4" s="1"/>
    </row>
    <row r="5" customFormat="false" ht="21.75" hidden="false" customHeight="true" outlineLevel="0" collapsed="false">
      <c r="A5" s="1"/>
      <c r="B5" s="16" t="s">
        <v>66</v>
      </c>
      <c r="C5" s="16" t="s">
        <v>67</v>
      </c>
      <c r="D5" s="15" t="s">
        <v>42</v>
      </c>
      <c r="E5" s="11" t="str">
        <f aca="false">IF(D5="","",IFERROR(INDEX(Players!$C$5:$C$304,MATCH(D5,Players!$B$5:$B$304,0)),""))</f>
        <v>Rahul</v>
      </c>
      <c r="F5" s="22" t="str">
        <f aca="false">IF(D5="","",IF(COUNTIFS($B$5:$B$2004,B5,$D$5:$D$2004,D5)&gt;1,"DUPLICATE",IF(ISNA(MATCH(D5,Players!$B$5:$B$304,0)),"UID not found",IF(INDEX(Players!$H$5:$H$304,MATCH(D5,Players!$B$5:$B$304,0))&lt;0,"LOW BALANCE","OK"))))</f>
        <v>OK</v>
      </c>
      <c r="G5" s="1"/>
      <c r="H5" s="13" t="s">
        <v>45</v>
      </c>
      <c r="I5" s="1"/>
    </row>
    <row r="6" customFormat="false" ht="21.75" hidden="false" customHeight="true" outlineLevel="0" collapsed="false">
      <c r="A6" s="1"/>
      <c r="B6" s="16"/>
      <c r="C6" s="16"/>
      <c r="D6" s="15"/>
      <c r="E6" s="11" t="str">
        <f aca="false">IF(D6="","",IFERROR(INDEX(Players!$C$5:$C$304,MATCH(D6,Players!$B$5:$B$304,0)),""))</f>
        <v/>
      </c>
      <c r="F6" s="22" t="str">
        <f aca="false">IF(D6="","",IF(COUNTIFS($B$5:$B$2004,B6,$D$5:$D$2004,D6)&gt;1,"DUPLICATE",IF(ISNA(MATCH(D6,Players!$B$5:$B$304,0)),"UID not found",IF(INDEX(Players!$H$5:$H$304,MATCH(D6,Players!$B$5:$B$304,0))&lt;0,"LOW BALANCE","OK"))))</f>
        <v/>
      </c>
      <c r="G6" s="1"/>
      <c r="H6" s="13" t="s">
        <v>68</v>
      </c>
      <c r="I6" s="1"/>
    </row>
    <row r="7" customFormat="false" ht="21.75" hidden="false" customHeight="true" outlineLevel="0" collapsed="false">
      <c r="A7" s="1"/>
      <c r="B7" s="16"/>
      <c r="C7" s="16"/>
      <c r="D7" s="15"/>
      <c r="E7" s="11" t="str">
        <f aca="false">IF(D7="","",IFERROR(INDEX(Players!$C$5:$C$304,MATCH(D7,Players!$B$5:$B$304,0)),""))</f>
        <v/>
      </c>
      <c r="F7" s="22" t="str">
        <f aca="false">IF(D7="","",IF(COUNTIFS($B$5:$B$2004,B7,$D$5:$D$2004,D7)&gt;1,"DUPLICATE",IF(ISNA(MATCH(D7,Players!$B$5:$B$304,0)),"UID not found",IF(INDEX(Players!$H$5:$H$304,MATCH(D7,Players!$B$5:$B$304,0))&lt;0,"LOW BALANCE","OK"))))</f>
        <v/>
      </c>
      <c r="G7" s="1"/>
      <c r="H7" s="13" t="s">
        <v>69</v>
      </c>
      <c r="I7" s="1"/>
    </row>
    <row r="8" customFormat="false" ht="21.75" hidden="false" customHeight="true" outlineLevel="0" collapsed="false">
      <c r="A8" s="1"/>
      <c r="B8" s="16"/>
      <c r="C8" s="16"/>
      <c r="D8" s="15"/>
      <c r="E8" s="11" t="str">
        <f aca="false">IF(D8="","",IFERROR(INDEX(Players!$C$5:$C$304,MATCH(D8,Players!$B$5:$B$304,0)),""))</f>
        <v/>
      </c>
      <c r="F8" s="22" t="str">
        <f aca="false">IF(D8="","",IF(COUNTIFS($B$5:$B$2004,B8,$D$5:$D$2004,D8)&gt;1,"DUPLICATE",IF(ISNA(MATCH(D8,Players!$B$5:$B$304,0)),"UID not found",IF(INDEX(Players!$H$5:$H$304,MATCH(D8,Players!$B$5:$B$304,0))&lt;0,"LOW BALANCE","OK"))))</f>
        <v/>
      </c>
      <c r="G8" s="1"/>
      <c r="H8" s="13" t="s">
        <v>70</v>
      </c>
      <c r="I8" s="1"/>
    </row>
    <row r="9" customFormat="false" ht="21.75" hidden="false" customHeight="true" outlineLevel="0" collapsed="false">
      <c r="A9" s="1"/>
      <c r="B9" s="16"/>
      <c r="C9" s="16"/>
      <c r="D9" s="15"/>
      <c r="E9" s="11" t="str">
        <f aca="false">IF(D9="","",IFERROR(INDEX(Players!$C$5:$C$304,MATCH(D9,Players!$B$5:$B$304,0)),""))</f>
        <v/>
      </c>
      <c r="F9" s="22" t="str">
        <f aca="false">IF(D9="","",IF(COUNTIFS($B$5:$B$2004,B9,$D$5:$D$2004,D9)&gt;1,"DUPLICATE",IF(ISNA(MATCH(D9,Players!$B$5:$B$304,0)),"UID not found",IF(INDEX(Players!$H$5:$H$304,MATCH(D9,Players!$B$5:$B$304,0))&lt;0,"LOW BALANCE","OK"))))</f>
        <v/>
      </c>
      <c r="G9" s="1"/>
      <c r="H9" s="13" t="s">
        <v>71</v>
      </c>
      <c r="I9" s="1"/>
    </row>
    <row r="10" customFormat="false" ht="21.75" hidden="false" customHeight="true" outlineLevel="0" collapsed="false">
      <c r="A10" s="1"/>
      <c r="B10" s="16"/>
      <c r="C10" s="16"/>
      <c r="D10" s="15"/>
      <c r="E10" s="11" t="str">
        <f aca="false">IF(D10="","",IFERROR(INDEX(Players!$C$5:$C$304,MATCH(D10,Players!$B$5:$B$304,0)),""))</f>
        <v/>
      </c>
      <c r="F10" s="22" t="str">
        <f aca="false">IF(D10="","",IF(COUNTIFS($B$5:$B$2004,B10,$D$5:$D$2004,D10)&gt;1,"DUPLICATE",IF(ISNA(MATCH(D10,Players!$B$5:$B$304,0)),"UID not found",IF(INDEX(Players!$H$5:$H$304,MATCH(D10,Players!$B$5:$B$304,0))&lt;0,"LOW BALANCE","OK"))))</f>
        <v/>
      </c>
      <c r="G10" s="1"/>
      <c r="H10" s="1"/>
      <c r="I10" s="1"/>
    </row>
    <row r="11" customFormat="false" ht="21.75" hidden="false" customHeight="true" outlineLevel="0" collapsed="false">
      <c r="A11" s="1"/>
      <c r="B11" s="16"/>
      <c r="C11" s="16"/>
      <c r="D11" s="15"/>
      <c r="E11" s="11" t="str">
        <f aca="false">IF(D11="","",IFERROR(INDEX(Players!$C$5:$C$304,MATCH(D11,Players!$B$5:$B$304,0)),""))</f>
        <v/>
      </c>
      <c r="F11" s="22" t="str">
        <f aca="false">IF(D11="","",IF(COUNTIFS($B$5:$B$2004,B11,$D$5:$D$2004,D11)&gt;1,"DUPLICATE",IF(ISNA(MATCH(D11,Players!$B$5:$B$304,0)),"UID not found",IF(INDEX(Players!$H$5:$H$304,MATCH(D11,Players!$B$5:$B$304,0))&lt;0,"LOW BALANCE","OK"))))</f>
        <v/>
      </c>
      <c r="G11" s="1"/>
      <c r="H11" s="1"/>
      <c r="I11" s="1"/>
    </row>
    <row r="12" customFormat="false" ht="21.75" hidden="false" customHeight="true" outlineLevel="0" collapsed="false">
      <c r="A12" s="1"/>
      <c r="B12" s="16"/>
      <c r="C12" s="16"/>
      <c r="D12" s="15"/>
      <c r="E12" s="11" t="str">
        <f aca="false">IF(D12="","",IFERROR(INDEX(Players!$C$5:$C$304,MATCH(D12,Players!$B$5:$B$304,0)),""))</f>
        <v/>
      </c>
      <c r="F12" s="22" t="str">
        <f aca="false">IF(D12="","",IF(COUNTIFS($B$5:$B$2004,B12,$D$5:$D$2004,D12)&gt;1,"DUPLICATE",IF(ISNA(MATCH(D12,Players!$B$5:$B$304,0)),"UID not found",IF(INDEX(Players!$H$5:$H$304,MATCH(D12,Players!$B$5:$B$304,0))&lt;0,"LOW BALANCE","OK"))))</f>
        <v/>
      </c>
      <c r="G12" s="1"/>
      <c r="H12" s="1"/>
      <c r="I12" s="1"/>
    </row>
    <row r="13" customFormat="false" ht="21.75" hidden="false" customHeight="true" outlineLevel="0" collapsed="false">
      <c r="A13" s="1"/>
      <c r="B13" s="16"/>
      <c r="C13" s="16"/>
      <c r="D13" s="15"/>
      <c r="E13" s="11" t="str">
        <f aca="false">IF(D13="","",IFERROR(INDEX(Players!$C$5:$C$304,MATCH(D13,Players!$B$5:$B$304,0)),""))</f>
        <v/>
      </c>
      <c r="F13" s="22" t="str">
        <f aca="false">IF(D13="","",IF(COUNTIFS($B$5:$B$2004,B13,$D$5:$D$2004,D13)&gt;1,"DUPLICATE",IF(ISNA(MATCH(D13,Players!$B$5:$B$304,0)),"UID not found",IF(INDEX(Players!$H$5:$H$304,MATCH(D13,Players!$B$5:$B$304,0))&lt;0,"LOW BALANCE","OK"))))</f>
        <v/>
      </c>
      <c r="G13" s="1"/>
      <c r="H13" s="1"/>
      <c r="I13" s="1"/>
    </row>
    <row r="14" customFormat="false" ht="21.75" hidden="false" customHeight="true" outlineLevel="0" collapsed="false">
      <c r="A14" s="1"/>
      <c r="B14" s="16"/>
      <c r="C14" s="16"/>
      <c r="D14" s="15"/>
      <c r="E14" s="11" t="str">
        <f aca="false">IF(D14="","",IFERROR(INDEX(Players!$C$5:$C$304,MATCH(D14,Players!$B$5:$B$304,0)),""))</f>
        <v/>
      </c>
      <c r="F14" s="22" t="str">
        <f aca="false">IF(D14="","",IF(COUNTIFS($B$5:$B$2004,B14,$D$5:$D$2004,D14)&gt;1,"DUPLICATE",IF(ISNA(MATCH(D14,Players!$B$5:$B$304,0)),"UID not found",IF(INDEX(Players!$H$5:$H$304,MATCH(D14,Players!$B$5:$B$304,0))&lt;0,"LOW BALANCE","OK"))))</f>
        <v/>
      </c>
      <c r="G14" s="1"/>
      <c r="H14" s="1"/>
      <c r="I14" s="1"/>
    </row>
    <row r="15" customFormat="false" ht="21.75" hidden="false" customHeight="true" outlineLevel="0" collapsed="false">
      <c r="A15" s="1"/>
      <c r="B15" s="16"/>
      <c r="C15" s="16"/>
      <c r="D15" s="15"/>
      <c r="E15" s="11" t="str">
        <f aca="false">IF(D15="","",IFERROR(INDEX(Players!$C$5:$C$304,MATCH(D15,Players!$B$5:$B$304,0)),""))</f>
        <v/>
      </c>
      <c r="F15" s="22" t="str">
        <f aca="false">IF(D15="","",IF(COUNTIFS($B$5:$B$2004,B15,$D$5:$D$2004,D15)&gt;1,"DUPLICATE",IF(ISNA(MATCH(D15,Players!$B$5:$B$304,0)),"UID not found",IF(INDEX(Players!$H$5:$H$304,MATCH(D15,Players!$B$5:$B$304,0))&lt;0,"LOW BALANCE","OK"))))</f>
        <v/>
      </c>
      <c r="G15" s="1"/>
      <c r="H15" s="1"/>
      <c r="I15" s="1"/>
    </row>
    <row r="16" customFormat="false" ht="21.75" hidden="false" customHeight="true" outlineLevel="0" collapsed="false">
      <c r="A16" s="1"/>
      <c r="B16" s="16"/>
      <c r="C16" s="16"/>
      <c r="D16" s="15"/>
      <c r="E16" s="11" t="str">
        <f aca="false">IF(D16="","",IFERROR(INDEX(Players!$C$5:$C$304,MATCH(D16,Players!$B$5:$B$304,0)),""))</f>
        <v/>
      </c>
      <c r="F16" s="22" t="str">
        <f aca="false">IF(D16="","",IF(COUNTIFS($B$5:$B$2004,B16,$D$5:$D$2004,D16)&gt;1,"DUPLICATE",IF(ISNA(MATCH(D16,Players!$B$5:$B$304,0)),"UID not found",IF(INDEX(Players!$H$5:$H$304,MATCH(D16,Players!$B$5:$B$304,0))&lt;0,"LOW BALANCE","OK"))))</f>
        <v/>
      </c>
      <c r="G16" s="1"/>
      <c r="H16" s="1"/>
      <c r="I16" s="1"/>
    </row>
    <row r="17" customFormat="false" ht="21.75" hidden="false" customHeight="true" outlineLevel="0" collapsed="false">
      <c r="A17" s="1"/>
      <c r="B17" s="16"/>
      <c r="C17" s="16"/>
      <c r="D17" s="15"/>
      <c r="E17" s="11" t="str">
        <f aca="false">IF(D17="","",IFERROR(INDEX(Players!$C$5:$C$304,MATCH(D17,Players!$B$5:$B$304,0)),""))</f>
        <v/>
      </c>
      <c r="F17" s="22" t="str">
        <f aca="false">IF(D17="","",IF(COUNTIFS($B$5:$B$2004,B17,$D$5:$D$2004,D17)&gt;1,"DUPLICATE",IF(ISNA(MATCH(D17,Players!$B$5:$B$304,0)),"UID not found",IF(INDEX(Players!$H$5:$H$304,MATCH(D17,Players!$B$5:$B$304,0))&lt;0,"LOW BALANCE","OK"))))</f>
        <v/>
      </c>
      <c r="G17" s="1"/>
      <c r="H17" s="1"/>
      <c r="I17" s="1"/>
    </row>
    <row r="18" customFormat="false" ht="21.75" hidden="false" customHeight="true" outlineLevel="0" collapsed="false">
      <c r="A18" s="1"/>
      <c r="B18" s="16"/>
      <c r="C18" s="16"/>
      <c r="D18" s="15"/>
      <c r="E18" s="11" t="str">
        <f aca="false">IF(D18="","",IFERROR(INDEX(Players!$C$5:$C$304,MATCH(D18,Players!$B$5:$B$304,0)),""))</f>
        <v/>
      </c>
      <c r="F18" s="22" t="str">
        <f aca="false">IF(D18="","",IF(COUNTIFS($B$5:$B$2004,B18,$D$5:$D$2004,D18)&gt;1,"DUPLICATE",IF(ISNA(MATCH(D18,Players!$B$5:$B$304,0)),"UID not found",IF(INDEX(Players!$H$5:$H$304,MATCH(D18,Players!$B$5:$B$304,0))&lt;0,"LOW BALANCE","OK"))))</f>
        <v/>
      </c>
      <c r="G18" s="1"/>
      <c r="H18" s="1"/>
      <c r="I18" s="1"/>
    </row>
    <row r="19" customFormat="false" ht="21.75" hidden="false" customHeight="true" outlineLevel="0" collapsed="false">
      <c r="A19" s="1"/>
      <c r="B19" s="16"/>
      <c r="C19" s="16"/>
      <c r="D19" s="15"/>
      <c r="E19" s="11" t="str">
        <f aca="false">IF(D19="","",IFERROR(INDEX(Players!$C$5:$C$304,MATCH(D19,Players!$B$5:$B$304,0)),""))</f>
        <v/>
      </c>
      <c r="F19" s="22" t="str">
        <f aca="false">IF(D19="","",IF(COUNTIFS($B$5:$B$2004,B19,$D$5:$D$2004,D19)&gt;1,"DUPLICATE",IF(ISNA(MATCH(D19,Players!$B$5:$B$304,0)),"UID not found",IF(INDEX(Players!$H$5:$H$304,MATCH(D19,Players!$B$5:$B$304,0))&lt;0,"LOW BALANCE","OK"))))</f>
        <v/>
      </c>
      <c r="G19" s="1"/>
      <c r="H19" s="1"/>
      <c r="I19" s="1"/>
    </row>
    <row r="20" customFormat="false" ht="21.75" hidden="false" customHeight="true" outlineLevel="0" collapsed="false">
      <c r="A20" s="1"/>
      <c r="B20" s="16"/>
      <c r="C20" s="16"/>
      <c r="D20" s="15"/>
      <c r="E20" s="11" t="str">
        <f aca="false">IF(D20="","",IFERROR(INDEX(Players!$C$5:$C$304,MATCH(D20,Players!$B$5:$B$304,0)),""))</f>
        <v/>
      </c>
      <c r="F20" s="22" t="str">
        <f aca="false">IF(D20="","",IF(COUNTIFS($B$5:$B$2004,B20,$D$5:$D$2004,D20)&gt;1,"DUPLICATE",IF(ISNA(MATCH(D20,Players!$B$5:$B$304,0)),"UID not found",IF(INDEX(Players!$H$5:$H$304,MATCH(D20,Players!$B$5:$B$304,0))&lt;0,"LOW BALANCE","OK"))))</f>
        <v/>
      </c>
      <c r="G20" s="1"/>
      <c r="H20" s="1"/>
      <c r="I20" s="1"/>
    </row>
    <row r="21" customFormat="false" ht="21.75" hidden="false" customHeight="true" outlineLevel="0" collapsed="false">
      <c r="A21" s="1"/>
      <c r="B21" s="16"/>
      <c r="C21" s="16"/>
      <c r="D21" s="15"/>
      <c r="E21" s="11" t="str">
        <f aca="false">IF(D21="","",IFERROR(INDEX(Players!$C$5:$C$304,MATCH(D21,Players!$B$5:$B$304,0)),""))</f>
        <v/>
      </c>
      <c r="F21" s="22" t="str">
        <f aca="false">IF(D21="","",IF(COUNTIFS($B$5:$B$2004,B21,$D$5:$D$2004,D21)&gt;1,"DUPLICATE",IF(ISNA(MATCH(D21,Players!$B$5:$B$304,0)),"UID not found",IF(INDEX(Players!$H$5:$H$304,MATCH(D21,Players!$B$5:$B$304,0))&lt;0,"LOW BALANCE","OK"))))</f>
        <v/>
      </c>
      <c r="G21" s="1"/>
      <c r="H21" s="1"/>
      <c r="I21" s="1"/>
    </row>
    <row r="22" customFormat="false" ht="21.75" hidden="false" customHeight="true" outlineLevel="0" collapsed="false">
      <c r="A22" s="1"/>
      <c r="B22" s="16"/>
      <c r="C22" s="16"/>
      <c r="D22" s="15"/>
      <c r="E22" s="11" t="str">
        <f aca="false">IF(D22="","",IFERROR(INDEX(Players!$C$5:$C$304,MATCH(D22,Players!$B$5:$B$304,0)),""))</f>
        <v/>
      </c>
      <c r="F22" s="22" t="str">
        <f aca="false">IF(D22="","",IF(COUNTIFS($B$5:$B$2004,B22,$D$5:$D$2004,D22)&gt;1,"DUPLICATE",IF(ISNA(MATCH(D22,Players!$B$5:$B$304,0)),"UID not found",IF(INDEX(Players!$H$5:$H$304,MATCH(D22,Players!$B$5:$B$304,0))&lt;0,"LOW BALANCE","OK"))))</f>
        <v/>
      </c>
      <c r="G22" s="1"/>
      <c r="H22" s="1"/>
      <c r="I22" s="1"/>
    </row>
    <row r="23" customFormat="false" ht="21.75" hidden="false" customHeight="true" outlineLevel="0" collapsed="false">
      <c r="A23" s="1"/>
      <c r="B23" s="16"/>
      <c r="C23" s="16"/>
      <c r="D23" s="15"/>
      <c r="E23" s="11" t="str">
        <f aca="false">IF(D23="","",IFERROR(INDEX(Players!$C$5:$C$304,MATCH(D23,Players!$B$5:$B$304,0)),""))</f>
        <v/>
      </c>
      <c r="F23" s="22" t="str">
        <f aca="false">IF(D23="","",IF(COUNTIFS($B$5:$B$2004,B23,$D$5:$D$2004,D23)&gt;1,"DUPLICATE",IF(ISNA(MATCH(D23,Players!$B$5:$B$304,0)),"UID not found",IF(INDEX(Players!$H$5:$H$304,MATCH(D23,Players!$B$5:$B$304,0))&lt;0,"LOW BALANCE","OK"))))</f>
        <v/>
      </c>
      <c r="G23" s="1"/>
      <c r="H23" s="1"/>
      <c r="I23" s="1"/>
    </row>
    <row r="24" customFormat="false" ht="21.75" hidden="false" customHeight="true" outlineLevel="0" collapsed="false">
      <c r="A24" s="1"/>
      <c r="B24" s="16"/>
      <c r="C24" s="16"/>
      <c r="D24" s="15"/>
      <c r="E24" s="11" t="str">
        <f aca="false">IF(D24="","",IFERROR(INDEX(Players!$C$5:$C$304,MATCH(D24,Players!$B$5:$B$304,0)),""))</f>
        <v/>
      </c>
      <c r="F24" s="22" t="str">
        <f aca="false">IF(D24="","",IF(COUNTIFS($B$5:$B$2004,B24,$D$5:$D$2004,D24)&gt;1,"DUPLICATE",IF(ISNA(MATCH(D24,Players!$B$5:$B$304,0)),"UID not found",IF(INDEX(Players!$H$5:$H$304,MATCH(D24,Players!$B$5:$B$304,0))&lt;0,"LOW BALANCE","OK"))))</f>
        <v/>
      </c>
      <c r="G24" s="1"/>
      <c r="H24" s="1"/>
      <c r="I24" s="1"/>
    </row>
    <row r="25" customFormat="false" ht="21.75" hidden="false" customHeight="true" outlineLevel="0" collapsed="false">
      <c r="A25" s="1"/>
      <c r="B25" s="16"/>
      <c r="C25" s="16"/>
      <c r="D25" s="15"/>
      <c r="E25" s="11" t="str">
        <f aca="false">IF(D25="","",IFERROR(INDEX(Players!$C$5:$C$304,MATCH(D25,Players!$B$5:$B$304,0)),""))</f>
        <v/>
      </c>
      <c r="F25" s="22" t="str">
        <f aca="false">IF(D25="","",IF(COUNTIFS($B$5:$B$2004,B25,$D$5:$D$2004,D25)&gt;1,"DUPLICATE",IF(ISNA(MATCH(D25,Players!$B$5:$B$304,0)),"UID not found",IF(INDEX(Players!$H$5:$H$304,MATCH(D25,Players!$B$5:$B$304,0))&lt;0,"LOW BALANCE","OK"))))</f>
        <v/>
      </c>
      <c r="G25" s="1"/>
      <c r="H25" s="1"/>
      <c r="I25" s="1"/>
    </row>
    <row r="26" customFormat="false" ht="21.75" hidden="false" customHeight="true" outlineLevel="0" collapsed="false">
      <c r="A26" s="1"/>
      <c r="B26" s="16"/>
      <c r="C26" s="16"/>
      <c r="D26" s="15"/>
      <c r="E26" s="11" t="str">
        <f aca="false">IF(D26="","",IFERROR(INDEX(Players!$C$5:$C$304,MATCH(D26,Players!$B$5:$B$304,0)),""))</f>
        <v/>
      </c>
      <c r="F26" s="22" t="str">
        <f aca="false">IF(D26="","",IF(COUNTIFS($B$5:$B$2004,B26,$D$5:$D$2004,D26)&gt;1,"DUPLICATE",IF(ISNA(MATCH(D26,Players!$B$5:$B$304,0)),"UID not found",IF(INDEX(Players!$H$5:$H$304,MATCH(D26,Players!$B$5:$B$304,0))&lt;0,"LOW BALANCE","OK"))))</f>
        <v/>
      </c>
      <c r="G26" s="1"/>
      <c r="H26" s="1"/>
      <c r="I26" s="1"/>
    </row>
    <row r="27" customFormat="false" ht="21.75" hidden="false" customHeight="true" outlineLevel="0" collapsed="false">
      <c r="A27" s="1"/>
      <c r="B27" s="16"/>
      <c r="C27" s="16"/>
      <c r="D27" s="15"/>
      <c r="E27" s="11" t="str">
        <f aca="false">IF(D27="","",IFERROR(INDEX(Players!$C$5:$C$304,MATCH(D27,Players!$B$5:$B$304,0)),""))</f>
        <v/>
      </c>
      <c r="F27" s="22" t="str">
        <f aca="false">IF(D27="","",IF(COUNTIFS($B$5:$B$2004,B27,$D$5:$D$2004,D27)&gt;1,"DUPLICATE",IF(ISNA(MATCH(D27,Players!$B$5:$B$304,0)),"UID not found",IF(INDEX(Players!$H$5:$H$304,MATCH(D27,Players!$B$5:$B$304,0))&lt;0,"LOW BALANCE","OK"))))</f>
        <v/>
      </c>
      <c r="G27" s="1"/>
      <c r="H27" s="1"/>
      <c r="I27" s="1"/>
    </row>
    <row r="28" customFormat="false" ht="21.75" hidden="false" customHeight="true" outlineLevel="0" collapsed="false">
      <c r="A28" s="1"/>
      <c r="B28" s="16"/>
      <c r="C28" s="16"/>
      <c r="D28" s="15"/>
      <c r="E28" s="11" t="str">
        <f aca="false">IF(D28="","",IFERROR(INDEX(Players!$C$5:$C$304,MATCH(D28,Players!$B$5:$B$304,0)),""))</f>
        <v/>
      </c>
      <c r="F28" s="22" t="str">
        <f aca="false">IF(D28="","",IF(COUNTIFS($B$5:$B$2004,B28,$D$5:$D$2004,D28)&gt;1,"DUPLICATE",IF(ISNA(MATCH(D28,Players!$B$5:$B$304,0)),"UID not found",IF(INDEX(Players!$H$5:$H$304,MATCH(D28,Players!$B$5:$B$304,0))&lt;0,"LOW BALANCE","OK"))))</f>
        <v/>
      </c>
      <c r="G28" s="1"/>
      <c r="H28" s="1"/>
      <c r="I28" s="1"/>
    </row>
    <row r="29" customFormat="false" ht="21.75" hidden="false" customHeight="true" outlineLevel="0" collapsed="false">
      <c r="A29" s="1"/>
      <c r="B29" s="16"/>
      <c r="C29" s="16"/>
      <c r="D29" s="15"/>
      <c r="E29" s="11" t="str">
        <f aca="false">IF(D29="","",IFERROR(INDEX(Players!$C$5:$C$304,MATCH(D29,Players!$B$5:$B$304,0)),""))</f>
        <v/>
      </c>
      <c r="F29" s="22" t="str">
        <f aca="false">IF(D29="","",IF(COUNTIFS($B$5:$B$2004,B29,$D$5:$D$2004,D29)&gt;1,"DUPLICATE",IF(ISNA(MATCH(D29,Players!$B$5:$B$304,0)),"UID not found",IF(INDEX(Players!$H$5:$H$304,MATCH(D29,Players!$B$5:$B$304,0))&lt;0,"LOW BALANCE","OK"))))</f>
        <v/>
      </c>
      <c r="G29" s="1"/>
      <c r="H29" s="1"/>
      <c r="I29" s="1"/>
    </row>
    <row r="30" customFormat="false" ht="21.75" hidden="false" customHeight="true" outlineLevel="0" collapsed="false">
      <c r="A30" s="1"/>
      <c r="B30" s="16"/>
      <c r="C30" s="16"/>
      <c r="D30" s="15"/>
      <c r="E30" s="11" t="str">
        <f aca="false">IF(D30="","",IFERROR(INDEX(Players!$C$5:$C$304,MATCH(D30,Players!$B$5:$B$304,0)),""))</f>
        <v/>
      </c>
      <c r="F30" s="22" t="str">
        <f aca="false">IF(D30="","",IF(COUNTIFS($B$5:$B$2004,B30,$D$5:$D$2004,D30)&gt;1,"DUPLICATE",IF(ISNA(MATCH(D30,Players!$B$5:$B$304,0)),"UID not found",IF(INDEX(Players!$H$5:$H$304,MATCH(D30,Players!$B$5:$B$304,0))&lt;0,"LOW BALANCE","OK"))))</f>
        <v/>
      </c>
      <c r="G30" s="1"/>
      <c r="H30" s="1"/>
      <c r="I30" s="1"/>
    </row>
    <row r="31" customFormat="false" ht="21.75" hidden="false" customHeight="true" outlineLevel="0" collapsed="false">
      <c r="A31" s="1"/>
      <c r="B31" s="16"/>
      <c r="C31" s="16"/>
      <c r="D31" s="15"/>
      <c r="E31" s="11" t="str">
        <f aca="false">IF(D31="","",IFERROR(INDEX(Players!$C$5:$C$304,MATCH(D31,Players!$B$5:$B$304,0)),""))</f>
        <v/>
      </c>
      <c r="F31" s="22" t="str">
        <f aca="false">IF(D31="","",IF(COUNTIFS($B$5:$B$2004,B31,$D$5:$D$2004,D31)&gt;1,"DUPLICATE",IF(ISNA(MATCH(D31,Players!$B$5:$B$304,0)),"UID not found",IF(INDEX(Players!$H$5:$H$304,MATCH(D31,Players!$B$5:$B$304,0))&lt;0,"LOW BALANCE","OK"))))</f>
        <v/>
      </c>
      <c r="G31" s="1"/>
      <c r="H31" s="1"/>
      <c r="I31" s="1"/>
    </row>
    <row r="32" customFormat="false" ht="21.75" hidden="false" customHeight="true" outlineLevel="0" collapsed="false">
      <c r="A32" s="1"/>
      <c r="B32" s="16"/>
      <c r="C32" s="16"/>
      <c r="D32" s="15"/>
      <c r="E32" s="11" t="str">
        <f aca="false">IF(D32="","",IFERROR(INDEX(Players!$C$5:$C$304,MATCH(D32,Players!$B$5:$B$304,0)),""))</f>
        <v/>
      </c>
      <c r="F32" s="22" t="str">
        <f aca="false">IF(D32="","",IF(COUNTIFS($B$5:$B$2004,B32,$D$5:$D$2004,D32)&gt;1,"DUPLICATE",IF(ISNA(MATCH(D32,Players!$B$5:$B$304,0)),"UID not found",IF(INDEX(Players!$H$5:$H$304,MATCH(D32,Players!$B$5:$B$304,0))&lt;0,"LOW BALANCE","OK"))))</f>
        <v/>
      </c>
      <c r="G32" s="1"/>
      <c r="H32" s="1"/>
      <c r="I32" s="1"/>
    </row>
    <row r="33" customFormat="false" ht="21.75" hidden="false" customHeight="true" outlineLevel="0" collapsed="false">
      <c r="A33" s="1"/>
      <c r="B33" s="16"/>
      <c r="C33" s="16"/>
      <c r="D33" s="15"/>
      <c r="E33" s="11" t="str">
        <f aca="false">IF(D33="","",IFERROR(INDEX(Players!$C$5:$C$304,MATCH(D33,Players!$B$5:$B$304,0)),""))</f>
        <v/>
      </c>
      <c r="F33" s="22" t="str">
        <f aca="false">IF(D33="","",IF(COUNTIFS($B$5:$B$2004,B33,$D$5:$D$2004,D33)&gt;1,"DUPLICATE",IF(ISNA(MATCH(D33,Players!$B$5:$B$304,0)),"UID not found",IF(INDEX(Players!$H$5:$H$304,MATCH(D33,Players!$B$5:$B$304,0))&lt;0,"LOW BALANCE","OK"))))</f>
        <v/>
      </c>
      <c r="G33" s="1"/>
      <c r="H33" s="1"/>
      <c r="I33" s="1"/>
    </row>
    <row r="34" customFormat="false" ht="21.75" hidden="false" customHeight="true" outlineLevel="0" collapsed="false">
      <c r="A34" s="1"/>
      <c r="B34" s="16"/>
      <c r="C34" s="16"/>
      <c r="D34" s="15"/>
      <c r="E34" s="11" t="str">
        <f aca="false">IF(D34="","",IFERROR(INDEX(Players!$C$5:$C$304,MATCH(D34,Players!$B$5:$B$304,0)),""))</f>
        <v/>
      </c>
      <c r="F34" s="22" t="str">
        <f aca="false">IF(D34="","",IF(COUNTIFS($B$5:$B$2004,B34,$D$5:$D$2004,D34)&gt;1,"DUPLICATE",IF(ISNA(MATCH(D34,Players!$B$5:$B$304,0)),"UID not found",IF(INDEX(Players!$H$5:$H$304,MATCH(D34,Players!$B$5:$B$304,0))&lt;0,"LOW BALANCE","OK"))))</f>
        <v/>
      </c>
      <c r="G34" s="1"/>
      <c r="H34" s="1"/>
      <c r="I34" s="1"/>
    </row>
    <row r="35" customFormat="false" ht="21.75" hidden="false" customHeight="true" outlineLevel="0" collapsed="false">
      <c r="A35" s="1"/>
      <c r="B35" s="16"/>
      <c r="C35" s="16"/>
      <c r="D35" s="15"/>
      <c r="E35" s="11" t="str">
        <f aca="false">IF(D35="","",IFERROR(INDEX(Players!$C$5:$C$304,MATCH(D35,Players!$B$5:$B$304,0)),""))</f>
        <v/>
      </c>
      <c r="F35" s="22" t="str">
        <f aca="false">IF(D35="","",IF(COUNTIFS($B$5:$B$2004,B35,$D$5:$D$2004,D35)&gt;1,"DUPLICATE",IF(ISNA(MATCH(D35,Players!$B$5:$B$304,0)),"UID not found",IF(INDEX(Players!$H$5:$H$304,MATCH(D35,Players!$B$5:$B$304,0))&lt;0,"LOW BALANCE","OK"))))</f>
        <v/>
      </c>
      <c r="G35" s="1"/>
      <c r="H35" s="1"/>
      <c r="I35" s="1"/>
    </row>
    <row r="36" customFormat="false" ht="21.75" hidden="false" customHeight="true" outlineLevel="0" collapsed="false">
      <c r="A36" s="1"/>
      <c r="B36" s="16"/>
      <c r="C36" s="16"/>
      <c r="D36" s="15"/>
      <c r="E36" s="11" t="str">
        <f aca="false">IF(D36="","",IFERROR(INDEX(Players!$C$5:$C$304,MATCH(D36,Players!$B$5:$B$304,0)),""))</f>
        <v/>
      </c>
      <c r="F36" s="22" t="str">
        <f aca="false">IF(D36="","",IF(COUNTIFS($B$5:$B$2004,B36,$D$5:$D$2004,D36)&gt;1,"DUPLICATE",IF(ISNA(MATCH(D36,Players!$B$5:$B$304,0)),"UID not found",IF(INDEX(Players!$H$5:$H$304,MATCH(D36,Players!$B$5:$B$304,0))&lt;0,"LOW BALANCE","OK"))))</f>
        <v/>
      </c>
      <c r="G36" s="1"/>
      <c r="H36" s="1"/>
      <c r="I36" s="1"/>
    </row>
    <row r="37" customFormat="false" ht="21.75" hidden="false" customHeight="true" outlineLevel="0" collapsed="false">
      <c r="A37" s="1"/>
      <c r="B37" s="16"/>
      <c r="C37" s="16"/>
      <c r="D37" s="15"/>
      <c r="E37" s="11" t="str">
        <f aca="false">IF(D37="","",IFERROR(INDEX(Players!$C$5:$C$304,MATCH(D37,Players!$B$5:$B$304,0)),""))</f>
        <v/>
      </c>
      <c r="F37" s="22" t="str">
        <f aca="false">IF(D37="","",IF(COUNTIFS($B$5:$B$2004,B37,$D$5:$D$2004,D37)&gt;1,"DUPLICATE",IF(ISNA(MATCH(D37,Players!$B$5:$B$304,0)),"UID not found",IF(INDEX(Players!$H$5:$H$304,MATCH(D37,Players!$B$5:$B$304,0))&lt;0,"LOW BALANCE","OK"))))</f>
        <v/>
      </c>
      <c r="G37" s="1"/>
      <c r="H37" s="1"/>
      <c r="I37" s="1"/>
    </row>
    <row r="38" customFormat="false" ht="21.75" hidden="false" customHeight="true" outlineLevel="0" collapsed="false">
      <c r="A38" s="1"/>
      <c r="B38" s="16"/>
      <c r="C38" s="16"/>
      <c r="D38" s="15"/>
      <c r="E38" s="11" t="str">
        <f aca="false">IF(D38="","",IFERROR(INDEX(Players!$C$5:$C$304,MATCH(D38,Players!$B$5:$B$304,0)),""))</f>
        <v/>
      </c>
      <c r="F38" s="22" t="str">
        <f aca="false">IF(D38="","",IF(COUNTIFS($B$5:$B$2004,B38,$D$5:$D$2004,D38)&gt;1,"DUPLICATE",IF(ISNA(MATCH(D38,Players!$B$5:$B$304,0)),"UID not found",IF(INDEX(Players!$H$5:$H$304,MATCH(D38,Players!$B$5:$B$304,0))&lt;0,"LOW BALANCE","OK"))))</f>
        <v/>
      </c>
      <c r="G38" s="1"/>
      <c r="H38" s="1"/>
      <c r="I38" s="1"/>
    </row>
    <row r="39" customFormat="false" ht="21.75" hidden="false" customHeight="true" outlineLevel="0" collapsed="false">
      <c r="A39" s="1"/>
      <c r="B39" s="16"/>
      <c r="C39" s="16"/>
      <c r="D39" s="15"/>
      <c r="E39" s="11" t="str">
        <f aca="false">IF(D39="","",IFERROR(INDEX(Players!$C$5:$C$304,MATCH(D39,Players!$B$5:$B$304,0)),""))</f>
        <v/>
      </c>
      <c r="F39" s="22" t="str">
        <f aca="false">IF(D39="","",IF(COUNTIFS($B$5:$B$2004,B39,$D$5:$D$2004,D39)&gt;1,"DUPLICATE",IF(ISNA(MATCH(D39,Players!$B$5:$B$304,0)),"UID not found",IF(INDEX(Players!$H$5:$H$304,MATCH(D39,Players!$B$5:$B$304,0))&lt;0,"LOW BALANCE","OK"))))</f>
        <v/>
      </c>
      <c r="G39" s="1"/>
      <c r="H39" s="1"/>
      <c r="I39" s="1"/>
    </row>
    <row r="40" customFormat="false" ht="21.75" hidden="false" customHeight="true" outlineLevel="0" collapsed="false">
      <c r="A40" s="1"/>
      <c r="B40" s="16"/>
      <c r="C40" s="16"/>
      <c r="D40" s="15"/>
      <c r="E40" s="11" t="str">
        <f aca="false">IF(D40="","",IFERROR(INDEX(Players!$C$5:$C$304,MATCH(D40,Players!$B$5:$B$304,0)),""))</f>
        <v/>
      </c>
      <c r="F40" s="22" t="str">
        <f aca="false">IF(D40="","",IF(COUNTIFS($B$5:$B$2004,B40,$D$5:$D$2004,D40)&gt;1,"DUPLICATE",IF(ISNA(MATCH(D40,Players!$B$5:$B$304,0)),"UID not found",IF(INDEX(Players!$H$5:$H$304,MATCH(D40,Players!$B$5:$B$304,0))&lt;0,"LOW BALANCE","OK"))))</f>
        <v/>
      </c>
      <c r="G40" s="1"/>
      <c r="H40" s="1"/>
      <c r="I40" s="1"/>
    </row>
    <row r="41" customFormat="false" ht="21.75" hidden="false" customHeight="true" outlineLevel="0" collapsed="false">
      <c r="A41" s="1"/>
      <c r="B41" s="16"/>
      <c r="C41" s="16"/>
      <c r="D41" s="15"/>
      <c r="E41" s="11" t="str">
        <f aca="false">IF(D41="","",IFERROR(INDEX(Players!$C$5:$C$304,MATCH(D41,Players!$B$5:$B$304,0)),""))</f>
        <v/>
      </c>
      <c r="F41" s="22" t="str">
        <f aca="false">IF(D41="","",IF(COUNTIFS($B$5:$B$2004,B41,$D$5:$D$2004,D41)&gt;1,"DUPLICATE",IF(ISNA(MATCH(D41,Players!$B$5:$B$304,0)),"UID not found",IF(INDEX(Players!$H$5:$H$304,MATCH(D41,Players!$B$5:$B$304,0))&lt;0,"LOW BALANCE","OK"))))</f>
        <v/>
      </c>
      <c r="G41" s="1"/>
      <c r="H41" s="1"/>
      <c r="I41" s="1"/>
    </row>
    <row r="42" customFormat="false" ht="21.75" hidden="false" customHeight="true" outlineLevel="0" collapsed="false">
      <c r="A42" s="1"/>
      <c r="B42" s="16"/>
      <c r="C42" s="16"/>
      <c r="D42" s="15"/>
      <c r="E42" s="11" t="str">
        <f aca="false">IF(D42="","",IFERROR(INDEX(Players!$C$5:$C$304,MATCH(D42,Players!$B$5:$B$304,0)),""))</f>
        <v/>
      </c>
      <c r="F42" s="22" t="str">
        <f aca="false">IF(D42="","",IF(COUNTIFS($B$5:$B$2004,B42,$D$5:$D$2004,D42)&gt;1,"DUPLICATE",IF(ISNA(MATCH(D42,Players!$B$5:$B$304,0)),"UID not found",IF(INDEX(Players!$H$5:$H$304,MATCH(D42,Players!$B$5:$B$304,0))&lt;0,"LOW BALANCE","OK"))))</f>
        <v/>
      </c>
      <c r="G42" s="1"/>
      <c r="H42" s="1"/>
      <c r="I42" s="1"/>
    </row>
    <row r="43" customFormat="false" ht="21.75" hidden="false" customHeight="true" outlineLevel="0" collapsed="false">
      <c r="A43" s="1"/>
      <c r="B43" s="16"/>
      <c r="C43" s="16"/>
      <c r="D43" s="15"/>
      <c r="E43" s="11" t="str">
        <f aca="false">IF(D43="","",IFERROR(INDEX(Players!$C$5:$C$304,MATCH(D43,Players!$B$5:$B$304,0)),""))</f>
        <v/>
      </c>
      <c r="F43" s="22" t="str">
        <f aca="false">IF(D43="","",IF(COUNTIFS($B$5:$B$2004,B43,$D$5:$D$2004,D43)&gt;1,"DUPLICATE",IF(ISNA(MATCH(D43,Players!$B$5:$B$304,0)),"UID not found",IF(INDEX(Players!$H$5:$H$304,MATCH(D43,Players!$B$5:$B$304,0))&lt;0,"LOW BALANCE","OK"))))</f>
        <v/>
      </c>
      <c r="G43" s="1"/>
      <c r="H43" s="1"/>
      <c r="I43" s="1"/>
    </row>
    <row r="44" customFormat="false" ht="21.75" hidden="false" customHeight="true" outlineLevel="0" collapsed="false">
      <c r="A44" s="1"/>
      <c r="B44" s="16"/>
      <c r="C44" s="16"/>
      <c r="D44" s="15"/>
      <c r="E44" s="11" t="str">
        <f aca="false">IF(D44="","",IFERROR(INDEX(Players!$C$5:$C$304,MATCH(D44,Players!$B$5:$B$304,0)),""))</f>
        <v/>
      </c>
      <c r="F44" s="22" t="str">
        <f aca="false">IF(D44="","",IF(COUNTIFS($B$5:$B$2004,B44,$D$5:$D$2004,D44)&gt;1,"DUPLICATE",IF(ISNA(MATCH(D44,Players!$B$5:$B$304,0)),"UID not found",IF(INDEX(Players!$H$5:$H$304,MATCH(D44,Players!$B$5:$B$304,0))&lt;0,"LOW BALANCE","OK"))))</f>
        <v/>
      </c>
      <c r="G44" s="1"/>
      <c r="H44" s="1"/>
      <c r="I44" s="1"/>
    </row>
    <row r="45" customFormat="false" ht="21.75" hidden="false" customHeight="true" outlineLevel="0" collapsed="false">
      <c r="A45" s="1"/>
      <c r="B45" s="16"/>
      <c r="C45" s="16"/>
      <c r="D45" s="15"/>
      <c r="E45" s="11" t="str">
        <f aca="false">IF(D45="","",IFERROR(INDEX(Players!$C$5:$C$304,MATCH(D45,Players!$B$5:$B$304,0)),""))</f>
        <v/>
      </c>
      <c r="F45" s="22" t="str">
        <f aca="false">IF(D45="","",IF(COUNTIFS($B$5:$B$2004,B45,$D$5:$D$2004,D45)&gt;1,"DUPLICATE",IF(ISNA(MATCH(D45,Players!$B$5:$B$304,0)),"UID not found",IF(INDEX(Players!$H$5:$H$304,MATCH(D45,Players!$B$5:$B$304,0))&lt;0,"LOW BALANCE","OK"))))</f>
        <v/>
      </c>
      <c r="G45" s="1"/>
      <c r="H45" s="1"/>
      <c r="I45" s="1"/>
    </row>
    <row r="46" customFormat="false" ht="21.75" hidden="false" customHeight="true" outlineLevel="0" collapsed="false">
      <c r="A46" s="1"/>
      <c r="B46" s="16"/>
      <c r="C46" s="16"/>
      <c r="D46" s="15"/>
      <c r="E46" s="11" t="str">
        <f aca="false">IF(D46="","",IFERROR(INDEX(Players!$C$5:$C$304,MATCH(D46,Players!$B$5:$B$304,0)),""))</f>
        <v/>
      </c>
      <c r="F46" s="22" t="str">
        <f aca="false">IF(D46="","",IF(COUNTIFS($B$5:$B$2004,B46,$D$5:$D$2004,D46)&gt;1,"DUPLICATE",IF(ISNA(MATCH(D46,Players!$B$5:$B$304,0)),"UID not found",IF(INDEX(Players!$H$5:$H$304,MATCH(D46,Players!$B$5:$B$304,0))&lt;0,"LOW BALANCE","OK"))))</f>
        <v/>
      </c>
      <c r="G46" s="1"/>
      <c r="H46" s="1"/>
      <c r="I46" s="1"/>
    </row>
    <row r="47" customFormat="false" ht="21.75" hidden="false" customHeight="true" outlineLevel="0" collapsed="false">
      <c r="A47" s="1"/>
      <c r="B47" s="16"/>
      <c r="C47" s="16"/>
      <c r="D47" s="15"/>
      <c r="E47" s="11" t="str">
        <f aca="false">IF(D47="","",IFERROR(INDEX(Players!$C$5:$C$304,MATCH(D47,Players!$B$5:$B$304,0)),""))</f>
        <v/>
      </c>
      <c r="F47" s="22" t="str">
        <f aca="false">IF(D47="","",IF(COUNTIFS($B$5:$B$2004,B47,$D$5:$D$2004,D47)&gt;1,"DUPLICATE",IF(ISNA(MATCH(D47,Players!$B$5:$B$304,0)),"UID not found",IF(INDEX(Players!$H$5:$H$304,MATCH(D47,Players!$B$5:$B$304,0))&lt;0,"LOW BALANCE","OK"))))</f>
        <v/>
      </c>
      <c r="G47" s="1"/>
      <c r="H47" s="1"/>
      <c r="I47" s="1"/>
    </row>
    <row r="48" customFormat="false" ht="21.75" hidden="false" customHeight="true" outlineLevel="0" collapsed="false">
      <c r="A48" s="1"/>
      <c r="B48" s="16"/>
      <c r="C48" s="16"/>
      <c r="D48" s="15"/>
      <c r="E48" s="11" t="str">
        <f aca="false">IF(D48="","",IFERROR(INDEX(Players!$C$5:$C$304,MATCH(D48,Players!$B$5:$B$304,0)),""))</f>
        <v/>
      </c>
      <c r="F48" s="22" t="str">
        <f aca="false">IF(D48="","",IF(COUNTIFS($B$5:$B$2004,B48,$D$5:$D$2004,D48)&gt;1,"DUPLICATE",IF(ISNA(MATCH(D48,Players!$B$5:$B$304,0)),"UID not found",IF(INDEX(Players!$H$5:$H$304,MATCH(D48,Players!$B$5:$B$304,0))&lt;0,"LOW BALANCE","OK"))))</f>
        <v/>
      </c>
      <c r="G48" s="1"/>
      <c r="H48" s="1"/>
      <c r="I48" s="1"/>
    </row>
    <row r="49" customFormat="false" ht="21.75" hidden="false" customHeight="true" outlineLevel="0" collapsed="false">
      <c r="A49" s="1"/>
      <c r="B49" s="16"/>
      <c r="C49" s="16"/>
      <c r="D49" s="15"/>
      <c r="E49" s="11" t="str">
        <f aca="false">IF(D49="","",IFERROR(INDEX(Players!$C$5:$C$304,MATCH(D49,Players!$B$5:$B$304,0)),""))</f>
        <v/>
      </c>
      <c r="F49" s="22" t="str">
        <f aca="false">IF(D49="","",IF(COUNTIFS($B$5:$B$2004,B49,$D$5:$D$2004,D49)&gt;1,"DUPLICATE",IF(ISNA(MATCH(D49,Players!$B$5:$B$304,0)),"UID not found",IF(INDEX(Players!$H$5:$H$304,MATCH(D49,Players!$B$5:$B$304,0))&lt;0,"LOW BALANCE","OK"))))</f>
        <v/>
      </c>
      <c r="G49" s="1"/>
      <c r="H49" s="1"/>
      <c r="I49" s="1"/>
    </row>
    <row r="50" customFormat="false" ht="21.75" hidden="false" customHeight="true" outlineLevel="0" collapsed="false">
      <c r="A50" s="1"/>
      <c r="B50" s="16"/>
      <c r="C50" s="16"/>
      <c r="D50" s="15"/>
      <c r="E50" s="11" t="str">
        <f aca="false">IF(D50="","",IFERROR(INDEX(Players!$C$5:$C$304,MATCH(D50,Players!$B$5:$B$304,0)),""))</f>
        <v/>
      </c>
      <c r="F50" s="22" t="str">
        <f aca="false">IF(D50="","",IF(COUNTIFS($B$5:$B$2004,B50,$D$5:$D$2004,D50)&gt;1,"DUPLICATE",IF(ISNA(MATCH(D50,Players!$B$5:$B$304,0)),"UID not found",IF(INDEX(Players!$H$5:$H$304,MATCH(D50,Players!$B$5:$B$304,0))&lt;0,"LOW BALANCE","OK"))))</f>
        <v/>
      </c>
      <c r="G50" s="1"/>
      <c r="H50" s="1"/>
      <c r="I50" s="1"/>
    </row>
    <row r="51" customFormat="false" ht="21.75" hidden="false" customHeight="true" outlineLevel="0" collapsed="false">
      <c r="A51" s="1"/>
      <c r="B51" s="16"/>
      <c r="C51" s="16"/>
      <c r="D51" s="15"/>
      <c r="E51" s="11" t="str">
        <f aca="false">IF(D51="","",IFERROR(INDEX(Players!$C$5:$C$304,MATCH(D51,Players!$B$5:$B$304,0)),""))</f>
        <v/>
      </c>
      <c r="F51" s="22" t="str">
        <f aca="false">IF(D51="","",IF(COUNTIFS($B$5:$B$2004,B51,$D$5:$D$2004,D51)&gt;1,"DUPLICATE",IF(ISNA(MATCH(D51,Players!$B$5:$B$304,0)),"UID not found",IF(INDEX(Players!$H$5:$H$304,MATCH(D51,Players!$B$5:$B$304,0))&lt;0,"LOW BALANCE","OK"))))</f>
        <v/>
      </c>
      <c r="G51" s="1"/>
      <c r="H51" s="1"/>
      <c r="I51" s="1"/>
    </row>
    <row r="52" customFormat="false" ht="21.75" hidden="false" customHeight="true" outlineLevel="0" collapsed="false">
      <c r="A52" s="1"/>
      <c r="B52" s="16"/>
      <c r="C52" s="16"/>
      <c r="D52" s="15"/>
      <c r="E52" s="11" t="str">
        <f aca="false">IF(D52="","",IFERROR(INDEX(Players!$C$5:$C$304,MATCH(D52,Players!$B$5:$B$304,0)),""))</f>
        <v/>
      </c>
      <c r="F52" s="22" t="str">
        <f aca="false">IF(D52="","",IF(COUNTIFS($B$5:$B$2004,B52,$D$5:$D$2004,D52)&gt;1,"DUPLICATE",IF(ISNA(MATCH(D52,Players!$B$5:$B$304,0)),"UID not found",IF(INDEX(Players!$H$5:$H$304,MATCH(D52,Players!$B$5:$B$304,0))&lt;0,"LOW BALANCE","OK"))))</f>
        <v/>
      </c>
      <c r="G52" s="1"/>
      <c r="H52" s="1"/>
      <c r="I52" s="1"/>
    </row>
    <row r="53" customFormat="false" ht="21.75" hidden="false" customHeight="true" outlineLevel="0" collapsed="false">
      <c r="A53" s="1"/>
      <c r="B53" s="16"/>
      <c r="C53" s="16"/>
      <c r="D53" s="15"/>
      <c r="E53" s="11" t="str">
        <f aca="false">IF(D53="","",IFERROR(INDEX(Players!$C$5:$C$304,MATCH(D53,Players!$B$5:$B$304,0)),""))</f>
        <v/>
      </c>
      <c r="F53" s="22" t="str">
        <f aca="false">IF(D53="","",IF(COUNTIFS($B$5:$B$2004,B53,$D$5:$D$2004,D53)&gt;1,"DUPLICATE",IF(ISNA(MATCH(D53,Players!$B$5:$B$304,0)),"UID not found",IF(INDEX(Players!$H$5:$H$304,MATCH(D53,Players!$B$5:$B$304,0))&lt;0,"LOW BALANCE","OK"))))</f>
        <v/>
      </c>
      <c r="G53" s="1"/>
      <c r="H53" s="1"/>
      <c r="I53" s="1"/>
    </row>
    <row r="54" customFormat="false" ht="21.75" hidden="false" customHeight="true" outlineLevel="0" collapsed="false">
      <c r="A54" s="1"/>
      <c r="B54" s="16"/>
      <c r="C54" s="16"/>
      <c r="D54" s="15"/>
      <c r="E54" s="11" t="str">
        <f aca="false">IF(D54="","",IFERROR(INDEX(Players!$C$5:$C$304,MATCH(D54,Players!$B$5:$B$304,0)),""))</f>
        <v/>
      </c>
      <c r="F54" s="22" t="str">
        <f aca="false">IF(D54="","",IF(COUNTIFS($B$5:$B$2004,B54,$D$5:$D$2004,D54)&gt;1,"DUPLICATE",IF(ISNA(MATCH(D54,Players!$B$5:$B$304,0)),"UID not found",IF(INDEX(Players!$H$5:$H$304,MATCH(D54,Players!$B$5:$B$304,0))&lt;0,"LOW BALANCE","OK"))))</f>
        <v/>
      </c>
      <c r="G54" s="1"/>
      <c r="H54" s="1"/>
      <c r="I54" s="1"/>
    </row>
    <row r="55" customFormat="false" ht="21.75" hidden="false" customHeight="true" outlineLevel="0" collapsed="false">
      <c r="A55" s="1"/>
      <c r="B55" s="16"/>
      <c r="C55" s="16"/>
      <c r="D55" s="15"/>
      <c r="E55" s="11" t="str">
        <f aca="false">IF(D55="","",IFERROR(INDEX(Players!$C$5:$C$304,MATCH(D55,Players!$B$5:$B$304,0)),""))</f>
        <v/>
      </c>
      <c r="F55" s="22" t="str">
        <f aca="false">IF(D55="","",IF(COUNTIFS($B$5:$B$2004,B55,$D$5:$D$2004,D55)&gt;1,"DUPLICATE",IF(ISNA(MATCH(D55,Players!$B$5:$B$304,0)),"UID not found",IF(INDEX(Players!$H$5:$H$304,MATCH(D55,Players!$B$5:$B$304,0))&lt;0,"LOW BALANCE","OK"))))</f>
        <v/>
      </c>
      <c r="G55" s="1"/>
      <c r="H55" s="1"/>
      <c r="I55" s="1"/>
    </row>
    <row r="56" customFormat="false" ht="21.75" hidden="false" customHeight="true" outlineLevel="0" collapsed="false">
      <c r="A56" s="1"/>
      <c r="B56" s="16"/>
      <c r="C56" s="16"/>
      <c r="D56" s="15"/>
      <c r="E56" s="11" t="str">
        <f aca="false">IF(D56="","",IFERROR(INDEX(Players!$C$5:$C$304,MATCH(D56,Players!$B$5:$B$304,0)),""))</f>
        <v/>
      </c>
      <c r="F56" s="22" t="str">
        <f aca="false">IF(D56="","",IF(COUNTIFS($B$5:$B$2004,B56,$D$5:$D$2004,D56)&gt;1,"DUPLICATE",IF(ISNA(MATCH(D56,Players!$B$5:$B$304,0)),"UID not found",IF(INDEX(Players!$H$5:$H$304,MATCH(D56,Players!$B$5:$B$304,0))&lt;0,"LOW BALANCE","OK"))))</f>
        <v/>
      </c>
      <c r="G56" s="1"/>
      <c r="H56" s="1"/>
      <c r="I56" s="1"/>
    </row>
    <row r="57" customFormat="false" ht="21.75" hidden="false" customHeight="true" outlineLevel="0" collapsed="false">
      <c r="A57" s="1"/>
      <c r="B57" s="16"/>
      <c r="C57" s="16"/>
      <c r="D57" s="15"/>
      <c r="E57" s="11" t="str">
        <f aca="false">IF(D57="","",IFERROR(INDEX(Players!$C$5:$C$304,MATCH(D57,Players!$B$5:$B$304,0)),""))</f>
        <v/>
      </c>
      <c r="F57" s="22" t="str">
        <f aca="false">IF(D57="","",IF(COUNTIFS($B$5:$B$2004,B57,$D$5:$D$2004,D57)&gt;1,"DUPLICATE",IF(ISNA(MATCH(D57,Players!$B$5:$B$304,0)),"UID not found",IF(INDEX(Players!$H$5:$H$304,MATCH(D57,Players!$B$5:$B$304,0))&lt;0,"LOW BALANCE","OK"))))</f>
        <v/>
      </c>
      <c r="G57" s="1"/>
      <c r="H57" s="1"/>
      <c r="I57" s="1"/>
    </row>
    <row r="58" customFormat="false" ht="21.75" hidden="false" customHeight="true" outlineLevel="0" collapsed="false">
      <c r="A58" s="1"/>
      <c r="B58" s="16"/>
      <c r="C58" s="16"/>
      <c r="D58" s="15"/>
      <c r="E58" s="11" t="str">
        <f aca="false">IF(D58="","",IFERROR(INDEX(Players!$C$5:$C$304,MATCH(D58,Players!$B$5:$B$304,0)),""))</f>
        <v/>
      </c>
      <c r="F58" s="22" t="str">
        <f aca="false">IF(D58="","",IF(COUNTIFS($B$5:$B$2004,B58,$D$5:$D$2004,D58)&gt;1,"DUPLICATE",IF(ISNA(MATCH(D58,Players!$B$5:$B$304,0)),"UID not found",IF(INDEX(Players!$H$5:$H$304,MATCH(D58,Players!$B$5:$B$304,0))&lt;0,"LOW BALANCE","OK"))))</f>
        <v/>
      </c>
      <c r="G58" s="1"/>
      <c r="H58" s="1"/>
      <c r="I58" s="1"/>
    </row>
    <row r="59" customFormat="false" ht="21.75" hidden="false" customHeight="true" outlineLevel="0" collapsed="false">
      <c r="A59" s="1"/>
      <c r="B59" s="16"/>
      <c r="C59" s="16"/>
      <c r="D59" s="15"/>
      <c r="E59" s="11" t="str">
        <f aca="false">IF(D59="","",IFERROR(INDEX(Players!$C$5:$C$304,MATCH(D59,Players!$B$5:$B$304,0)),""))</f>
        <v/>
      </c>
      <c r="F59" s="22" t="str">
        <f aca="false">IF(D59="","",IF(COUNTIFS($B$5:$B$2004,B59,$D$5:$D$2004,D59)&gt;1,"DUPLICATE",IF(ISNA(MATCH(D59,Players!$B$5:$B$304,0)),"UID not found",IF(INDEX(Players!$H$5:$H$304,MATCH(D59,Players!$B$5:$B$304,0))&lt;0,"LOW BALANCE","OK"))))</f>
        <v/>
      </c>
      <c r="G59" s="1"/>
      <c r="H59" s="1"/>
      <c r="I59" s="1"/>
    </row>
    <row r="60" customFormat="false" ht="21.75" hidden="false" customHeight="true" outlineLevel="0" collapsed="false">
      <c r="A60" s="1"/>
      <c r="B60" s="16"/>
      <c r="C60" s="16"/>
      <c r="D60" s="15"/>
      <c r="E60" s="11" t="str">
        <f aca="false">IF(D60="","",IFERROR(INDEX(Players!$C$5:$C$304,MATCH(D60,Players!$B$5:$B$304,0)),""))</f>
        <v/>
      </c>
      <c r="F60" s="22" t="str">
        <f aca="false">IF(D60="","",IF(COUNTIFS($B$5:$B$2004,B60,$D$5:$D$2004,D60)&gt;1,"DUPLICATE",IF(ISNA(MATCH(D60,Players!$B$5:$B$304,0)),"UID not found",IF(INDEX(Players!$H$5:$H$304,MATCH(D60,Players!$B$5:$B$304,0))&lt;0,"LOW BALANCE","OK"))))</f>
        <v/>
      </c>
      <c r="G60" s="1"/>
      <c r="H60" s="1"/>
      <c r="I60" s="1"/>
    </row>
    <row r="61" customFormat="false" ht="21.75" hidden="false" customHeight="true" outlineLevel="0" collapsed="false">
      <c r="A61" s="1"/>
      <c r="B61" s="16"/>
      <c r="C61" s="16"/>
      <c r="D61" s="15"/>
      <c r="E61" s="11" t="str">
        <f aca="false">IF(D61="","",IFERROR(INDEX(Players!$C$5:$C$304,MATCH(D61,Players!$B$5:$B$304,0)),""))</f>
        <v/>
      </c>
      <c r="F61" s="22" t="str">
        <f aca="false">IF(D61="","",IF(COUNTIFS($B$5:$B$2004,B61,$D$5:$D$2004,D61)&gt;1,"DUPLICATE",IF(ISNA(MATCH(D61,Players!$B$5:$B$304,0)),"UID not found",IF(INDEX(Players!$H$5:$H$304,MATCH(D61,Players!$B$5:$B$304,0))&lt;0,"LOW BALANCE","OK"))))</f>
        <v/>
      </c>
      <c r="G61" s="1"/>
      <c r="H61" s="1"/>
      <c r="I61" s="1"/>
    </row>
    <row r="62" customFormat="false" ht="21.75" hidden="false" customHeight="true" outlineLevel="0" collapsed="false">
      <c r="A62" s="1"/>
      <c r="B62" s="16"/>
      <c r="C62" s="16"/>
      <c r="D62" s="15"/>
      <c r="E62" s="11" t="str">
        <f aca="false">IF(D62="","",IFERROR(INDEX(Players!$C$5:$C$304,MATCH(D62,Players!$B$5:$B$304,0)),""))</f>
        <v/>
      </c>
      <c r="F62" s="22" t="str">
        <f aca="false">IF(D62="","",IF(COUNTIFS($B$5:$B$2004,B62,$D$5:$D$2004,D62)&gt;1,"DUPLICATE",IF(ISNA(MATCH(D62,Players!$B$5:$B$304,0)),"UID not found",IF(INDEX(Players!$H$5:$H$304,MATCH(D62,Players!$B$5:$B$304,0))&lt;0,"LOW BALANCE","OK"))))</f>
        <v/>
      </c>
      <c r="G62" s="1"/>
      <c r="H62" s="1"/>
      <c r="I62" s="1"/>
    </row>
    <row r="63" customFormat="false" ht="21.75" hidden="false" customHeight="true" outlineLevel="0" collapsed="false">
      <c r="A63" s="1"/>
      <c r="B63" s="16"/>
      <c r="C63" s="16"/>
      <c r="D63" s="15"/>
      <c r="E63" s="11" t="str">
        <f aca="false">IF(D63="","",IFERROR(INDEX(Players!$C$5:$C$304,MATCH(D63,Players!$B$5:$B$304,0)),""))</f>
        <v/>
      </c>
      <c r="F63" s="22" t="str">
        <f aca="false">IF(D63="","",IF(COUNTIFS($B$5:$B$2004,B63,$D$5:$D$2004,D63)&gt;1,"DUPLICATE",IF(ISNA(MATCH(D63,Players!$B$5:$B$304,0)),"UID not found",IF(INDEX(Players!$H$5:$H$304,MATCH(D63,Players!$B$5:$B$304,0))&lt;0,"LOW BALANCE","OK"))))</f>
        <v/>
      </c>
      <c r="G63" s="1"/>
      <c r="H63" s="1"/>
      <c r="I63" s="1"/>
    </row>
    <row r="64" customFormat="false" ht="21.75" hidden="false" customHeight="true" outlineLevel="0" collapsed="false">
      <c r="A64" s="1"/>
      <c r="B64" s="16"/>
      <c r="C64" s="16"/>
      <c r="D64" s="15"/>
      <c r="E64" s="11" t="str">
        <f aca="false">IF(D64="","",IFERROR(INDEX(Players!$C$5:$C$304,MATCH(D64,Players!$B$5:$B$304,0)),""))</f>
        <v/>
      </c>
      <c r="F64" s="22" t="str">
        <f aca="false">IF(D64="","",IF(COUNTIFS($B$5:$B$2004,B64,$D$5:$D$2004,D64)&gt;1,"DUPLICATE",IF(ISNA(MATCH(D64,Players!$B$5:$B$304,0)),"UID not found",IF(INDEX(Players!$H$5:$H$304,MATCH(D64,Players!$B$5:$B$304,0))&lt;0,"LOW BALANCE","OK"))))</f>
        <v/>
      </c>
      <c r="G64" s="1"/>
      <c r="H64" s="1"/>
      <c r="I64" s="1"/>
    </row>
    <row r="65" customFormat="false" ht="21.75" hidden="false" customHeight="true" outlineLevel="0" collapsed="false">
      <c r="A65" s="1"/>
      <c r="B65" s="16"/>
      <c r="C65" s="16"/>
      <c r="D65" s="15"/>
      <c r="E65" s="11" t="str">
        <f aca="false">IF(D65="","",IFERROR(INDEX(Players!$C$5:$C$304,MATCH(D65,Players!$B$5:$B$304,0)),""))</f>
        <v/>
      </c>
      <c r="F65" s="22" t="str">
        <f aca="false">IF(D65="","",IF(COUNTIFS($B$5:$B$2004,B65,$D$5:$D$2004,D65)&gt;1,"DUPLICATE",IF(ISNA(MATCH(D65,Players!$B$5:$B$304,0)),"UID not found",IF(INDEX(Players!$H$5:$H$304,MATCH(D65,Players!$B$5:$B$304,0))&lt;0,"LOW BALANCE","OK"))))</f>
        <v/>
      </c>
      <c r="G65" s="1"/>
      <c r="H65" s="1"/>
      <c r="I65" s="1"/>
    </row>
    <row r="66" customFormat="false" ht="21.75" hidden="false" customHeight="true" outlineLevel="0" collapsed="false">
      <c r="A66" s="1"/>
      <c r="B66" s="16"/>
      <c r="C66" s="16"/>
      <c r="D66" s="15"/>
      <c r="E66" s="11" t="str">
        <f aca="false">IF(D66="","",IFERROR(INDEX(Players!$C$5:$C$304,MATCH(D66,Players!$B$5:$B$304,0)),""))</f>
        <v/>
      </c>
      <c r="F66" s="22" t="str">
        <f aca="false">IF(D66="","",IF(COUNTIFS($B$5:$B$2004,B66,$D$5:$D$2004,D66)&gt;1,"DUPLICATE",IF(ISNA(MATCH(D66,Players!$B$5:$B$304,0)),"UID not found",IF(INDEX(Players!$H$5:$H$304,MATCH(D66,Players!$B$5:$B$304,0))&lt;0,"LOW BALANCE","OK"))))</f>
        <v/>
      </c>
      <c r="G66" s="1"/>
      <c r="H66" s="1"/>
      <c r="I66" s="1"/>
    </row>
    <row r="67" customFormat="false" ht="21.75" hidden="false" customHeight="true" outlineLevel="0" collapsed="false">
      <c r="A67" s="1"/>
      <c r="B67" s="16"/>
      <c r="C67" s="16"/>
      <c r="D67" s="15"/>
      <c r="E67" s="11" t="str">
        <f aca="false">IF(D67="","",IFERROR(INDEX(Players!$C$5:$C$304,MATCH(D67,Players!$B$5:$B$304,0)),""))</f>
        <v/>
      </c>
      <c r="F67" s="22" t="str">
        <f aca="false">IF(D67="","",IF(COUNTIFS($B$5:$B$2004,B67,$D$5:$D$2004,D67)&gt;1,"DUPLICATE",IF(ISNA(MATCH(D67,Players!$B$5:$B$304,0)),"UID not found",IF(INDEX(Players!$H$5:$H$304,MATCH(D67,Players!$B$5:$B$304,0))&lt;0,"LOW BALANCE","OK"))))</f>
        <v/>
      </c>
      <c r="G67" s="1"/>
      <c r="H67" s="1"/>
      <c r="I67" s="1"/>
    </row>
    <row r="68" customFormat="false" ht="21.75" hidden="false" customHeight="true" outlineLevel="0" collapsed="false">
      <c r="A68" s="1"/>
      <c r="B68" s="16"/>
      <c r="C68" s="16"/>
      <c r="D68" s="15"/>
      <c r="E68" s="11" t="str">
        <f aca="false">IF(D68="","",IFERROR(INDEX(Players!$C$5:$C$304,MATCH(D68,Players!$B$5:$B$304,0)),""))</f>
        <v/>
      </c>
      <c r="F68" s="22" t="str">
        <f aca="false">IF(D68="","",IF(COUNTIFS($B$5:$B$2004,B68,$D$5:$D$2004,D68)&gt;1,"DUPLICATE",IF(ISNA(MATCH(D68,Players!$B$5:$B$304,0)),"UID not found",IF(INDEX(Players!$H$5:$H$304,MATCH(D68,Players!$B$5:$B$304,0))&lt;0,"LOW BALANCE","OK"))))</f>
        <v/>
      </c>
      <c r="G68" s="1"/>
      <c r="H68" s="1"/>
      <c r="I68" s="1"/>
    </row>
    <row r="69" customFormat="false" ht="21.75" hidden="false" customHeight="true" outlineLevel="0" collapsed="false">
      <c r="A69" s="1"/>
      <c r="B69" s="16"/>
      <c r="C69" s="16"/>
      <c r="D69" s="15"/>
      <c r="E69" s="11" t="str">
        <f aca="false">IF(D69="","",IFERROR(INDEX(Players!$C$5:$C$304,MATCH(D69,Players!$B$5:$B$304,0)),""))</f>
        <v/>
      </c>
      <c r="F69" s="22" t="str">
        <f aca="false">IF(D69="","",IF(COUNTIFS($B$5:$B$2004,B69,$D$5:$D$2004,D69)&gt;1,"DUPLICATE",IF(ISNA(MATCH(D69,Players!$B$5:$B$304,0)),"UID not found",IF(INDEX(Players!$H$5:$H$304,MATCH(D69,Players!$B$5:$B$304,0))&lt;0,"LOW BALANCE","OK"))))</f>
        <v/>
      </c>
      <c r="G69" s="1"/>
      <c r="H69" s="1"/>
      <c r="I69" s="1"/>
    </row>
    <row r="70" customFormat="false" ht="21.75" hidden="false" customHeight="true" outlineLevel="0" collapsed="false">
      <c r="A70" s="1"/>
      <c r="B70" s="16"/>
      <c r="C70" s="16"/>
      <c r="D70" s="15"/>
      <c r="E70" s="11" t="str">
        <f aca="false">IF(D70="","",IFERROR(INDEX(Players!$C$5:$C$304,MATCH(D70,Players!$B$5:$B$304,0)),""))</f>
        <v/>
      </c>
      <c r="F70" s="22" t="str">
        <f aca="false">IF(D70="","",IF(COUNTIFS($B$5:$B$2004,B70,$D$5:$D$2004,D70)&gt;1,"DUPLICATE",IF(ISNA(MATCH(D70,Players!$B$5:$B$304,0)),"UID not found",IF(INDEX(Players!$H$5:$H$304,MATCH(D70,Players!$B$5:$B$304,0))&lt;0,"LOW BALANCE","OK"))))</f>
        <v/>
      </c>
      <c r="G70" s="1"/>
      <c r="H70" s="1"/>
      <c r="I70" s="1"/>
    </row>
    <row r="71" customFormat="false" ht="21.75" hidden="false" customHeight="true" outlineLevel="0" collapsed="false">
      <c r="A71" s="1"/>
      <c r="B71" s="16"/>
      <c r="C71" s="16"/>
      <c r="D71" s="15"/>
      <c r="E71" s="11" t="str">
        <f aca="false">IF(D71="","",IFERROR(INDEX(Players!$C$5:$C$304,MATCH(D71,Players!$B$5:$B$304,0)),""))</f>
        <v/>
      </c>
      <c r="F71" s="22" t="str">
        <f aca="false">IF(D71="","",IF(COUNTIFS($B$5:$B$2004,B71,$D$5:$D$2004,D71)&gt;1,"DUPLICATE",IF(ISNA(MATCH(D71,Players!$B$5:$B$304,0)),"UID not found",IF(INDEX(Players!$H$5:$H$304,MATCH(D71,Players!$B$5:$B$304,0))&lt;0,"LOW BALANCE","OK"))))</f>
        <v/>
      </c>
      <c r="G71" s="1"/>
      <c r="H71" s="1"/>
      <c r="I71" s="1"/>
    </row>
    <row r="72" customFormat="false" ht="21.75" hidden="false" customHeight="true" outlineLevel="0" collapsed="false">
      <c r="A72" s="1"/>
      <c r="B72" s="16"/>
      <c r="C72" s="16"/>
      <c r="D72" s="15"/>
      <c r="E72" s="11" t="str">
        <f aca="false">IF(D72="","",IFERROR(INDEX(Players!$C$5:$C$304,MATCH(D72,Players!$B$5:$B$304,0)),""))</f>
        <v/>
      </c>
      <c r="F72" s="22" t="str">
        <f aca="false">IF(D72="","",IF(COUNTIFS($B$5:$B$2004,B72,$D$5:$D$2004,D72)&gt;1,"DUPLICATE",IF(ISNA(MATCH(D72,Players!$B$5:$B$304,0)),"UID not found",IF(INDEX(Players!$H$5:$H$304,MATCH(D72,Players!$B$5:$B$304,0))&lt;0,"LOW BALANCE","OK"))))</f>
        <v/>
      </c>
      <c r="G72" s="1"/>
      <c r="H72" s="1"/>
      <c r="I72" s="1"/>
    </row>
    <row r="73" customFormat="false" ht="21.75" hidden="false" customHeight="true" outlineLevel="0" collapsed="false">
      <c r="A73" s="1"/>
      <c r="B73" s="16"/>
      <c r="C73" s="16"/>
      <c r="D73" s="15"/>
      <c r="E73" s="11" t="str">
        <f aca="false">IF(D73="","",IFERROR(INDEX(Players!$C$5:$C$304,MATCH(D73,Players!$B$5:$B$304,0)),""))</f>
        <v/>
      </c>
      <c r="F73" s="22" t="str">
        <f aca="false">IF(D73="","",IF(COUNTIFS($B$5:$B$2004,B73,$D$5:$D$2004,D73)&gt;1,"DUPLICATE",IF(ISNA(MATCH(D73,Players!$B$5:$B$304,0)),"UID not found",IF(INDEX(Players!$H$5:$H$304,MATCH(D73,Players!$B$5:$B$304,0))&lt;0,"LOW BALANCE","OK"))))</f>
        <v/>
      </c>
      <c r="G73" s="1"/>
      <c r="H73" s="1"/>
      <c r="I73" s="1"/>
    </row>
    <row r="74" customFormat="false" ht="21.75" hidden="false" customHeight="true" outlineLevel="0" collapsed="false">
      <c r="A74" s="1"/>
      <c r="B74" s="16"/>
      <c r="C74" s="16"/>
      <c r="D74" s="15"/>
      <c r="E74" s="11" t="str">
        <f aca="false">IF(D74="","",IFERROR(INDEX(Players!$C$5:$C$304,MATCH(D74,Players!$B$5:$B$304,0)),""))</f>
        <v/>
      </c>
      <c r="F74" s="22" t="str">
        <f aca="false">IF(D74="","",IF(COUNTIFS($B$5:$B$2004,B74,$D$5:$D$2004,D74)&gt;1,"DUPLICATE",IF(ISNA(MATCH(D74,Players!$B$5:$B$304,0)),"UID not found",IF(INDEX(Players!$H$5:$H$304,MATCH(D74,Players!$B$5:$B$304,0))&lt;0,"LOW BALANCE","OK"))))</f>
        <v/>
      </c>
      <c r="G74" s="1"/>
      <c r="H74" s="1"/>
      <c r="I74" s="1"/>
    </row>
    <row r="75" customFormat="false" ht="21.75" hidden="false" customHeight="true" outlineLevel="0" collapsed="false">
      <c r="A75" s="1"/>
      <c r="B75" s="16"/>
      <c r="C75" s="16"/>
      <c r="D75" s="15"/>
      <c r="E75" s="11" t="str">
        <f aca="false">IF(D75="","",IFERROR(INDEX(Players!$C$5:$C$304,MATCH(D75,Players!$B$5:$B$304,0)),""))</f>
        <v/>
      </c>
      <c r="F75" s="22" t="str">
        <f aca="false">IF(D75="","",IF(COUNTIFS($B$5:$B$2004,B75,$D$5:$D$2004,D75)&gt;1,"DUPLICATE",IF(ISNA(MATCH(D75,Players!$B$5:$B$304,0)),"UID not found",IF(INDEX(Players!$H$5:$H$304,MATCH(D75,Players!$B$5:$B$304,0))&lt;0,"LOW BALANCE","OK"))))</f>
        <v/>
      </c>
      <c r="G75" s="1"/>
      <c r="H75" s="1"/>
      <c r="I75" s="1"/>
    </row>
    <row r="76" customFormat="false" ht="21.75" hidden="false" customHeight="true" outlineLevel="0" collapsed="false">
      <c r="A76" s="1"/>
      <c r="B76" s="16"/>
      <c r="C76" s="16"/>
      <c r="D76" s="15"/>
      <c r="E76" s="11" t="str">
        <f aca="false">IF(D76="","",IFERROR(INDEX(Players!$C$5:$C$304,MATCH(D76,Players!$B$5:$B$304,0)),""))</f>
        <v/>
      </c>
      <c r="F76" s="22" t="str">
        <f aca="false">IF(D76="","",IF(COUNTIFS($B$5:$B$2004,B76,$D$5:$D$2004,D76)&gt;1,"DUPLICATE",IF(ISNA(MATCH(D76,Players!$B$5:$B$304,0)),"UID not found",IF(INDEX(Players!$H$5:$H$304,MATCH(D76,Players!$B$5:$B$304,0))&lt;0,"LOW BALANCE","OK"))))</f>
        <v/>
      </c>
      <c r="G76" s="1"/>
      <c r="H76" s="1"/>
      <c r="I76" s="1"/>
    </row>
    <row r="77" customFormat="false" ht="21.75" hidden="false" customHeight="true" outlineLevel="0" collapsed="false">
      <c r="A77" s="1"/>
      <c r="B77" s="16"/>
      <c r="C77" s="16"/>
      <c r="D77" s="15"/>
      <c r="E77" s="11" t="str">
        <f aca="false">IF(D77="","",IFERROR(INDEX(Players!$C$5:$C$304,MATCH(D77,Players!$B$5:$B$304,0)),""))</f>
        <v/>
      </c>
      <c r="F77" s="22" t="str">
        <f aca="false">IF(D77="","",IF(COUNTIFS($B$5:$B$2004,B77,$D$5:$D$2004,D77)&gt;1,"DUPLICATE",IF(ISNA(MATCH(D77,Players!$B$5:$B$304,0)),"UID not found",IF(INDEX(Players!$H$5:$H$304,MATCH(D77,Players!$B$5:$B$304,0))&lt;0,"LOW BALANCE","OK"))))</f>
        <v/>
      </c>
      <c r="G77" s="1"/>
      <c r="H77" s="1"/>
      <c r="I77" s="1"/>
    </row>
    <row r="78" customFormat="false" ht="21.75" hidden="false" customHeight="true" outlineLevel="0" collapsed="false">
      <c r="A78" s="1"/>
      <c r="B78" s="16"/>
      <c r="C78" s="16"/>
      <c r="D78" s="15"/>
      <c r="E78" s="11" t="str">
        <f aca="false">IF(D78="","",IFERROR(INDEX(Players!$C$5:$C$304,MATCH(D78,Players!$B$5:$B$304,0)),""))</f>
        <v/>
      </c>
      <c r="F78" s="22" t="str">
        <f aca="false">IF(D78="","",IF(COUNTIFS($B$5:$B$2004,B78,$D$5:$D$2004,D78)&gt;1,"DUPLICATE",IF(ISNA(MATCH(D78,Players!$B$5:$B$304,0)),"UID not found",IF(INDEX(Players!$H$5:$H$304,MATCH(D78,Players!$B$5:$B$304,0))&lt;0,"LOW BALANCE","OK"))))</f>
        <v/>
      </c>
      <c r="G78" s="1"/>
      <c r="H78" s="1"/>
      <c r="I78" s="1"/>
    </row>
    <row r="79" customFormat="false" ht="21.75" hidden="false" customHeight="true" outlineLevel="0" collapsed="false">
      <c r="A79" s="1"/>
      <c r="B79" s="16"/>
      <c r="C79" s="16"/>
      <c r="D79" s="15"/>
      <c r="E79" s="11" t="str">
        <f aca="false">IF(D79="","",IFERROR(INDEX(Players!$C$5:$C$304,MATCH(D79,Players!$B$5:$B$304,0)),""))</f>
        <v/>
      </c>
      <c r="F79" s="22" t="str">
        <f aca="false">IF(D79="","",IF(COUNTIFS($B$5:$B$2004,B79,$D$5:$D$2004,D79)&gt;1,"DUPLICATE",IF(ISNA(MATCH(D79,Players!$B$5:$B$304,0)),"UID not found",IF(INDEX(Players!$H$5:$H$304,MATCH(D79,Players!$B$5:$B$304,0))&lt;0,"LOW BALANCE","OK"))))</f>
        <v/>
      </c>
      <c r="G79" s="1"/>
      <c r="H79" s="1"/>
      <c r="I79" s="1"/>
    </row>
    <row r="80" customFormat="false" ht="21.75" hidden="false" customHeight="true" outlineLevel="0" collapsed="false">
      <c r="A80" s="1"/>
      <c r="B80" s="16"/>
      <c r="C80" s="16"/>
      <c r="D80" s="15"/>
      <c r="E80" s="11" t="str">
        <f aca="false">IF(D80="","",IFERROR(INDEX(Players!$C$5:$C$304,MATCH(D80,Players!$B$5:$B$304,0)),""))</f>
        <v/>
      </c>
      <c r="F80" s="22" t="str">
        <f aca="false">IF(D80="","",IF(COUNTIFS($B$5:$B$2004,B80,$D$5:$D$2004,D80)&gt;1,"DUPLICATE",IF(ISNA(MATCH(D80,Players!$B$5:$B$304,0)),"UID not found",IF(INDEX(Players!$H$5:$H$304,MATCH(D80,Players!$B$5:$B$304,0))&lt;0,"LOW BALANCE","OK"))))</f>
        <v/>
      </c>
      <c r="G80" s="1"/>
      <c r="H80" s="1"/>
      <c r="I80" s="1"/>
    </row>
    <row r="81" customFormat="false" ht="21.75" hidden="false" customHeight="true" outlineLevel="0" collapsed="false">
      <c r="A81" s="1"/>
      <c r="B81" s="16"/>
      <c r="C81" s="16"/>
      <c r="D81" s="15"/>
      <c r="E81" s="11" t="str">
        <f aca="false">IF(D81="","",IFERROR(INDEX(Players!$C$5:$C$304,MATCH(D81,Players!$B$5:$B$304,0)),""))</f>
        <v/>
      </c>
      <c r="F81" s="22" t="str">
        <f aca="false">IF(D81="","",IF(COUNTIFS($B$5:$B$2004,B81,$D$5:$D$2004,D81)&gt;1,"DUPLICATE",IF(ISNA(MATCH(D81,Players!$B$5:$B$304,0)),"UID not found",IF(INDEX(Players!$H$5:$H$304,MATCH(D81,Players!$B$5:$B$304,0))&lt;0,"LOW BALANCE","OK"))))</f>
        <v/>
      </c>
      <c r="G81" s="1"/>
      <c r="H81" s="1"/>
      <c r="I81" s="1"/>
    </row>
    <row r="82" customFormat="false" ht="21.75" hidden="false" customHeight="true" outlineLevel="0" collapsed="false">
      <c r="A82" s="1"/>
      <c r="B82" s="16"/>
      <c r="C82" s="16"/>
      <c r="D82" s="15"/>
      <c r="E82" s="11" t="str">
        <f aca="false">IF(D82="","",IFERROR(INDEX(Players!$C$5:$C$304,MATCH(D82,Players!$B$5:$B$304,0)),""))</f>
        <v/>
      </c>
      <c r="F82" s="22" t="str">
        <f aca="false">IF(D82="","",IF(COUNTIFS($B$5:$B$2004,B82,$D$5:$D$2004,D82)&gt;1,"DUPLICATE",IF(ISNA(MATCH(D82,Players!$B$5:$B$304,0)),"UID not found",IF(INDEX(Players!$H$5:$H$304,MATCH(D82,Players!$B$5:$B$304,0))&lt;0,"LOW BALANCE","OK"))))</f>
        <v/>
      </c>
      <c r="G82" s="1"/>
      <c r="H82" s="1"/>
      <c r="I82" s="1"/>
    </row>
    <row r="83" customFormat="false" ht="21.75" hidden="false" customHeight="true" outlineLevel="0" collapsed="false">
      <c r="A83" s="1"/>
      <c r="B83" s="16"/>
      <c r="C83" s="16"/>
      <c r="D83" s="15"/>
      <c r="E83" s="11" t="str">
        <f aca="false">IF(D83="","",IFERROR(INDEX(Players!$C$5:$C$304,MATCH(D83,Players!$B$5:$B$304,0)),""))</f>
        <v/>
      </c>
      <c r="F83" s="22" t="str">
        <f aca="false">IF(D83="","",IF(COUNTIFS($B$5:$B$2004,B83,$D$5:$D$2004,D83)&gt;1,"DUPLICATE",IF(ISNA(MATCH(D83,Players!$B$5:$B$304,0)),"UID not found",IF(INDEX(Players!$H$5:$H$304,MATCH(D83,Players!$B$5:$B$304,0))&lt;0,"LOW BALANCE","OK"))))</f>
        <v/>
      </c>
      <c r="G83" s="1"/>
      <c r="H83" s="1"/>
      <c r="I83" s="1"/>
    </row>
    <row r="84" customFormat="false" ht="21.75" hidden="false" customHeight="true" outlineLevel="0" collapsed="false">
      <c r="A84" s="1"/>
      <c r="B84" s="16"/>
      <c r="C84" s="16"/>
      <c r="D84" s="15"/>
      <c r="E84" s="11" t="str">
        <f aca="false">IF(D84="","",IFERROR(INDEX(Players!$C$5:$C$304,MATCH(D84,Players!$B$5:$B$304,0)),""))</f>
        <v/>
      </c>
      <c r="F84" s="22" t="str">
        <f aca="false">IF(D84="","",IF(COUNTIFS($B$5:$B$2004,B84,$D$5:$D$2004,D84)&gt;1,"DUPLICATE",IF(ISNA(MATCH(D84,Players!$B$5:$B$304,0)),"UID not found",IF(INDEX(Players!$H$5:$H$304,MATCH(D84,Players!$B$5:$B$304,0))&lt;0,"LOW BALANCE","OK"))))</f>
        <v/>
      </c>
      <c r="G84" s="1"/>
      <c r="H84" s="1"/>
      <c r="I84" s="1"/>
    </row>
    <row r="85" customFormat="false" ht="21.75" hidden="false" customHeight="true" outlineLevel="0" collapsed="false">
      <c r="A85" s="1"/>
      <c r="B85" s="16"/>
      <c r="C85" s="16"/>
      <c r="D85" s="15"/>
      <c r="E85" s="11" t="str">
        <f aca="false">IF(D85="","",IFERROR(INDEX(Players!$C$5:$C$304,MATCH(D85,Players!$B$5:$B$304,0)),""))</f>
        <v/>
      </c>
      <c r="F85" s="22" t="str">
        <f aca="false">IF(D85="","",IF(COUNTIFS($B$5:$B$2004,B85,$D$5:$D$2004,D85)&gt;1,"DUPLICATE",IF(ISNA(MATCH(D85,Players!$B$5:$B$304,0)),"UID not found",IF(INDEX(Players!$H$5:$H$304,MATCH(D85,Players!$B$5:$B$304,0))&lt;0,"LOW BALANCE","OK"))))</f>
        <v/>
      </c>
      <c r="G85" s="1"/>
      <c r="H85" s="1"/>
      <c r="I85" s="1"/>
    </row>
    <row r="86" customFormat="false" ht="21.75" hidden="false" customHeight="true" outlineLevel="0" collapsed="false">
      <c r="A86" s="1"/>
      <c r="B86" s="16"/>
      <c r="C86" s="16"/>
      <c r="D86" s="15"/>
      <c r="E86" s="11" t="str">
        <f aca="false">IF(D86="","",IFERROR(INDEX(Players!$C$5:$C$304,MATCH(D86,Players!$B$5:$B$304,0)),""))</f>
        <v/>
      </c>
      <c r="F86" s="22" t="str">
        <f aca="false">IF(D86="","",IF(COUNTIFS($B$5:$B$2004,B86,$D$5:$D$2004,D86)&gt;1,"DUPLICATE",IF(ISNA(MATCH(D86,Players!$B$5:$B$304,0)),"UID not found",IF(INDEX(Players!$H$5:$H$304,MATCH(D86,Players!$B$5:$B$304,0))&lt;0,"LOW BALANCE","OK"))))</f>
        <v/>
      </c>
      <c r="G86" s="1"/>
      <c r="H86" s="1"/>
      <c r="I86" s="1"/>
    </row>
    <row r="87" customFormat="false" ht="21.75" hidden="false" customHeight="true" outlineLevel="0" collapsed="false">
      <c r="A87" s="1"/>
      <c r="B87" s="16"/>
      <c r="C87" s="16"/>
      <c r="D87" s="15"/>
      <c r="E87" s="11" t="str">
        <f aca="false">IF(D87="","",IFERROR(INDEX(Players!$C$5:$C$304,MATCH(D87,Players!$B$5:$B$304,0)),""))</f>
        <v/>
      </c>
      <c r="F87" s="22" t="str">
        <f aca="false">IF(D87="","",IF(COUNTIFS($B$5:$B$2004,B87,$D$5:$D$2004,D87)&gt;1,"DUPLICATE",IF(ISNA(MATCH(D87,Players!$B$5:$B$304,0)),"UID not found",IF(INDEX(Players!$H$5:$H$304,MATCH(D87,Players!$B$5:$B$304,0))&lt;0,"LOW BALANCE","OK"))))</f>
        <v/>
      </c>
      <c r="G87" s="1"/>
      <c r="H87" s="1"/>
      <c r="I87" s="1"/>
    </row>
    <row r="88" customFormat="false" ht="21.75" hidden="false" customHeight="true" outlineLevel="0" collapsed="false">
      <c r="A88" s="1"/>
      <c r="B88" s="16"/>
      <c r="C88" s="16"/>
      <c r="D88" s="15"/>
      <c r="E88" s="11" t="str">
        <f aca="false">IF(D88="","",IFERROR(INDEX(Players!$C$5:$C$304,MATCH(D88,Players!$B$5:$B$304,0)),""))</f>
        <v/>
      </c>
      <c r="F88" s="22" t="str">
        <f aca="false">IF(D88="","",IF(COUNTIFS($B$5:$B$2004,B88,$D$5:$D$2004,D88)&gt;1,"DUPLICATE",IF(ISNA(MATCH(D88,Players!$B$5:$B$304,0)),"UID not found",IF(INDEX(Players!$H$5:$H$304,MATCH(D88,Players!$B$5:$B$304,0))&lt;0,"LOW BALANCE","OK"))))</f>
        <v/>
      </c>
      <c r="G88" s="1"/>
      <c r="H88" s="1"/>
      <c r="I88" s="1"/>
    </row>
    <row r="89" customFormat="false" ht="21.75" hidden="false" customHeight="true" outlineLevel="0" collapsed="false">
      <c r="A89" s="1"/>
      <c r="B89" s="16"/>
      <c r="C89" s="16"/>
      <c r="D89" s="15"/>
      <c r="E89" s="11" t="str">
        <f aca="false">IF(D89="","",IFERROR(INDEX(Players!$C$5:$C$304,MATCH(D89,Players!$B$5:$B$304,0)),""))</f>
        <v/>
      </c>
      <c r="F89" s="22" t="str">
        <f aca="false">IF(D89="","",IF(COUNTIFS($B$5:$B$2004,B89,$D$5:$D$2004,D89)&gt;1,"DUPLICATE",IF(ISNA(MATCH(D89,Players!$B$5:$B$304,0)),"UID not found",IF(INDEX(Players!$H$5:$H$304,MATCH(D89,Players!$B$5:$B$304,0))&lt;0,"LOW BALANCE","OK"))))</f>
        <v/>
      </c>
      <c r="G89" s="1"/>
      <c r="H89" s="1"/>
      <c r="I89" s="1"/>
    </row>
    <row r="90" customFormat="false" ht="21.75" hidden="false" customHeight="true" outlineLevel="0" collapsed="false">
      <c r="A90" s="1"/>
      <c r="B90" s="16"/>
      <c r="C90" s="16"/>
      <c r="D90" s="15"/>
      <c r="E90" s="11" t="str">
        <f aca="false">IF(D90="","",IFERROR(INDEX(Players!$C$5:$C$304,MATCH(D90,Players!$B$5:$B$304,0)),""))</f>
        <v/>
      </c>
      <c r="F90" s="22" t="str">
        <f aca="false">IF(D90="","",IF(COUNTIFS($B$5:$B$2004,B90,$D$5:$D$2004,D90)&gt;1,"DUPLICATE",IF(ISNA(MATCH(D90,Players!$B$5:$B$304,0)),"UID not found",IF(INDEX(Players!$H$5:$H$304,MATCH(D90,Players!$B$5:$B$304,0))&lt;0,"LOW BALANCE","OK"))))</f>
        <v/>
      </c>
      <c r="G90" s="1"/>
      <c r="H90" s="1"/>
      <c r="I90" s="1"/>
    </row>
    <row r="91" customFormat="false" ht="21.75" hidden="false" customHeight="true" outlineLevel="0" collapsed="false">
      <c r="A91" s="1"/>
      <c r="B91" s="16"/>
      <c r="C91" s="16"/>
      <c r="D91" s="15"/>
      <c r="E91" s="11" t="str">
        <f aca="false">IF(D91="","",IFERROR(INDEX(Players!$C$5:$C$304,MATCH(D91,Players!$B$5:$B$304,0)),""))</f>
        <v/>
      </c>
      <c r="F91" s="22" t="str">
        <f aca="false">IF(D91="","",IF(COUNTIFS($B$5:$B$2004,B91,$D$5:$D$2004,D91)&gt;1,"DUPLICATE",IF(ISNA(MATCH(D91,Players!$B$5:$B$304,0)),"UID not found",IF(INDEX(Players!$H$5:$H$304,MATCH(D91,Players!$B$5:$B$304,0))&lt;0,"LOW BALANCE","OK"))))</f>
        <v/>
      </c>
      <c r="G91" s="1"/>
      <c r="H91" s="1"/>
      <c r="I91" s="1"/>
    </row>
    <row r="92" customFormat="false" ht="21.75" hidden="false" customHeight="true" outlineLevel="0" collapsed="false">
      <c r="A92" s="1"/>
      <c r="B92" s="16"/>
      <c r="C92" s="16"/>
      <c r="D92" s="15"/>
      <c r="E92" s="11" t="str">
        <f aca="false">IF(D92="","",IFERROR(INDEX(Players!$C$5:$C$304,MATCH(D92,Players!$B$5:$B$304,0)),""))</f>
        <v/>
      </c>
      <c r="F92" s="22" t="str">
        <f aca="false">IF(D92="","",IF(COUNTIFS($B$5:$B$2004,B92,$D$5:$D$2004,D92)&gt;1,"DUPLICATE",IF(ISNA(MATCH(D92,Players!$B$5:$B$304,0)),"UID not found",IF(INDEX(Players!$H$5:$H$304,MATCH(D92,Players!$B$5:$B$304,0))&lt;0,"LOW BALANCE","OK"))))</f>
        <v/>
      </c>
      <c r="G92" s="1"/>
      <c r="H92" s="1"/>
      <c r="I92" s="1"/>
    </row>
    <row r="93" customFormat="false" ht="21.75" hidden="false" customHeight="true" outlineLevel="0" collapsed="false">
      <c r="A93" s="1"/>
      <c r="B93" s="16"/>
      <c r="C93" s="16"/>
      <c r="D93" s="15"/>
      <c r="E93" s="11" t="str">
        <f aca="false">IF(D93="","",IFERROR(INDEX(Players!$C$5:$C$304,MATCH(D93,Players!$B$5:$B$304,0)),""))</f>
        <v/>
      </c>
      <c r="F93" s="22" t="str">
        <f aca="false">IF(D93="","",IF(COUNTIFS($B$5:$B$2004,B93,$D$5:$D$2004,D93)&gt;1,"DUPLICATE",IF(ISNA(MATCH(D93,Players!$B$5:$B$304,0)),"UID not found",IF(INDEX(Players!$H$5:$H$304,MATCH(D93,Players!$B$5:$B$304,0))&lt;0,"LOW BALANCE","OK"))))</f>
        <v/>
      </c>
      <c r="G93" s="1"/>
      <c r="H93" s="1"/>
      <c r="I93" s="1"/>
    </row>
    <row r="94" customFormat="false" ht="21.75" hidden="false" customHeight="true" outlineLevel="0" collapsed="false">
      <c r="A94" s="1"/>
      <c r="B94" s="16"/>
      <c r="C94" s="16"/>
      <c r="D94" s="15"/>
      <c r="E94" s="11" t="str">
        <f aca="false">IF(D94="","",IFERROR(INDEX(Players!$C$5:$C$304,MATCH(D94,Players!$B$5:$B$304,0)),""))</f>
        <v/>
      </c>
      <c r="F94" s="22" t="str">
        <f aca="false">IF(D94="","",IF(COUNTIFS($B$5:$B$2004,B94,$D$5:$D$2004,D94)&gt;1,"DUPLICATE",IF(ISNA(MATCH(D94,Players!$B$5:$B$304,0)),"UID not found",IF(INDEX(Players!$H$5:$H$304,MATCH(D94,Players!$B$5:$B$304,0))&lt;0,"LOW BALANCE","OK"))))</f>
        <v/>
      </c>
      <c r="G94" s="1"/>
      <c r="H94" s="1"/>
      <c r="I94" s="1"/>
    </row>
    <row r="95" customFormat="false" ht="21.75" hidden="false" customHeight="true" outlineLevel="0" collapsed="false">
      <c r="A95" s="1"/>
      <c r="B95" s="16"/>
      <c r="C95" s="16"/>
      <c r="D95" s="15"/>
      <c r="E95" s="11" t="str">
        <f aca="false">IF(D95="","",IFERROR(INDEX(Players!$C$5:$C$304,MATCH(D95,Players!$B$5:$B$304,0)),""))</f>
        <v/>
      </c>
      <c r="F95" s="22" t="str">
        <f aca="false">IF(D95="","",IF(COUNTIFS($B$5:$B$2004,B95,$D$5:$D$2004,D95)&gt;1,"DUPLICATE",IF(ISNA(MATCH(D95,Players!$B$5:$B$304,0)),"UID not found",IF(INDEX(Players!$H$5:$H$304,MATCH(D95,Players!$B$5:$B$304,0))&lt;0,"LOW BALANCE","OK"))))</f>
        <v/>
      </c>
      <c r="G95" s="1"/>
      <c r="H95" s="1"/>
      <c r="I95" s="1"/>
    </row>
    <row r="96" customFormat="false" ht="21.75" hidden="false" customHeight="true" outlineLevel="0" collapsed="false">
      <c r="A96" s="1"/>
      <c r="B96" s="16"/>
      <c r="C96" s="16"/>
      <c r="D96" s="15"/>
      <c r="E96" s="11" t="str">
        <f aca="false">IF(D96="","",IFERROR(INDEX(Players!$C$5:$C$304,MATCH(D96,Players!$B$5:$B$304,0)),""))</f>
        <v/>
      </c>
      <c r="F96" s="22" t="str">
        <f aca="false">IF(D96="","",IF(COUNTIFS($B$5:$B$2004,B96,$D$5:$D$2004,D96)&gt;1,"DUPLICATE",IF(ISNA(MATCH(D96,Players!$B$5:$B$304,0)),"UID not found",IF(INDEX(Players!$H$5:$H$304,MATCH(D96,Players!$B$5:$B$304,0))&lt;0,"LOW BALANCE","OK"))))</f>
        <v/>
      </c>
      <c r="G96" s="1"/>
      <c r="H96" s="1"/>
      <c r="I96" s="1"/>
    </row>
    <row r="97" customFormat="false" ht="21.75" hidden="false" customHeight="true" outlineLevel="0" collapsed="false">
      <c r="A97" s="1"/>
      <c r="B97" s="16"/>
      <c r="C97" s="16"/>
      <c r="D97" s="15"/>
      <c r="E97" s="11" t="str">
        <f aca="false">IF(D97="","",IFERROR(INDEX(Players!$C$5:$C$304,MATCH(D97,Players!$B$5:$B$304,0)),""))</f>
        <v/>
      </c>
      <c r="F97" s="22" t="str">
        <f aca="false">IF(D97="","",IF(COUNTIFS($B$5:$B$2004,B97,$D$5:$D$2004,D97)&gt;1,"DUPLICATE",IF(ISNA(MATCH(D97,Players!$B$5:$B$304,0)),"UID not found",IF(INDEX(Players!$H$5:$H$304,MATCH(D97,Players!$B$5:$B$304,0))&lt;0,"LOW BALANCE","OK"))))</f>
        <v/>
      </c>
      <c r="G97" s="1"/>
      <c r="H97" s="1"/>
      <c r="I97" s="1"/>
    </row>
    <row r="98" customFormat="false" ht="21.75" hidden="false" customHeight="true" outlineLevel="0" collapsed="false">
      <c r="A98" s="1"/>
      <c r="B98" s="16"/>
      <c r="C98" s="16"/>
      <c r="D98" s="15"/>
      <c r="E98" s="11" t="str">
        <f aca="false">IF(D98="","",IFERROR(INDEX(Players!$C$5:$C$304,MATCH(D98,Players!$B$5:$B$304,0)),""))</f>
        <v/>
      </c>
      <c r="F98" s="22" t="str">
        <f aca="false">IF(D98="","",IF(COUNTIFS($B$5:$B$2004,B98,$D$5:$D$2004,D98)&gt;1,"DUPLICATE",IF(ISNA(MATCH(D98,Players!$B$5:$B$304,0)),"UID not found",IF(INDEX(Players!$H$5:$H$304,MATCH(D98,Players!$B$5:$B$304,0))&lt;0,"LOW BALANCE","OK"))))</f>
        <v/>
      </c>
      <c r="G98" s="1"/>
      <c r="H98" s="1"/>
      <c r="I98" s="1"/>
    </row>
    <row r="99" customFormat="false" ht="21.75" hidden="false" customHeight="true" outlineLevel="0" collapsed="false">
      <c r="A99" s="1"/>
      <c r="B99" s="16"/>
      <c r="C99" s="16"/>
      <c r="D99" s="15"/>
      <c r="E99" s="11" t="str">
        <f aca="false">IF(D99="","",IFERROR(INDEX(Players!$C$5:$C$304,MATCH(D99,Players!$B$5:$B$304,0)),""))</f>
        <v/>
      </c>
      <c r="F99" s="22" t="str">
        <f aca="false">IF(D99="","",IF(COUNTIFS($B$5:$B$2004,B99,$D$5:$D$2004,D99)&gt;1,"DUPLICATE",IF(ISNA(MATCH(D99,Players!$B$5:$B$304,0)),"UID not found",IF(INDEX(Players!$H$5:$H$304,MATCH(D99,Players!$B$5:$B$304,0))&lt;0,"LOW BALANCE","OK"))))</f>
        <v/>
      </c>
      <c r="G99" s="1"/>
      <c r="H99" s="1"/>
      <c r="I99" s="1"/>
    </row>
    <row r="100" customFormat="false" ht="21.75" hidden="false" customHeight="true" outlineLevel="0" collapsed="false">
      <c r="A100" s="1"/>
      <c r="B100" s="16"/>
      <c r="C100" s="16"/>
      <c r="D100" s="15"/>
      <c r="E100" s="11" t="str">
        <f aca="false">IF(D100="","",IFERROR(INDEX(Players!$C$5:$C$304,MATCH(D100,Players!$B$5:$B$304,0)),""))</f>
        <v/>
      </c>
      <c r="F100" s="22" t="str">
        <f aca="false">IF(D100="","",IF(COUNTIFS($B$5:$B$2004,B100,$D$5:$D$2004,D100)&gt;1,"DUPLICATE",IF(ISNA(MATCH(D100,Players!$B$5:$B$304,0)),"UID not found",IF(INDEX(Players!$H$5:$H$304,MATCH(D100,Players!$B$5:$B$304,0))&lt;0,"LOW BALANCE","OK"))))</f>
        <v/>
      </c>
      <c r="G100" s="1"/>
      <c r="H100" s="1"/>
      <c r="I100" s="1"/>
    </row>
    <row r="101" customFormat="false" ht="21.75" hidden="false" customHeight="true" outlineLevel="0" collapsed="false">
      <c r="A101" s="1"/>
      <c r="B101" s="16"/>
      <c r="C101" s="16"/>
      <c r="D101" s="15"/>
      <c r="E101" s="11" t="str">
        <f aca="false">IF(D101="","",IFERROR(INDEX(Players!$C$5:$C$304,MATCH(D101,Players!$B$5:$B$304,0)),""))</f>
        <v/>
      </c>
      <c r="F101" s="22" t="str">
        <f aca="false">IF(D101="","",IF(COUNTIFS($B$5:$B$2004,B101,$D$5:$D$2004,D101)&gt;1,"DUPLICATE",IF(ISNA(MATCH(D101,Players!$B$5:$B$304,0)),"UID not found",IF(INDEX(Players!$H$5:$H$304,MATCH(D101,Players!$B$5:$B$304,0))&lt;0,"LOW BALANCE","OK"))))</f>
        <v/>
      </c>
      <c r="G101" s="1"/>
      <c r="H101" s="1"/>
      <c r="I101" s="1"/>
    </row>
    <row r="102" customFormat="false" ht="21.75" hidden="false" customHeight="true" outlineLevel="0" collapsed="false">
      <c r="A102" s="1"/>
      <c r="B102" s="16"/>
      <c r="C102" s="16"/>
      <c r="D102" s="15"/>
      <c r="E102" s="11" t="str">
        <f aca="false">IF(D102="","",IFERROR(INDEX(Players!$C$5:$C$304,MATCH(D102,Players!$B$5:$B$304,0)),""))</f>
        <v/>
      </c>
      <c r="F102" s="22" t="str">
        <f aca="false">IF(D102="","",IF(COUNTIFS($B$5:$B$2004,B102,$D$5:$D$2004,D102)&gt;1,"DUPLICATE",IF(ISNA(MATCH(D102,Players!$B$5:$B$304,0)),"UID not found",IF(INDEX(Players!$H$5:$H$304,MATCH(D102,Players!$B$5:$B$304,0))&lt;0,"LOW BALANCE","OK"))))</f>
        <v/>
      </c>
      <c r="G102" s="1"/>
      <c r="H102" s="1"/>
      <c r="I102" s="1"/>
    </row>
    <row r="103" customFormat="false" ht="21.75" hidden="false" customHeight="true" outlineLevel="0" collapsed="false">
      <c r="A103" s="1"/>
      <c r="B103" s="16"/>
      <c r="C103" s="16"/>
      <c r="D103" s="15"/>
      <c r="E103" s="11" t="str">
        <f aca="false">IF(D103="","",IFERROR(INDEX(Players!$C$5:$C$304,MATCH(D103,Players!$B$5:$B$304,0)),""))</f>
        <v/>
      </c>
      <c r="F103" s="22" t="str">
        <f aca="false">IF(D103="","",IF(COUNTIFS($B$5:$B$2004,B103,$D$5:$D$2004,D103)&gt;1,"DUPLICATE",IF(ISNA(MATCH(D103,Players!$B$5:$B$304,0)),"UID not found",IF(INDEX(Players!$H$5:$H$304,MATCH(D103,Players!$B$5:$B$304,0))&lt;0,"LOW BALANCE","OK"))))</f>
        <v/>
      </c>
      <c r="G103" s="1"/>
      <c r="H103" s="1"/>
      <c r="I103" s="1"/>
    </row>
    <row r="104" customFormat="false" ht="21.75" hidden="false" customHeight="true" outlineLevel="0" collapsed="false">
      <c r="A104" s="1"/>
      <c r="B104" s="16"/>
      <c r="C104" s="16"/>
      <c r="D104" s="15"/>
      <c r="E104" s="11" t="str">
        <f aca="false">IF(D104="","",IFERROR(INDEX(Players!$C$5:$C$304,MATCH(D104,Players!$B$5:$B$304,0)),""))</f>
        <v/>
      </c>
      <c r="F104" s="22" t="str">
        <f aca="false">IF(D104="","",IF(COUNTIFS($B$5:$B$2004,B104,$D$5:$D$2004,D104)&gt;1,"DUPLICATE",IF(ISNA(MATCH(D104,Players!$B$5:$B$304,0)),"UID not found",IF(INDEX(Players!$H$5:$H$304,MATCH(D104,Players!$B$5:$B$304,0))&lt;0,"LOW BALANCE","OK"))))</f>
        <v/>
      </c>
      <c r="G104" s="1"/>
      <c r="H104" s="1"/>
      <c r="I104" s="1"/>
    </row>
    <row r="105" customFormat="false" ht="21.75" hidden="false" customHeight="true" outlineLevel="0" collapsed="false">
      <c r="A105" s="1"/>
      <c r="B105" s="16"/>
      <c r="C105" s="16"/>
      <c r="D105" s="15"/>
      <c r="E105" s="11" t="str">
        <f aca="false">IF(D105="","",IFERROR(INDEX(Players!$C$5:$C$304,MATCH(D105,Players!$B$5:$B$304,0)),""))</f>
        <v/>
      </c>
      <c r="F105" s="22" t="str">
        <f aca="false">IF(D105="","",IF(COUNTIFS($B$5:$B$2004,B105,$D$5:$D$2004,D105)&gt;1,"DUPLICATE",IF(ISNA(MATCH(D105,Players!$B$5:$B$304,0)),"UID not found",IF(INDEX(Players!$H$5:$H$304,MATCH(D105,Players!$B$5:$B$304,0))&lt;0,"LOW BALANCE","OK"))))</f>
        <v/>
      </c>
      <c r="G105" s="1"/>
      <c r="H105" s="1"/>
      <c r="I105" s="1"/>
    </row>
    <row r="106" customFormat="false" ht="21.75" hidden="false" customHeight="true" outlineLevel="0" collapsed="false">
      <c r="A106" s="1"/>
      <c r="B106" s="16"/>
      <c r="C106" s="16"/>
      <c r="D106" s="15"/>
      <c r="E106" s="11" t="str">
        <f aca="false">IF(D106="","",IFERROR(INDEX(Players!$C$5:$C$304,MATCH(D106,Players!$B$5:$B$304,0)),""))</f>
        <v/>
      </c>
      <c r="F106" s="22" t="str">
        <f aca="false">IF(D106="","",IF(COUNTIFS($B$5:$B$2004,B106,$D$5:$D$2004,D106)&gt;1,"DUPLICATE",IF(ISNA(MATCH(D106,Players!$B$5:$B$304,0)),"UID not found",IF(INDEX(Players!$H$5:$H$304,MATCH(D106,Players!$B$5:$B$304,0))&lt;0,"LOW BALANCE","OK"))))</f>
        <v/>
      </c>
      <c r="G106" s="1"/>
      <c r="H106" s="1"/>
      <c r="I106" s="1"/>
    </row>
    <row r="107" customFormat="false" ht="21.75" hidden="false" customHeight="true" outlineLevel="0" collapsed="false">
      <c r="A107" s="1"/>
      <c r="B107" s="16"/>
      <c r="C107" s="16"/>
      <c r="D107" s="15"/>
      <c r="E107" s="11" t="str">
        <f aca="false">IF(D107="","",IFERROR(INDEX(Players!$C$5:$C$304,MATCH(D107,Players!$B$5:$B$304,0)),""))</f>
        <v/>
      </c>
      <c r="F107" s="22" t="str">
        <f aca="false">IF(D107="","",IF(COUNTIFS($B$5:$B$2004,B107,$D$5:$D$2004,D107)&gt;1,"DUPLICATE",IF(ISNA(MATCH(D107,Players!$B$5:$B$304,0)),"UID not found",IF(INDEX(Players!$H$5:$H$304,MATCH(D107,Players!$B$5:$B$304,0))&lt;0,"LOW BALANCE","OK"))))</f>
        <v/>
      </c>
      <c r="G107" s="1"/>
      <c r="H107" s="1"/>
      <c r="I107" s="1"/>
    </row>
    <row r="108" customFormat="false" ht="21.75" hidden="false" customHeight="true" outlineLevel="0" collapsed="false">
      <c r="A108" s="1"/>
      <c r="B108" s="16"/>
      <c r="C108" s="16"/>
      <c r="D108" s="15"/>
      <c r="E108" s="11" t="str">
        <f aca="false">IF(D108="","",IFERROR(INDEX(Players!$C$5:$C$304,MATCH(D108,Players!$B$5:$B$304,0)),""))</f>
        <v/>
      </c>
      <c r="F108" s="22" t="str">
        <f aca="false">IF(D108="","",IF(COUNTIFS($B$5:$B$2004,B108,$D$5:$D$2004,D108)&gt;1,"DUPLICATE",IF(ISNA(MATCH(D108,Players!$B$5:$B$304,0)),"UID not found",IF(INDEX(Players!$H$5:$H$304,MATCH(D108,Players!$B$5:$B$304,0))&lt;0,"LOW BALANCE","OK"))))</f>
        <v/>
      </c>
      <c r="G108" s="1"/>
      <c r="H108" s="1"/>
      <c r="I108" s="1"/>
    </row>
    <row r="109" customFormat="false" ht="21.75" hidden="false" customHeight="true" outlineLevel="0" collapsed="false">
      <c r="A109" s="1"/>
      <c r="B109" s="16"/>
      <c r="C109" s="16"/>
      <c r="D109" s="15"/>
      <c r="E109" s="11" t="str">
        <f aca="false">IF(D109="","",IFERROR(INDEX(Players!$C$5:$C$304,MATCH(D109,Players!$B$5:$B$304,0)),""))</f>
        <v/>
      </c>
      <c r="F109" s="22" t="str">
        <f aca="false">IF(D109="","",IF(COUNTIFS($B$5:$B$2004,B109,$D$5:$D$2004,D109)&gt;1,"DUPLICATE",IF(ISNA(MATCH(D109,Players!$B$5:$B$304,0)),"UID not found",IF(INDEX(Players!$H$5:$H$304,MATCH(D109,Players!$B$5:$B$304,0))&lt;0,"LOW BALANCE","OK"))))</f>
        <v/>
      </c>
      <c r="G109" s="1"/>
      <c r="H109" s="1"/>
      <c r="I109" s="1"/>
    </row>
    <row r="110" customFormat="false" ht="21.75" hidden="false" customHeight="true" outlineLevel="0" collapsed="false">
      <c r="A110" s="1"/>
      <c r="B110" s="16"/>
      <c r="C110" s="16"/>
      <c r="D110" s="15"/>
      <c r="E110" s="11" t="str">
        <f aca="false">IF(D110="","",IFERROR(INDEX(Players!$C$5:$C$304,MATCH(D110,Players!$B$5:$B$304,0)),""))</f>
        <v/>
      </c>
      <c r="F110" s="22" t="str">
        <f aca="false">IF(D110="","",IF(COUNTIFS($B$5:$B$2004,B110,$D$5:$D$2004,D110)&gt;1,"DUPLICATE",IF(ISNA(MATCH(D110,Players!$B$5:$B$304,0)),"UID not found",IF(INDEX(Players!$H$5:$H$304,MATCH(D110,Players!$B$5:$B$304,0))&lt;0,"LOW BALANCE","OK"))))</f>
        <v/>
      </c>
      <c r="G110" s="1"/>
      <c r="H110" s="1"/>
      <c r="I110" s="1"/>
    </row>
    <row r="111" customFormat="false" ht="21.75" hidden="false" customHeight="true" outlineLevel="0" collapsed="false">
      <c r="A111" s="1"/>
      <c r="B111" s="16"/>
      <c r="C111" s="16"/>
      <c r="D111" s="15"/>
      <c r="E111" s="11" t="str">
        <f aca="false">IF(D111="","",IFERROR(INDEX(Players!$C$5:$C$304,MATCH(D111,Players!$B$5:$B$304,0)),""))</f>
        <v/>
      </c>
      <c r="F111" s="22" t="str">
        <f aca="false">IF(D111="","",IF(COUNTIFS($B$5:$B$2004,B111,$D$5:$D$2004,D111)&gt;1,"DUPLICATE",IF(ISNA(MATCH(D111,Players!$B$5:$B$304,0)),"UID not found",IF(INDEX(Players!$H$5:$H$304,MATCH(D111,Players!$B$5:$B$304,0))&lt;0,"LOW BALANCE","OK"))))</f>
        <v/>
      </c>
      <c r="G111" s="1"/>
      <c r="H111" s="1"/>
      <c r="I111" s="1"/>
    </row>
    <row r="112" customFormat="false" ht="21.75" hidden="false" customHeight="true" outlineLevel="0" collapsed="false">
      <c r="A112" s="1"/>
      <c r="B112" s="16"/>
      <c r="C112" s="16"/>
      <c r="D112" s="15"/>
      <c r="E112" s="11" t="str">
        <f aca="false">IF(D112="","",IFERROR(INDEX(Players!$C$5:$C$304,MATCH(D112,Players!$B$5:$B$304,0)),""))</f>
        <v/>
      </c>
      <c r="F112" s="22" t="str">
        <f aca="false">IF(D112="","",IF(COUNTIFS($B$5:$B$2004,B112,$D$5:$D$2004,D112)&gt;1,"DUPLICATE",IF(ISNA(MATCH(D112,Players!$B$5:$B$304,0)),"UID not found",IF(INDEX(Players!$H$5:$H$304,MATCH(D112,Players!$B$5:$B$304,0))&lt;0,"LOW BALANCE","OK"))))</f>
        <v/>
      </c>
      <c r="G112" s="1"/>
      <c r="H112" s="1"/>
      <c r="I112" s="1"/>
    </row>
    <row r="113" customFormat="false" ht="21.75" hidden="false" customHeight="true" outlineLevel="0" collapsed="false">
      <c r="A113" s="1"/>
      <c r="B113" s="16"/>
      <c r="C113" s="16"/>
      <c r="D113" s="15"/>
      <c r="E113" s="11" t="str">
        <f aca="false">IF(D113="","",IFERROR(INDEX(Players!$C$5:$C$304,MATCH(D113,Players!$B$5:$B$304,0)),""))</f>
        <v/>
      </c>
      <c r="F113" s="22" t="str">
        <f aca="false">IF(D113="","",IF(COUNTIFS($B$5:$B$2004,B113,$D$5:$D$2004,D113)&gt;1,"DUPLICATE",IF(ISNA(MATCH(D113,Players!$B$5:$B$304,0)),"UID not found",IF(INDEX(Players!$H$5:$H$304,MATCH(D113,Players!$B$5:$B$304,0))&lt;0,"LOW BALANCE","OK"))))</f>
        <v/>
      </c>
      <c r="G113" s="1"/>
      <c r="H113" s="1"/>
      <c r="I113" s="1"/>
    </row>
    <row r="114" customFormat="false" ht="21.75" hidden="false" customHeight="true" outlineLevel="0" collapsed="false">
      <c r="A114" s="1"/>
      <c r="B114" s="16"/>
      <c r="C114" s="16"/>
      <c r="D114" s="15"/>
      <c r="E114" s="11" t="str">
        <f aca="false">IF(D114="","",IFERROR(INDEX(Players!$C$5:$C$304,MATCH(D114,Players!$B$5:$B$304,0)),""))</f>
        <v/>
      </c>
      <c r="F114" s="22" t="str">
        <f aca="false">IF(D114="","",IF(COUNTIFS($B$5:$B$2004,B114,$D$5:$D$2004,D114)&gt;1,"DUPLICATE",IF(ISNA(MATCH(D114,Players!$B$5:$B$304,0)),"UID not found",IF(INDEX(Players!$H$5:$H$304,MATCH(D114,Players!$B$5:$B$304,0))&lt;0,"LOW BALANCE","OK"))))</f>
        <v/>
      </c>
      <c r="G114" s="1"/>
      <c r="H114" s="1"/>
      <c r="I114" s="1"/>
    </row>
    <row r="115" customFormat="false" ht="21.75" hidden="false" customHeight="true" outlineLevel="0" collapsed="false">
      <c r="A115" s="1"/>
      <c r="B115" s="16"/>
      <c r="C115" s="16"/>
      <c r="D115" s="15"/>
      <c r="E115" s="11" t="str">
        <f aca="false">IF(D115="","",IFERROR(INDEX(Players!$C$5:$C$304,MATCH(D115,Players!$B$5:$B$304,0)),""))</f>
        <v/>
      </c>
      <c r="F115" s="22" t="str">
        <f aca="false">IF(D115="","",IF(COUNTIFS($B$5:$B$2004,B115,$D$5:$D$2004,D115)&gt;1,"DUPLICATE",IF(ISNA(MATCH(D115,Players!$B$5:$B$304,0)),"UID not found",IF(INDEX(Players!$H$5:$H$304,MATCH(D115,Players!$B$5:$B$304,0))&lt;0,"LOW BALANCE","OK"))))</f>
        <v/>
      </c>
      <c r="G115" s="1"/>
      <c r="H115" s="1"/>
      <c r="I115" s="1"/>
    </row>
    <row r="116" customFormat="false" ht="21.75" hidden="false" customHeight="true" outlineLevel="0" collapsed="false">
      <c r="A116" s="1"/>
      <c r="B116" s="16"/>
      <c r="C116" s="16"/>
      <c r="D116" s="15"/>
      <c r="E116" s="11" t="str">
        <f aca="false">IF(D116="","",IFERROR(INDEX(Players!$C$5:$C$304,MATCH(D116,Players!$B$5:$B$304,0)),""))</f>
        <v/>
      </c>
      <c r="F116" s="22" t="str">
        <f aca="false">IF(D116="","",IF(COUNTIFS($B$5:$B$2004,B116,$D$5:$D$2004,D116)&gt;1,"DUPLICATE",IF(ISNA(MATCH(D116,Players!$B$5:$B$304,0)),"UID not found",IF(INDEX(Players!$H$5:$H$304,MATCH(D116,Players!$B$5:$B$304,0))&lt;0,"LOW BALANCE","OK"))))</f>
        <v/>
      </c>
      <c r="G116" s="1"/>
      <c r="H116" s="1"/>
      <c r="I116" s="1"/>
    </row>
    <row r="117" customFormat="false" ht="21.75" hidden="false" customHeight="true" outlineLevel="0" collapsed="false">
      <c r="A117" s="1"/>
      <c r="B117" s="16"/>
      <c r="C117" s="16"/>
      <c r="D117" s="15"/>
      <c r="E117" s="11" t="str">
        <f aca="false">IF(D117="","",IFERROR(INDEX(Players!$C$5:$C$304,MATCH(D117,Players!$B$5:$B$304,0)),""))</f>
        <v/>
      </c>
      <c r="F117" s="22" t="str">
        <f aca="false">IF(D117="","",IF(COUNTIFS($B$5:$B$2004,B117,$D$5:$D$2004,D117)&gt;1,"DUPLICATE",IF(ISNA(MATCH(D117,Players!$B$5:$B$304,0)),"UID not found",IF(INDEX(Players!$H$5:$H$304,MATCH(D117,Players!$B$5:$B$304,0))&lt;0,"LOW BALANCE","OK"))))</f>
        <v/>
      </c>
      <c r="G117" s="1"/>
      <c r="H117" s="1"/>
      <c r="I117" s="1"/>
    </row>
    <row r="118" customFormat="false" ht="21.75" hidden="false" customHeight="true" outlineLevel="0" collapsed="false">
      <c r="A118" s="1"/>
      <c r="B118" s="16"/>
      <c r="C118" s="16"/>
      <c r="D118" s="15"/>
      <c r="E118" s="11" t="str">
        <f aca="false">IF(D118="","",IFERROR(INDEX(Players!$C$5:$C$304,MATCH(D118,Players!$B$5:$B$304,0)),""))</f>
        <v/>
      </c>
      <c r="F118" s="22" t="str">
        <f aca="false">IF(D118="","",IF(COUNTIFS($B$5:$B$2004,B118,$D$5:$D$2004,D118)&gt;1,"DUPLICATE",IF(ISNA(MATCH(D118,Players!$B$5:$B$304,0)),"UID not found",IF(INDEX(Players!$H$5:$H$304,MATCH(D118,Players!$B$5:$B$304,0))&lt;0,"LOW BALANCE","OK"))))</f>
        <v/>
      </c>
      <c r="G118" s="1"/>
      <c r="H118" s="1"/>
      <c r="I118" s="1"/>
    </row>
    <row r="119" customFormat="false" ht="21.75" hidden="false" customHeight="true" outlineLevel="0" collapsed="false">
      <c r="A119" s="1"/>
      <c r="B119" s="16"/>
      <c r="C119" s="16"/>
      <c r="D119" s="15"/>
      <c r="E119" s="11" t="str">
        <f aca="false">IF(D119="","",IFERROR(INDEX(Players!$C$5:$C$304,MATCH(D119,Players!$B$5:$B$304,0)),""))</f>
        <v/>
      </c>
      <c r="F119" s="22" t="str">
        <f aca="false">IF(D119="","",IF(COUNTIFS($B$5:$B$2004,B119,$D$5:$D$2004,D119)&gt;1,"DUPLICATE",IF(ISNA(MATCH(D119,Players!$B$5:$B$304,0)),"UID not found",IF(INDEX(Players!$H$5:$H$304,MATCH(D119,Players!$B$5:$B$304,0))&lt;0,"LOW BALANCE","OK"))))</f>
        <v/>
      </c>
      <c r="G119" s="1"/>
      <c r="H119" s="1"/>
      <c r="I119" s="1"/>
    </row>
    <row r="120" customFormat="false" ht="21.75" hidden="false" customHeight="true" outlineLevel="0" collapsed="false">
      <c r="A120" s="1"/>
      <c r="B120" s="16"/>
      <c r="C120" s="16"/>
      <c r="D120" s="15"/>
      <c r="E120" s="11" t="str">
        <f aca="false">IF(D120="","",IFERROR(INDEX(Players!$C$5:$C$304,MATCH(D120,Players!$B$5:$B$304,0)),""))</f>
        <v/>
      </c>
      <c r="F120" s="22" t="str">
        <f aca="false">IF(D120="","",IF(COUNTIFS($B$5:$B$2004,B120,$D$5:$D$2004,D120)&gt;1,"DUPLICATE",IF(ISNA(MATCH(D120,Players!$B$5:$B$304,0)),"UID not found",IF(INDEX(Players!$H$5:$H$304,MATCH(D120,Players!$B$5:$B$304,0))&lt;0,"LOW BALANCE","OK"))))</f>
        <v/>
      </c>
      <c r="G120" s="1"/>
      <c r="H120" s="1"/>
      <c r="I120" s="1"/>
    </row>
    <row r="121" customFormat="false" ht="21.75" hidden="false" customHeight="true" outlineLevel="0" collapsed="false">
      <c r="A121" s="1"/>
      <c r="B121" s="16"/>
      <c r="C121" s="16"/>
      <c r="D121" s="15"/>
      <c r="E121" s="11" t="str">
        <f aca="false">IF(D121="","",IFERROR(INDEX(Players!$C$5:$C$304,MATCH(D121,Players!$B$5:$B$304,0)),""))</f>
        <v/>
      </c>
      <c r="F121" s="22" t="str">
        <f aca="false">IF(D121="","",IF(COUNTIFS($B$5:$B$2004,B121,$D$5:$D$2004,D121)&gt;1,"DUPLICATE",IF(ISNA(MATCH(D121,Players!$B$5:$B$304,0)),"UID not found",IF(INDEX(Players!$H$5:$H$304,MATCH(D121,Players!$B$5:$B$304,0))&lt;0,"LOW BALANCE","OK"))))</f>
        <v/>
      </c>
      <c r="G121" s="1"/>
      <c r="H121" s="1"/>
      <c r="I121" s="1"/>
    </row>
    <row r="122" customFormat="false" ht="21.75" hidden="false" customHeight="true" outlineLevel="0" collapsed="false">
      <c r="A122" s="1"/>
      <c r="B122" s="16"/>
      <c r="C122" s="16"/>
      <c r="D122" s="15"/>
      <c r="E122" s="11" t="str">
        <f aca="false">IF(D122="","",IFERROR(INDEX(Players!$C$5:$C$304,MATCH(D122,Players!$B$5:$B$304,0)),""))</f>
        <v/>
      </c>
      <c r="F122" s="22" t="str">
        <f aca="false">IF(D122="","",IF(COUNTIFS($B$5:$B$2004,B122,$D$5:$D$2004,D122)&gt;1,"DUPLICATE",IF(ISNA(MATCH(D122,Players!$B$5:$B$304,0)),"UID not found",IF(INDEX(Players!$H$5:$H$304,MATCH(D122,Players!$B$5:$B$304,0))&lt;0,"LOW BALANCE","OK"))))</f>
        <v/>
      </c>
      <c r="G122" s="1"/>
      <c r="H122" s="1"/>
      <c r="I122" s="1"/>
    </row>
    <row r="123" customFormat="false" ht="21.75" hidden="false" customHeight="true" outlineLevel="0" collapsed="false">
      <c r="A123" s="1"/>
      <c r="B123" s="16"/>
      <c r="C123" s="16"/>
      <c r="D123" s="15"/>
      <c r="E123" s="11" t="str">
        <f aca="false">IF(D123="","",IFERROR(INDEX(Players!$C$5:$C$304,MATCH(D123,Players!$B$5:$B$304,0)),""))</f>
        <v/>
      </c>
      <c r="F123" s="22" t="str">
        <f aca="false">IF(D123="","",IF(COUNTIFS($B$5:$B$2004,B123,$D$5:$D$2004,D123)&gt;1,"DUPLICATE",IF(ISNA(MATCH(D123,Players!$B$5:$B$304,0)),"UID not found",IF(INDEX(Players!$H$5:$H$304,MATCH(D123,Players!$B$5:$B$304,0))&lt;0,"LOW BALANCE","OK"))))</f>
        <v/>
      </c>
      <c r="G123" s="1"/>
      <c r="H123" s="1"/>
      <c r="I123" s="1"/>
    </row>
    <row r="124" customFormat="false" ht="21.75" hidden="false" customHeight="true" outlineLevel="0" collapsed="false">
      <c r="A124" s="1"/>
      <c r="B124" s="16"/>
      <c r="C124" s="16"/>
      <c r="D124" s="15"/>
      <c r="E124" s="11" t="str">
        <f aca="false">IF(D124="","",IFERROR(INDEX(Players!$C$5:$C$304,MATCH(D124,Players!$B$5:$B$304,0)),""))</f>
        <v/>
      </c>
      <c r="F124" s="22" t="str">
        <f aca="false">IF(D124="","",IF(COUNTIFS($B$5:$B$2004,B124,$D$5:$D$2004,D124)&gt;1,"DUPLICATE",IF(ISNA(MATCH(D124,Players!$B$5:$B$304,0)),"UID not found",IF(INDEX(Players!$H$5:$H$304,MATCH(D124,Players!$B$5:$B$304,0))&lt;0,"LOW BALANCE","OK"))))</f>
        <v/>
      </c>
      <c r="G124" s="1"/>
      <c r="H124" s="1"/>
      <c r="I124" s="1"/>
    </row>
    <row r="125" customFormat="false" ht="21.75" hidden="false" customHeight="true" outlineLevel="0" collapsed="false">
      <c r="A125" s="1"/>
      <c r="B125" s="16"/>
      <c r="C125" s="16"/>
      <c r="D125" s="15"/>
      <c r="E125" s="11" t="str">
        <f aca="false">IF(D125="","",IFERROR(INDEX(Players!$C$5:$C$304,MATCH(D125,Players!$B$5:$B$304,0)),""))</f>
        <v/>
      </c>
      <c r="F125" s="22" t="str">
        <f aca="false">IF(D125="","",IF(COUNTIFS($B$5:$B$2004,B125,$D$5:$D$2004,D125)&gt;1,"DUPLICATE",IF(ISNA(MATCH(D125,Players!$B$5:$B$304,0)),"UID not found",IF(INDEX(Players!$H$5:$H$304,MATCH(D125,Players!$B$5:$B$304,0))&lt;0,"LOW BALANCE","OK"))))</f>
        <v/>
      </c>
      <c r="G125" s="1"/>
      <c r="H125" s="1"/>
      <c r="I125" s="1"/>
    </row>
    <row r="126" customFormat="false" ht="21.75" hidden="false" customHeight="true" outlineLevel="0" collapsed="false">
      <c r="A126" s="1"/>
      <c r="B126" s="16"/>
      <c r="C126" s="16"/>
      <c r="D126" s="15"/>
      <c r="E126" s="11" t="str">
        <f aca="false">IF(D126="","",IFERROR(INDEX(Players!$C$5:$C$304,MATCH(D126,Players!$B$5:$B$304,0)),""))</f>
        <v/>
      </c>
      <c r="F126" s="22" t="str">
        <f aca="false">IF(D126="","",IF(COUNTIFS($B$5:$B$2004,B126,$D$5:$D$2004,D126)&gt;1,"DUPLICATE",IF(ISNA(MATCH(D126,Players!$B$5:$B$304,0)),"UID not found",IF(INDEX(Players!$H$5:$H$304,MATCH(D126,Players!$B$5:$B$304,0))&lt;0,"LOW BALANCE","OK"))))</f>
        <v/>
      </c>
      <c r="G126" s="1"/>
      <c r="H126" s="1"/>
      <c r="I126" s="1"/>
    </row>
    <row r="127" customFormat="false" ht="21.75" hidden="false" customHeight="true" outlineLevel="0" collapsed="false">
      <c r="A127" s="1"/>
      <c r="B127" s="16"/>
      <c r="C127" s="16"/>
      <c r="D127" s="15"/>
      <c r="E127" s="11" t="str">
        <f aca="false">IF(D127="","",IFERROR(INDEX(Players!$C$5:$C$304,MATCH(D127,Players!$B$5:$B$304,0)),""))</f>
        <v/>
      </c>
      <c r="F127" s="22" t="str">
        <f aca="false">IF(D127="","",IF(COUNTIFS($B$5:$B$2004,B127,$D$5:$D$2004,D127)&gt;1,"DUPLICATE",IF(ISNA(MATCH(D127,Players!$B$5:$B$304,0)),"UID not found",IF(INDEX(Players!$H$5:$H$304,MATCH(D127,Players!$B$5:$B$304,0))&lt;0,"LOW BALANCE","OK"))))</f>
        <v/>
      </c>
      <c r="G127" s="1"/>
      <c r="H127" s="1"/>
      <c r="I127" s="1"/>
    </row>
    <row r="128" customFormat="false" ht="21.75" hidden="false" customHeight="true" outlineLevel="0" collapsed="false">
      <c r="A128" s="1"/>
      <c r="B128" s="16"/>
      <c r="C128" s="16"/>
      <c r="D128" s="15"/>
      <c r="E128" s="11" t="str">
        <f aca="false">IF(D128="","",IFERROR(INDEX(Players!$C$5:$C$304,MATCH(D128,Players!$B$5:$B$304,0)),""))</f>
        <v/>
      </c>
      <c r="F128" s="22" t="str">
        <f aca="false">IF(D128="","",IF(COUNTIFS($B$5:$B$2004,B128,$D$5:$D$2004,D128)&gt;1,"DUPLICATE",IF(ISNA(MATCH(D128,Players!$B$5:$B$304,0)),"UID not found",IF(INDEX(Players!$H$5:$H$304,MATCH(D128,Players!$B$5:$B$304,0))&lt;0,"LOW BALANCE","OK"))))</f>
        <v/>
      </c>
      <c r="G128" s="1"/>
      <c r="H128" s="1"/>
      <c r="I128" s="1"/>
    </row>
    <row r="129" customFormat="false" ht="21.75" hidden="false" customHeight="true" outlineLevel="0" collapsed="false">
      <c r="A129" s="1"/>
      <c r="B129" s="16"/>
      <c r="C129" s="16"/>
      <c r="D129" s="15"/>
      <c r="E129" s="11" t="str">
        <f aca="false">IF(D129="","",IFERROR(INDEX(Players!$C$5:$C$304,MATCH(D129,Players!$B$5:$B$304,0)),""))</f>
        <v/>
      </c>
      <c r="F129" s="22" t="str">
        <f aca="false">IF(D129="","",IF(COUNTIFS($B$5:$B$2004,B129,$D$5:$D$2004,D129)&gt;1,"DUPLICATE",IF(ISNA(MATCH(D129,Players!$B$5:$B$304,0)),"UID not found",IF(INDEX(Players!$H$5:$H$304,MATCH(D129,Players!$B$5:$B$304,0))&lt;0,"LOW BALANCE","OK"))))</f>
        <v/>
      </c>
      <c r="G129" s="1"/>
      <c r="H129" s="1"/>
      <c r="I129" s="1"/>
    </row>
    <row r="130" customFormat="false" ht="21.75" hidden="false" customHeight="true" outlineLevel="0" collapsed="false">
      <c r="A130" s="1"/>
      <c r="B130" s="16"/>
      <c r="C130" s="16"/>
      <c r="D130" s="15"/>
      <c r="E130" s="11" t="str">
        <f aca="false">IF(D130="","",IFERROR(INDEX(Players!$C$5:$C$304,MATCH(D130,Players!$B$5:$B$304,0)),""))</f>
        <v/>
      </c>
      <c r="F130" s="22" t="str">
        <f aca="false">IF(D130="","",IF(COUNTIFS($B$5:$B$2004,B130,$D$5:$D$2004,D130)&gt;1,"DUPLICATE",IF(ISNA(MATCH(D130,Players!$B$5:$B$304,0)),"UID not found",IF(INDEX(Players!$H$5:$H$304,MATCH(D130,Players!$B$5:$B$304,0))&lt;0,"LOW BALANCE","OK"))))</f>
        <v/>
      </c>
      <c r="G130" s="1"/>
      <c r="H130" s="1"/>
      <c r="I130" s="1"/>
    </row>
    <row r="131" customFormat="false" ht="21.75" hidden="false" customHeight="true" outlineLevel="0" collapsed="false">
      <c r="A131" s="1"/>
      <c r="B131" s="16"/>
      <c r="C131" s="16"/>
      <c r="D131" s="15"/>
      <c r="E131" s="11" t="str">
        <f aca="false">IF(D131="","",IFERROR(INDEX(Players!$C$5:$C$304,MATCH(D131,Players!$B$5:$B$304,0)),""))</f>
        <v/>
      </c>
      <c r="F131" s="22" t="str">
        <f aca="false">IF(D131="","",IF(COUNTIFS($B$5:$B$2004,B131,$D$5:$D$2004,D131)&gt;1,"DUPLICATE",IF(ISNA(MATCH(D131,Players!$B$5:$B$304,0)),"UID not found",IF(INDEX(Players!$H$5:$H$304,MATCH(D131,Players!$B$5:$B$304,0))&lt;0,"LOW BALANCE","OK"))))</f>
        <v/>
      </c>
      <c r="G131" s="1"/>
      <c r="H131" s="1"/>
      <c r="I131" s="1"/>
    </row>
    <row r="132" customFormat="false" ht="21.75" hidden="false" customHeight="true" outlineLevel="0" collapsed="false">
      <c r="A132" s="1"/>
      <c r="B132" s="16"/>
      <c r="C132" s="16"/>
      <c r="D132" s="15"/>
      <c r="E132" s="11" t="str">
        <f aca="false">IF(D132="","",IFERROR(INDEX(Players!$C$5:$C$304,MATCH(D132,Players!$B$5:$B$304,0)),""))</f>
        <v/>
      </c>
      <c r="F132" s="22" t="str">
        <f aca="false">IF(D132="","",IF(COUNTIFS($B$5:$B$2004,B132,$D$5:$D$2004,D132)&gt;1,"DUPLICATE",IF(ISNA(MATCH(D132,Players!$B$5:$B$304,0)),"UID not found",IF(INDEX(Players!$H$5:$H$304,MATCH(D132,Players!$B$5:$B$304,0))&lt;0,"LOW BALANCE","OK"))))</f>
        <v/>
      </c>
      <c r="G132" s="1"/>
      <c r="H132" s="1"/>
      <c r="I132" s="1"/>
    </row>
    <row r="133" customFormat="false" ht="21.75" hidden="false" customHeight="true" outlineLevel="0" collapsed="false">
      <c r="A133" s="1"/>
      <c r="B133" s="16"/>
      <c r="C133" s="16"/>
      <c r="D133" s="15"/>
      <c r="E133" s="11" t="str">
        <f aca="false">IF(D133="","",IFERROR(INDEX(Players!$C$5:$C$304,MATCH(D133,Players!$B$5:$B$304,0)),""))</f>
        <v/>
      </c>
      <c r="F133" s="22" t="str">
        <f aca="false">IF(D133="","",IF(COUNTIFS($B$5:$B$2004,B133,$D$5:$D$2004,D133)&gt;1,"DUPLICATE",IF(ISNA(MATCH(D133,Players!$B$5:$B$304,0)),"UID not found",IF(INDEX(Players!$H$5:$H$304,MATCH(D133,Players!$B$5:$B$304,0))&lt;0,"LOW BALANCE","OK"))))</f>
        <v/>
      </c>
      <c r="G133" s="1"/>
      <c r="H133" s="1"/>
      <c r="I133" s="1"/>
    </row>
    <row r="134" customFormat="false" ht="21.75" hidden="false" customHeight="true" outlineLevel="0" collapsed="false">
      <c r="A134" s="1"/>
      <c r="B134" s="16"/>
      <c r="C134" s="16"/>
      <c r="D134" s="15"/>
      <c r="E134" s="11" t="str">
        <f aca="false">IF(D134="","",IFERROR(INDEX(Players!$C$5:$C$304,MATCH(D134,Players!$B$5:$B$304,0)),""))</f>
        <v/>
      </c>
      <c r="F134" s="22" t="str">
        <f aca="false">IF(D134="","",IF(COUNTIFS($B$5:$B$2004,B134,$D$5:$D$2004,D134)&gt;1,"DUPLICATE",IF(ISNA(MATCH(D134,Players!$B$5:$B$304,0)),"UID not found",IF(INDEX(Players!$H$5:$H$304,MATCH(D134,Players!$B$5:$B$304,0))&lt;0,"LOW BALANCE","OK"))))</f>
        <v/>
      </c>
      <c r="G134" s="1"/>
      <c r="H134" s="1"/>
      <c r="I134" s="1"/>
    </row>
    <row r="135" customFormat="false" ht="21.75" hidden="false" customHeight="true" outlineLevel="0" collapsed="false">
      <c r="A135" s="1"/>
      <c r="B135" s="16"/>
      <c r="C135" s="16"/>
      <c r="D135" s="15"/>
      <c r="E135" s="11" t="str">
        <f aca="false">IF(D135="","",IFERROR(INDEX(Players!$C$5:$C$304,MATCH(D135,Players!$B$5:$B$304,0)),""))</f>
        <v/>
      </c>
      <c r="F135" s="22" t="str">
        <f aca="false">IF(D135="","",IF(COUNTIFS($B$5:$B$2004,B135,$D$5:$D$2004,D135)&gt;1,"DUPLICATE",IF(ISNA(MATCH(D135,Players!$B$5:$B$304,0)),"UID not found",IF(INDEX(Players!$H$5:$H$304,MATCH(D135,Players!$B$5:$B$304,0))&lt;0,"LOW BALANCE","OK"))))</f>
        <v/>
      </c>
      <c r="G135" s="1"/>
      <c r="H135" s="1"/>
      <c r="I135" s="1"/>
    </row>
    <row r="136" customFormat="false" ht="21.75" hidden="false" customHeight="true" outlineLevel="0" collapsed="false">
      <c r="A136" s="1"/>
      <c r="B136" s="16"/>
      <c r="C136" s="16"/>
      <c r="D136" s="15"/>
      <c r="E136" s="11" t="str">
        <f aca="false">IF(D136="","",IFERROR(INDEX(Players!$C$5:$C$304,MATCH(D136,Players!$B$5:$B$304,0)),""))</f>
        <v/>
      </c>
      <c r="F136" s="22" t="str">
        <f aca="false">IF(D136="","",IF(COUNTIFS($B$5:$B$2004,B136,$D$5:$D$2004,D136)&gt;1,"DUPLICATE",IF(ISNA(MATCH(D136,Players!$B$5:$B$304,0)),"UID not found",IF(INDEX(Players!$H$5:$H$304,MATCH(D136,Players!$B$5:$B$304,0))&lt;0,"LOW BALANCE","OK"))))</f>
        <v/>
      </c>
      <c r="G136" s="1"/>
      <c r="H136" s="1"/>
      <c r="I136" s="1"/>
    </row>
    <row r="137" customFormat="false" ht="21.75" hidden="false" customHeight="true" outlineLevel="0" collapsed="false">
      <c r="A137" s="1"/>
      <c r="B137" s="16"/>
      <c r="C137" s="16"/>
      <c r="D137" s="15"/>
      <c r="E137" s="11" t="str">
        <f aca="false">IF(D137="","",IFERROR(INDEX(Players!$C$5:$C$304,MATCH(D137,Players!$B$5:$B$304,0)),""))</f>
        <v/>
      </c>
      <c r="F137" s="22" t="str">
        <f aca="false">IF(D137="","",IF(COUNTIFS($B$5:$B$2004,B137,$D$5:$D$2004,D137)&gt;1,"DUPLICATE",IF(ISNA(MATCH(D137,Players!$B$5:$B$304,0)),"UID not found",IF(INDEX(Players!$H$5:$H$304,MATCH(D137,Players!$B$5:$B$304,0))&lt;0,"LOW BALANCE","OK"))))</f>
        <v/>
      </c>
      <c r="G137" s="1"/>
      <c r="H137" s="1"/>
      <c r="I137" s="1"/>
    </row>
    <row r="138" customFormat="false" ht="21.75" hidden="false" customHeight="true" outlineLevel="0" collapsed="false">
      <c r="A138" s="1"/>
      <c r="B138" s="16"/>
      <c r="C138" s="16"/>
      <c r="D138" s="15"/>
      <c r="E138" s="11" t="str">
        <f aca="false">IF(D138="","",IFERROR(INDEX(Players!$C$5:$C$304,MATCH(D138,Players!$B$5:$B$304,0)),""))</f>
        <v/>
      </c>
      <c r="F138" s="22" t="str">
        <f aca="false">IF(D138="","",IF(COUNTIFS($B$5:$B$2004,B138,$D$5:$D$2004,D138)&gt;1,"DUPLICATE",IF(ISNA(MATCH(D138,Players!$B$5:$B$304,0)),"UID not found",IF(INDEX(Players!$H$5:$H$304,MATCH(D138,Players!$B$5:$B$304,0))&lt;0,"LOW BALANCE","OK"))))</f>
        <v/>
      </c>
      <c r="G138" s="1"/>
      <c r="H138" s="1"/>
      <c r="I138" s="1"/>
    </row>
    <row r="139" customFormat="false" ht="21.75" hidden="false" customHeight="true" outlineLevel="0" collapsed="false">
      <c r="A139" s="1"/>
      <c r="B139" s="16"/>
      <c r="C139" s="16"/>
      <c r="D139" s="15"/>
      <c r="E139" s="11" t="str">
        <f aca="false">IF(D139="","",IFERROR(INDEX(Players!$C$5:$C$304,MATCH(D139,Players!$B$5:$B$304,0)),""))</f>
        <v/>
      </c>
      <c r="F139" s="22" t="str">
        <f aca="false">IF(D139="","",IF(COUNTIFS($B$5:$B$2004,B139,$D$5:$D$2004,D139)&gt;1,"DUPLICATE",IF(ISNA(MATCH(D139,Players!$B$5:$B$304,0)),"UID not found",IF(INDEX(Players!$H$5:$H$304,MATCH(D139,Players!$B$5:$B$304,0))&lt;0,"LOW BALANCE","OK"))))</f>
        <v/>
      </c>
      <c r="G139" s="1"/>
      <c r="H139" s="1"/>
      <c r="I139" s="1"/>
    </row>
    <row r="140" customFormat="false" ht="21.75" hidden="false" customHeight="true" outlineLevel="0" collapsed="false">
      <c r="A140" s="1"/>
      <c r="B140" s="16"/>
      <c r="C140" s="16"/>
      <c r="D140" s="15"/>
      <c r="E140" s="11" t="str">
        <f aca="false">IF(D140="","",IFERROR(INDEX(Players!$C$5:$C$304,MATCH(D140,Players!$B$5:$B$304,0)),""))</f>
        <v/>
      </c>
      <c r="F140" s="22" t="str">
        <f aca="false">IF(D140="","",IF(COUNTIFS($B$5:$B$2004,B140,$D$5:$D$2004,D140)&gt;1,"DUPLICATE",IF(ISNA(MATCH(D140,Players!$B$5:$B$304,0)),"UID not found",IF(INDEX(Players!$H$5:$H$304,MATCH(D140,Players!$B$5:$B$304,0))&lt;0,"LOW BALANCE","OK"))))</f>
        <v/>
      </c>
      <c r="G140" s="1"/>
      <c r="H140" s="1"/>
      <c r="I140" s="1"/>
    </row>
    <row r="141" customFormat="false" ht="21.75" hidden="false" customHeight="true" outlineLevel="0" collapsed="false">
      <c r="A141" s="1"/>
      <c r="B141" s="16"/>
      <c r="C141" s="16"/>
      <c r="D141" s="15"/>
      <c r="E141" s="11" t="str">
        <f aca="false">IF(D141="","",IFERROR(INDEX(Players!$C$5:$C$304,MATCH(D141,Players!$B$5:$B$304,0)),""))</f>
        <v/>
      </c>
      <c r="F141" s="22" t="str">
        <f aca="false">IF(D141="","",IF(COUNTIFS($B$5:$B$2004,B141,$D$5:$D$2004,D141)&gt;1,"DUPLICATE",IF(ISNA(MATCH(D141,Players!$B$5:$B$304,0)),"UID not found",IF(INDEX(Players!$H$5:$H$304,MATCH(D141,Players!$B$5:$B$304,0))&lt;0,"LOW BALANCE","OK"))))</f>
        <v/>
      </c>
      <c r="G141" s="1"/>
      <c r="H141" s="1"/>
      <c r="I141" s="1"/>
    </row>
    <row r="142" customFormat="false" ht="21.75" hidden="false" customHeight="true" outlineLevel="0" collapsed="false">
      <c r="A142" s="1"/>
      <c r="B142" s="16"/>
      <c r="C142" s="16"/>
      <c r="D142" s="15"/>
      <c r="E142" s="11" t="str">
        <f aca="false">IF(D142="","",IFERROR(INDEX(Players!$C$5:$C$304,MATCH(D142,Players!$B$5:$B$304,0)),""))</f>
        <v/>
      </c>
      <c r="F142" s="22" t="str">
        <f aca="false">IF(D142="","",IF(COUNTIFS($B$5:$B$2004,B142,$D$5:$D$2004,D142)&gt;1,"DUPLICATE",IF(ISNA(MATCH(D142,Players!$B$5:$B$304,0)),"UID not found",IF(INDEX(Players!$H$5:$H$304,MATCH(D142,Players!$B$5:$B$304,0))&lt;0,"LOW BALANCE","OK"))))</f>
        <v/>
      </c>
      <c r="G142" s="1"/>
      <c r="H142" s="1"/>
      <c r="I142" s="1"/>
    </row>
    <row r="143" customFormat="false" ht="21.75" hidden="false" customHeight="true" outlineLevel="0" collapsed="false">
      <c r="A143" s="1"/>
      <c r="B143" s="16"/>
      <c r="C143" s="16"/>
      <c r="D143" s="15"/>
      <c r="E143" s="11" t="str">
        <f aca="false">IF(D143="","",IFERROR(INDEX(Players!$C$5:$C$304,MATCH(D143,Players!$B$5:$B$304,0)),""))</f>
        <v/>
      </c>
      <c r="F143" s="22" t="str">
        <f aca="false">IF(D143="","",IF(COUNTIFS($B$5:$B$2004,B143,$D$5:$D$2004,D143)&gt;1,"DUPLICATE",IF(ISNA(MATCH(D143,Players!$B$5:$B$304,0)),"UID not found",IF(INDEX(Players!$H$5:$H$304,MATCH(D143,Players!$B$5:$B$304,0))&lt;0,"LOW BALANCE","OK"))))</f>
        <v/>
      </c>
      <c r="G143" s="1"/>
      <c r="H143" s="1"/>
      <c r="I143" s="1"/>
    </row>
    <row r="144" customFormat="false" ht="21.75" hidden="false" customHeight="true" outlineLevel="0" collapsed="false">
      <c r="A144" s="1"/>
      <c r="B144" s="16"/>
      <c r="C144" s="16"/>
      <c r="D144" s="15"/>
      <c r="E144" s="11" t="str">
        <f aca="false">IF(D144="","",IFERROR(INDEX(Players!$C$5:$C$304,MATCH(D144,Players!$B$5:$B$304,0)),""))</f>
        <v/>
      </c>
      <c r="F144" s="22" t="str">
        <f aca="false">IF(D144="","",IF(COUNTIFS($B$5:$B$2004,B144,$D$5:$D$2004,D144)&gt;1,"DUPLICATE",IF(ISNA(MATCH(D144,Players!$B$5:$B$304,0)),"UID not found",IF(INDEX(Players!$H$5:$H$304,MATCH(D144,Players!$B$5:$B$304,0))&lt;0,"LOW BALANCE","OK"))))</f>
        <v/>
      </c>
      <c r="G144" s="1"/>
      <c r="H144" s="1"/>
      <c r="I144" s="1"/>
    </row>
    <row r="145" customFormat="false" ht="21.75" hidden="false" customHeight="true" outlineLevel="0" collapsed="false">
      <c r="A145" s="1"/>
      <c r="B145" s="16"/>
      <c r="C145" s="16"/>
      <c r="D145" s="15"/>
      <c r="E145" s="11" t="str">
        <f aca="false">IF(D145="","",IFERROR(INDEX(Players!$C$5:$C$304,MATCH(D145,Players!$B$5:$B$304,0)),""))</f>
        <v/>
      </c>
      <c r="F145" s="22" t="str">
        <f aca="false">IF(D145="","",IF(COUNTIFS($B$5:$B$2004,B145,$D$5:$D$2004,D145)&gt;1,"DUPLICATE",IF(ISNA(MATCH(D145,Players!$B$5:$B$304,0)),"UID not found",IF(INDEX(Players!$H$5:$H$304,MATCH(D145,Players!$B$5:$B$304,0))&lt;0,"LOW BALANCE","OK"))))</f>
        <v/>
      </c>
      <c r="G145" s="1"/>
      <c r="H145" s="1"/>
      <c r="I145" s="1"/>
    </row>
    <row r="146" customFormat="false" ht="21.75" hidden="false" customHeight="true" outlineLevel="0" collapsed="false">
      <c r="A146" s="1"/>
      <c r="B146" s="16"/>
      <c r="C146" s="16"/>
      <c r="D146" s="15"/>
      <c r="E146" s="11" t="str">
        <f aca="false">IF(D146="","",IFERROR(INDEX(Players!$C$5:$C$304,MATCH(D146,Players!$B$5:$B$304,0)),""))</f>
        <v/>
      </c>
      <c r="F146" s="22" t="str">
        <f aca="false">IF(D146="","",IF(COUNTIFS($B$5:$B$2004,B146,$D$5:$D$2004,D146)&gt;1,"DUPLICATE",IF(ISNA(MATCH(D146,Players!$B$5:$B$304,0)),"UID not found",IF(INDEX(Players!$H$5:$H$304,MATCH(D146,Players!$B$5:$B$304,0))&lt;0,"LOW BALANCE","OK"))))</f>
        <v/>
      </c>
      <c r="G146" s="1"/>
      <c r="H146" s="1"/>
      <c r="I146" s="1"/>
    </row>
    <row r="147" customFormat="false" ht="21.75" hidden="false" customHeight="true" outlineLevel="0" collapsed="false">
      <c r="A147" s="1"/>
      <c r="B147" s="16"/>
      <c r="C147" s="16"/>
      <c r="D147" s="15"/>
      <c r="E147" s="11" t="str">
        <f aca="false">IF(D147="","",IFERROR(INDEX(Players!$C$5:$C$304,MATCH(D147,Players!$B$5:$B$304,0)),""))</f>
        <v/>
      </c>
      <c r="F147" s="22" t="str">
        <f aca="false">IF(D147="","",IF(COUNTIFS($B$5:$B$2004,B147,$D$5:$D$2004,D147)&gt;1,"DUPLICATE",IF(ISNA(MATCH(D147,Players!$B$5:$B$304,0)),"UID not found",IF(INDEX(Players!$H$5:$H$304,MATCH(D147,Players!$B$5:$B$304,0))&lt;0,"LOW BALANCE","OK"))))</f>
        <v/>
      </c>
      <c r="G147" s="1"/>
      <c r="H147" s="1"/>
      <c r="I147" s="1"/>
    </row>
    <row r="148" customFormat="false" ht="21.75" hidden="false" customHeight="true" outlineLevel="0" collapsed="false">
      <c r="A148" s="1"/>
      <c r="B148" s="16"/>
      <c r="C148" s="16"/>
      <c r="D148" s="15"/>
      <c r="E148" s="11" t="str">
        <f aca="false">IF(D148="","",IFERROR(INDEX(Players!$C$5:$C$304,MATCH(D148,Players!$B$5:$B$304,0)),""))</f>
        <v/>
      </c>
      <c r="F148" s="22" t="str">
        <f aca="false">IF(D148="","",IF(COUNTIFS($B$5:$B$2004,B148,$D$5:$D$2004,D148)&gt;1,"DUPLICATE",IF(ISNA(MATCH(D148,Players!$B$5:$B$304,0)),"UID not found",IF(INDEX(Players!$H$5:$H$304,MATCH(D148,Players!$B$5:$B$304,0))&lt;0,"LOW BALANCE","OK"))))</f>
        <v/>
      </c>
      <c r="G148" s="1"/>
      <c r="H148" s="1"/>
      <c r="I148" s="1"/>
    </row>
    <row r="149" customFormat="false" ht="21.75" hidden="false" customHeight="true" outlineLevel="0" collapsed="false">
      <c r="A149" s="1"/>
      <c r="B149" s="16"/>
      <c r="C149" s="16"/>
      <c r="D149" s="15"/>
      <c r="E149" s="11" t="str">
        <f aca="false">IF(D149="","",IFERROR(INDEX(Players!$C$5:$C$304,MATCH(D149,Players!$B$5:$B$304,0)),""))</f>
        <v/>
      </c>
      <c r="F149" s="22" t="str">
        <f aca="false">IF(D149="","",IF(COUNTIFS($B$5:$B$2004,B149,$D$5:$D$2004,D149)&gt;1,"DUPLICATE",IF(ISNA(MATCH(D149,Players!$B$5:$B$304,0)),"UID not found",IF(INDEX(Players!$H$5:$H$304,MATCH(D149,Players!$B$5:$B$304,0))&lt;0,"LOW BALANCE","OK"))))</f>
        <v/>
      </c>
      <c r="G149" s="1"/>
      <c r="H149" s="1"/>
      <c r="I149" s="1"/>
    </row>
    <row r="150" customFormat="false" ht="21.75" hidden="false" customHeight="true" outlineLevel="0" collapsed="false">
      <c r="A150" s="1"/>
      <c r="B150" s="16"/>
      <c r="C150" s="16"/>
      <c r="D150" s="15"/>
      <c r="E150" s="11" t="str">
        <f aca="false">IF(D150="","",IFERROR(INDEX(Players!$C$5:$C$304,MATCH(D150,Players!$B$5:$B$304,0)),""))</f>
        <v/>
      </c>
      <c r="F150" s="22" t="str">
        <f aca="false">IF(D150="","",IF(COUNTIFS($B$5:$B$2004,B150,$D$5:$D$2004,D150)&gt;1,"DUPLICATE",IF(ISNA(MATCH(D150,Players!$B$5:$B$304,0)),"UID not found",IF(INDEX(Players!$H$5:$H$304,MATCH(D150,Players!$B$5:$B$304,0))&lt;0,"LOW BALANCE","OK"))))</f>
        <v/>
      </c>
      <c r="G150" s="1"/>
      <c r="H150" s="1"/>
      <c r="I150" s="1"/>
    </row>
    <row r="151" customFormat="false" ht="21.75" hidden="false" customHeight="true" outlineLevel="0" collapsed="false">
      <c r="A151" s="1"/>
      <c r="B151" s="16"/>
      <c r="C151" s="16"/>
      <c r="D151" s="15"/>
      <c r="E151" s="11" t="str">
        <f aca="false">IF(D151="","",IFERROR(INDEX(Players!$C$5:$C$304,MATCH(D151,Players!$B$5:$B$304,0)),""))</f>
        <v/>
      </c>
      <c r="F151" s="22" t="str">
        <f aca="false">IF(D151="","",IF(COUNTIFS($B$5:$B$2004,B151,$D$5:$D$2004,D151)&gt;1,"DUPLICATE",IF(ISNA(MATCH(D151,Players!$B$5:$B$304,0)),"UID not found",IF(INDEX(Players!$H$5:$H$304,MATCH(D151,Players!$B$5:$B$304,0))&lt;0,"LOW BALANCE","OK"))))</f>
        <v/>
      </c>
      <c r="G151" s="1"/>
      <c r="H151" s="1"/>
      <c r="I151" s="1"/>
    </row>
    <row r="152" customFormat="false" ht="21.75" hidden="false" customHeight="true" outlineLevel="0" collapsed="false">
      <c r="A152" s="1"/>
      <c r="B152" s="16"/>
      <c r="C152" s="16"/>
      <c r="D152" s="15"/>
      <c r="E152" s="11" t="str">
        <f aca="false">IF(D152="","",IFERROR(INDEX(Players!$C$5:$C$304,MATCH(D152,Players!$B$5:$B$304,0)),""))</f>
        <v/>
      </c>
      <c r="F152" s="22" t="str">
        <f aca="false">IF(D152="","",IF(COUNTIFS($B$5:$B$2004,B152,$D$5:$D$2004,D152)&gt;1,"DUPLICATE",IF(ISNA(MATCH(D152,Players!$B$5:$B$304,0)),"UID not found",IF(INDEX(Players!$H$5:$H$304,MATCH(D152,Players!$B$5:$B$304,0))&lt;0,"LOW BALANCE","OK"))))</f>
        <v/>
      </c>
      <c r="G152" s="1"/>
      <c r="H152" s="1"/>
      <c r="I152" s="1"/>
    </row>
    <row r="153" customFormat="false" ht="21.75" hidden="false" customHeight="true" outlineLevel="0" collapsed="false">
      <c r="A153" s="1"/>
      <c r="B153" s="16"/>
      <c r="C153" s="16"/>
      <c r="D153" s="15"/>
      <c r="E153" s="11" t="str">
        <f aca="false">IF(D153="","",IFERROR(INDEX(Players!$C$5:$C$304,MATCH(D153,Players!$B$5:$B$304,0)),""))</f>
        <v/>
      </c>
      <c r="F153" s="22" t="str">
        <f aca="false">IF(D153="","",IF(COUNTIFS($B$5:$B$2004,B153,$D$5:$D$2004,D153)&gt;1,"DUPLICATE",IF(ISNA(MATCH(D153,Players!$B$5:$B$304,0)),"UID not found",IF(INDEX(Players!$H$5:$H$304,MATCH(D153,Players!$B$5:$B$304,0))&lt;0,"LOW BALANCE","OK"))))</f>
        <v/>
      </c>
      <c r="G153" s="1"/>
      <c r="H153" s="1"/>
      <c r="I153" s="1"/>
    </row>
    <row r="154" customFormat="false" ht="21.75" hidden="false" customHeight="true" outlineLevel="0" collapsed="false">
      <c r="A154" s="1"/>
      <c r="B154" s="16"/>
      <c r="C154" s="16"/>
      <c r="D154" s="15"/>
      <c r="E154" s="11" t="str">
        <f aca="false">IF(D154="","",IFERROR(INDEX(Players!$C$5:$C$304,MATCH(D154,Players!$B$5:$B$304,0)),""))</f>
        <v/>
      </c>
      <c r="F154" s="22" t="str">
        <f aca="false">IF(D154="","",IF(COUNTIFS($B$5:$B$2004,B154,$D$5:$D$2004,D154)&gt;1,"DUPLICATE",IF(ISNA(MATCH(D154,Players!$B$5:$B$304,0)),"UID not found",IF(INDEX(Players!$H$5:$H$304,MATCH(D154,Players!$B$5:$B$304,0))&lt;0,"LOW BALANCE","OK"))))</f>
        <v/>
      </c>
      <c r="G154" s="1"/>
      <c r="H154" s="1"/>
      <c r="I154" s="1"/>
    </row>
    <row r="155" customFormat="false" ht="21.75" hidden="false" customHeight="true" outlineLevel="0" collapsed="false">
      <c r="A155" s="1"/>
      <c r="B155" s="16"/>
      <c r="C155" s="16"/>
      <c r="D155" s="15"/>
      <c r="E155" s="11" t="str">
        <f aca="false">IF(D155="","",IFERROR(INDEX(Players!$C$5:$C$304,MATCH(D155,Players!$B$5:$B$304,0)),""))</f>
        <v/>
      </c>
      <c r="F155" s="22" t="str">
        <f aca="false">IF(D155="","",IF(COUNTIFS($B$5:$B$2004,B155,$D$5:$D$2004,D155)&gt;1,"DUPLICATE",IF(ISNA(MATCH(D155,Players!$B$5:$B$304,0)),"UID not found",IF(INDEX(Players!$H$5:$H$304,MATCH(D155,Players!$B$5:$B$304,0))&lt;0,"LOW BALANCE","OK"))))</f>
        <v/>
      </c>
      <c r="G155" s="1"/>
      <c r="H155" s="1"/>
      <c r="I155" s="1"/>
    </row>
    <row r="156" customFormat="false" ht="21.75" hidden="false" customHeight="true" outlineLevel="0" collapsed="false">
      <c r="A156" s="1"/>
      <c r="B156" s="16"/>
      <c r="C156" s="16"/>
      <c r="D156" s="15"/>
      <c r="E156" s="11" t="str">
        <f aca="false">IF(D156="","",IFERROR(INDEX(Players!$C$5:$C$304,MATCH(D156,Players!$B$5:$B$304,0)),""))</f>
        <v/>
      </c>
      <c r="F156" s="22" t="str">
        <f aca="false">IF(D156="","",IF(COUNTIFS($B$5:$B$2004,B156,$D$5:$D$2004,D156)&gt;1,"DUPLICATE",IF(ISNA(MATCH(D156,Players!$B$5:$B$304,0)),"UID not found",IF(INDEX(Players!$H$5:$H$304,MATCH(D156,Players!$B$5:$B$304,0))&lt;0,"LOW BALANCE","OK"))))</f>
        <v/>
      </c>
      <c r="G156" s="1"/>
      <c r="H156" s="1"/>
      <c r="I156" s="1"/>
    </row>
    <row r="157" customFormat="false" ht="21.75" hidden="false" customHeight="true" outlineLevel="0" collapsed="false">
      <c r="A157" s="1"/>
      <c r="B157" s="16"/>
      <c r="C157" s="16"/>
      <c r="D157" s="15"/>
      <c r="E157" s="11" t="str">
        <f aca="false">IF(D157="","",IFERROR(INDEX(Players!$C$5:$C$304,MATCH(D157,Players!$B$5:$B$304,0)),""))</f>
        <v/>
      </c>
      <c r="F157" s="22" t="str">
        <f aca="false">IF(D157="","",IF(COUNTIFS($B$5:$B$2004,B157,$D$5:$D$2004,D157)&gt;1,"DUPLICATE",IF(ISNA(MATCH(D157,Players!$B$5:$B$304,0)),"UID not found",IF(INDEX(Players!$H$5:$H$304,MATCH(D157,Players!$B$5:$B$304,0))&lt;0,"LOW BALANCE","OK"))))</f>
        <v/>
      </c>
      <c r="G157" s="1"/>
      <c r="H157" s="1"/>
      <c r="I157" s="1"/>
    </row>
    <row r="158" customFormat="false" ht="21.75" hidden="false" customHeight="true" outlineLevel="0" collapsed="false">
      <c r="A158" s="1"/>
      <c r="B158" s="16"/>
      <c r="C158" s="16"/>
      <c r="D158" s="15"/>
      <c r="E158" s="11" t="str">
        <f aca="false">IF(D158="","",IFERROR(INDEX(Players!$C$5:$C$304,MATCH(D158,Players!$B$5:$B$304,0)),""))</f>
        <v/>
      </c>
      <c r="F158" s="22" t="str">
        <f aca="false">IF(D158="","",IF(COUNTIFS($B$5:$B$2004,B158,$D$5:$D$2004,D158)&gt;1,"DUPLICATE",IF(ISNA(MATCH(D158,Players!$B$5:$B$304,0)),"UID not found",IF(INDEX(Players!$H$5:$H$304,MATCH(D158,Players!$B$5:$B$304,0))&lt;0,"LOW BALANCE","OK"))))</f>
        <v/>
      </c>
      <c r="G158" s="1"/>
      <c r="H158" s="1"/>
      <c r="I158" s="1"/>
    </row>
    <row r="159" customFormat="false" ht="21.75" hidden="false" customHeight="true" outlineLevel="0" collapsed="false">
      <c r="A159" s="1"/>
      <c r="B159" s="16"/>
      <c r="C159" s="16"/>
      <c r="D159" s="15"/>
      <c r="E159" s="11" t="str">
        <f aca="false">IF(D159="","",IFERROR(INDEX(Players!$C$5:$C$304,MATCH(D159,Players!$B$5:$B$304,0)),""))</f>
        <v/>
      </c>
      <c r="F159" s="22" t="str">
        <f aca="false">IF(D159="","",IF(COUNTIFS($B$5:$B$2004,B159,$D$5:$D$2004,D159)&gt;1,"DUPLICATE",IF(ISNA(MATCH(D159,Players!$B$5:$B$304,0)),"UID not found",IF(INDEX(Players!$H$5:$H$304,MATCH(D159,Players!$B$5:$B$304,0))&lt;0,"LOW BALANCE","OK"))))</f>
        <v/>
      </c>
      <c r="G159" s="1"/>
      <c r="H159" s="1"/>
      <c r="I159" s="1"/>
    </row>
    <row r="160" customFormat="false" ht="21.75" hidden="false" customHeight="true" outlineLevel="0" collapsed="false">
      <c r="A160" s="1"/>
      <c r="B160" s="16"/>
      <c r="C160" s="16"/>
      <c r="D160" s="15"/>
      <c r="E160" s="11" t="str">
        <f aca="false">IF(D160="","",IFERROR(INDEX(Players!$C$5:$C$304,MATCH(D160,Players!$B$5:$B$304,0)),""))</f>
        <v/>
      </c>
      <c r="F160" s="22" t="str">
        <f aca="false">IF(D160="","",IF(COUNTIFS($B$5:$B$2004,B160,$D$5:$D$2004,D160)&gt;1,"DUPLICATE",IF(ISNA(MATCH(D160,Players!$B$5:$B$304,0)),"UID not found",IF(INDEX(Players!$H$5:$H$304,MATCH(D160,Players!$B$5:$B$304,0))&lt;0,"LOW BALANCE","OK"))))</f>
        <v/>
      </c>
      <c r="G160" s="1"/>
      <c r="H160" s="1"/>
      <c r="I160" s="1"/>
    </row>
    <row r="161" customFormat="false" ht="21.75" hidden="false" customHeight="true" outlineLevel="0" collapsed="false">
      <c r="A161" s="1"/>
      <c r="B161" s="16"/>
      <c r="C161" s="16"/>
      <c r="D161" s="15"/>
      <c r="E161" s="11" t="str">
        <f aca="false">IF(D161="","",IFERROR(INDEX(Players!$C$5:$C$304,MATCH(D161,Players!$B$5:$B$304,0)),""))</f>
        <v/>
      </c>
      <c r="F161" s="22" t="str">
        <f aca="false">IF(D161="","",IF(COUNTIFS($B$5:$B$2004,B161,$D$5:$D$2004,D161)&gt;1,"DUPLICATE",IF(ISNA(MATCH(D161,Players!$B$5:$B$304,0)),"UID not found",IF(INDEX(Players!$H$5:$H$304,MATCH(D161,Players!$B$5:$B$304,0))&lt;0,"LOW BALANCE","OK"))))</f>
        <v/>
      </c>
      <c r="G161" s="1"/>
      <c r="H161" s="1"/>
      <c r="I161" s="1"/>
    </row>
    <row r="162" customFormat="false" ht="21.75" hidden="false" customHeight="true" outlineLevel="0" collapsed="false">
      <c r="A162" s="1"/>
      <c r="B162" s="16"/>
      <c r="C162" s="16"/>
      <c r="D162" s="15"/>
      <c r="E162" s="11" t="str">
        <f aca="false">IF(D162="","",IFERROR(INDEX(Players!$C$5:$C$304,MATCH(D162,Players!$B$5:$B$304,0)),""))</f>
        <v/>
      </c>
      <c r="F162" s="22" t="str">
        <f aca="false">IF(D162="","",IF(COUNTIFS($B$5:$B$2004,B162,$D$5:$D$2004,D162)&gt;1,"DUPLICATE",IF(ISNA(MATCH(D162,Players!$B$5:$B$304,0)),"UID not found",IF(INDEX(Players!$H$5:$H$304,MATCH(D162,Players!$B$5:$B$304,0))&lt;0,"LOW BALANCE","OK"))))</f>
        <v/>
      </c>
      <c r="G162" s="1"/>
      <c r="H162" s="1"/>
      <c r="I162" s="1"/>
    </row>
    <row r="163" customFormat="false" ht="21.75" hidden="false" customHeight="true" outlineLevel="0" collapsed="false">
      <c r="A163" s="1"/>
      <c r="B163" s="16"/>
      <c r="C163" s="16"/>
      <c r="D163" s="15"/>
      <c r="E163" s="11" t="str">
        <f aca="false">IF(D163="","",IFERROR(INDEX(Players!$C$5:$C$304,MATCH(D163,Players!$B$5:$B$304,0)),""))</f>
        <v/>
      </c>
      <c r="F163" s="22" t="str">
        <f aca="false">IF(D163="","",IF(COUNTIFS($B$5:$B$2004,B163,$D$5:$D$2004,D163)&gt;1,"DUPLICATE",IF(ISNA(MATCH(D163,Players!$B$5:$B$304,0)),"UID not found",IF(INDEX(Players!$H$5:$H$304,MATCH(D163,Players!$B$5:$B$304,0))&lt;0,"LOW BALANCE","OK"))))</f>
        <v/>
      </c>
      <c r="G163" s="1"/>
      <c r="H163" s="1"/>
      <c r="I163" s="1"/>
    </row>
    <row r="164" customFormat="false" ht="21.75" hidden="false" customHeight="true" outlineLevel="0" collapsed="false">
      <c r="A164" s="1"/>
      <c r="B164" s="16"/>
      <c r="C164" s="16"/>
      <c r="D164" s="15"/>
      <c r="E164" s="11" t="str">
        <f aca="false">IF(D164="","",IFERROR(INDEX(Players!$C$5:$C$304,MATCH(D164,Players!$B$5:$B$304,0)),""))</f>
        <v/>
      </c>
      <c r="F164" s="22" t="str">
        <f aca="false">IF(D164="","",IF(COUNTIFS($B$5:$B$2004,B164,$D$5:$D$2004,D164)&gt;1,"DUPLICATE",IF(ISNA(MATCH(D164,Players!$B$5:$B$304,0)),"UID not found",IF(INDEX(Players!$H$5:$H$304,MATCH(D164,Players!$B$5:$B$304,0))&lt;0,"LOW BALANCE","OK"))))</f>
        <v/>
      </c>
      <c r="G164" s="1"/>
      <c r="H164" s="1"/>
      <c r="I164" s="1"/>
    </row>
    <row r="165" customFormat="false" ht="21.75" hidden="false" customHeight="true" outlineLevel="0" collapsed="false">
      <c r="A165" s="1"/>
      <c r="B165" s="16"/>
      <c r="C165" s="16"/>
      <c r="D165" s="15"/>
      <c r="E165" s="11" t="str">
        <f aca="false">IF(D165="","",IFERROR(INDEX(Players!$C$5:$C$304,MATCH(D165,Players!$B$5:$B$304,0)),""))</f>
        <v/>
      </c>
      <c r="F165" s="22" t="str">
        <f aca="false">IF(D165="","",IF(COUNTIFS($B$5:$B$2004,B165,$D$5:$D$2004,D165)&gt;1,"DUPLICATE",IF(ISNA(MATCH(D165,Players!$B$5:$B$304,0)),"UID not found",IF(INDEX(Players!$H$5:$H$304,MATCH(D165,Players!$B$5:$B$304,0))&lt;0,"LOW BALANCE","OK"))))</f>
        <v/>
      </c>
      <c r="G165" s="1"/>
      <c r="H165" s="1"/>
      <c r="I165" s="1"/>
    </row>
    <row r="166" customFormat="false" ht="21.75" hidden="false" customHeight="true" outlineLevel="0" collapsed="false">
      <c r="A166" s="1"/>
      <c r="B166" s="16"/>
      <c r="C166" s="16"/>
      <c r="D166" s="15"/>
      <c r="E166" s="11" t="str">
        <f aca="false">IF(D166="","",IFERROR(INDEX(Players!$C$5:$C$304,MATCH(D166,Players!$B$5:$B$304,0)),""))</f>
        <v/>
      </c>
      <c r="F166" s="22" t="str">
        <f aca="false">IF(D166="","",IF(COUNTIFS($B$5:$B$2004,B166,$D$5:$D$2004,D166)&gt;1,"DUPLICATE",IF(ISNA(MATCH(D166,Players!$B$5:$B$304,0)),"UID not found",IF(INDEX(Players!$H$5:$H$304,MATCH(D166,Players!$B$5:$B$304,0))&lt;0,"LOW BALANCE","OK"))))</f>
        <v/>
      </c>
      <c r="G166" s="1"/>
      <c r="H166" s="1"/>
      <c r="I166" s="1"/>
    </row>
    <row r="167" customFormat="false" ht="21.75" hidden="false" customHeight="true" outlineLevel="0" collapsed="false">
      <c r="A167" s="1"/>
      <c r="B167" s="16"/>
      <c r="C167" s="16"/>
      <c r="D167" s="15"/>
      <c r="E167" s="11" t="str">
        <f aca="false">IF(D167="","",IFERROR(INDEX(Players!$C$5:$C$304,MATCH(D167,Players!$B$5:$B$304,0)),""))</f>
        <v/>
      </c>
      <c r="F167" s="22" t="str">
        <f aca="false">IF(D167="","",IF(COUNTIFS($B$5:$B$2004,B167,$D$5:$D$2004,D167)&gt;1,"DUPLICATE",IF(ISNA(MATCH(D167,Players!$B$5:$B$304,0)),"UID not found",IF(INDEX(Players!$H$5:$H$304,MATCH(D167,Players!$B$5:$B$304,0))&lt;0,"LOW BALANCE","OK"))))</f>
        <v/>
      </c>
      <c r="G167" s="1"/>
      <c r="H167" s="1"/>
      <c r="I167" s="1"/>
    </row>
    <row r="168" customFormat="false" ht="21.75" hidden="false" customHeight="true" outlineLevel="0" collapsed="false">
      <c r="A168" s="1"/>
      <c r="B168" s="16"/>
      <c r="C168" s="16"/>
      <c r="D168" s="15"/>
      <c r="E168" s="11" t="str">
        <f aca="false">IF(D168="","",IFERROR(INDEX(Players!$C$5:$C$304,MATCH(D168,Players!$B$5:$B$304,0)),""))</f>
        <v/>
      </c>
      <c r="F168" s="22" t="str">
        <f aca="false">IF(D168="","",IF(COUNTIFS($B$5:$B$2004,B168,$D$5:$D$2004,D168)&gt;1,"DUPLICATE",IF(ISNA(MATCH(D168,Players!$B$5:$B$304,0)),"UID not found",IF(INDEX(Players!$H$5:$H$304,MATCH(D168,Players!$B$5:$B$304,0))&lt;0,"LOW BALANCE","OK"))))</f>
        <v/>
      </c>
      <c r="G168" s="1"/>
      <c r="H168" s="1"/>
      <c r="I168" s="1"/>
    </row>
    <row r="169" customFormat="false" ht="21.75" hidden="false" customHeight="true" outlineLevel="0" collapsed="false">
      <c r="A169" s="1"/>
      <c r="B169" s="16"/>
      <c r="C169" s="16"/>
      <c r="D169" s="15"/>
      <c r="E169" s="11" t="str">
        <f aca="false">IF(D169="","",IFERROR(INDEX(Players!$C$5:$C$304,MATCH(D169,Players!$B$5:$B$304,0)),""))</f>
        <v/>
      </c>
      <c r="F169" s="22" t="str">
        <f aca="false">IF(D169="","",IF(COUNTIFS($B$5:$B$2004,B169,$D$5:$D$2004,D169)&gt;1,"DUPLICATE",IF(ISNA(MATCH(D169,Players!$B$5:$B$304,0)),"UID not found",IF(INDEX(Players!$H$5:$H$304,MATCH(D169,Players!$B$5:$B$304,0))&lt;0,"LOW BALANCE","OK"))))</f>
        <v/>
      </c>
      <c r="G169" s="1"/>
      <c r="H169" s="1"/>
      <c r="I169" s="1"/>
    </row>
    <row r="170" customFormat="false" ht="21.75" hidden="false" customHeight="true" outlineLevel="0" collapsed="false">
      <c r="A170" s="1"/>
      <c r="B170" s="16"/>
      <c r="C170" s="16"/>
      <c r="D170" s="15"/>
      <c r="E170" s="11" t="str">
        <f aca="false">IF(D170="","",IFERROR(INDEX(Players!$C$5:$C$304,MATCH(D170,Players!$B$5:$B$304,0)),""))</f>
        <v/>
      </c>
      <c r="F170" s="22" t="str">
        <f aca="false">IF(D170="","",IF(COUNTIFS($B$5:$B$2004,B170,$D$5:$D$2004,D170)&gt;1,"DUPLICATE",IF(ISNA(MATCH(D170,Players!$B$5:$B$304,0)),"UID not found",IF(INDEX(Players!$H$5:$H$304,MATCH(D170,Players!$B$5:$B$304,0))&lt;0,"LOW BALANCE","OK"))))</f>
        <v/>
      </c>
      <c r="G170" s="1"/>
      <c r="H170" s="1"/>
      <c r="I170" s="1"/>
    </row>
    <row r="171" customFormat="false" ht="21.75" hidden="false" customHeight="true" outlineLevel="0" collapsed="false">
      <c r="A171" s="1"/>
      <c r="B171" s="16"/>
      <c r="C171" s="16"/>
      <c r="D171" s="15"/>
      <c r="E171" s="11" t="str">
        <f aca="false">IF(D171="","",IFERROR(INDEX(Players!$C$5:$C$304,MATCH(D171,Players!$B$5:$B$304,0)),""))</f>
        <v/>
      </c>
      <c r="F171" s="22" t="str">
        <f aca="false">IF(D171="","",IF(COUNTIFS($B$5:$B$2004,B171,$D$5:$D$2004,D171)&gt;1,"DUPLICATE",IF(ISNA(MATCH(D171,Players!$B$5:$B$304,0)),"UID not found",IF(INDEX(Players!$H$5:$H$304,MATCH(D171,Players!$B$5:$B$304,0))&lt;0,"LOW BALANCE","OK"))))</f>
        <v/>
      </c>
      <c r="G171" s="1"/>
      <c r="H171" s="1"/>
      <c r="I171" s="1"/>
    </row>
    <row r="172" customFormat="false" ht="21.75" hidden="false" customHeight="true" outlineLevel="0" collapsed="false">
      <c r="A172" s="1"/>
      <c r="B172" s="16"/>
      <c r="C172" s="16"/>
      <c r="D172" s="15"/>
      <c r="E172" s="11" t="str">
        <f aca="false">IF(D172="","",IFERROR(INDEX(Players!$C$5:$C$304,MATCH(D172,Players!$B$5:$B$304,0)),""))</f>
        <v/>
      </c>
      <c r="F172" s="22" t="str">
        <f aca="false">IF(D172="","",IF(COUNTIFS($B$5:$B$2004,B172,$D$5:$D$2004,D172)&gt;1,"DUPLICATE",IF(ISNA(MATCH(D172,Players!$B$5:$B$304,0)),"UID not found",IF(INDEX(Players!$H$5:$H$304,MATCH(D172,Players!$B$5:$B$304,0))&lt;0,"LOW BALANCE","OK"))))</f>
        <v/>
      </c>
      <c r="G172" s="1"/>
      <c r="H172" s="1"/>
      <c r="I172" s="1"/>
    </row>
    <row r="173" customFormat="false" ht="21.75" hidden="false" customHeight="true" outlineLevel="0" collapsed="false">
      <c r="A173" s="1"/>
      <c r="B173" s="16"/>
      <c r="C173" s="16"/>
      <c r="D173" s="15"/>
      <c r="E173" s="11" t="str">
        <f aca="false">IF(D173="","",IFERROR(INDEX(Players!$C$5:$C$304,MATCH(D173,Players!$B$5:$B$304,0)),""))</f>
        <v/>
      </c>
      <c r="F173" s="22" t="str">
        <f aca="false">IF(D173="","",IF(COUNTIFS($B$5:$B$2004,B173,$D$5:$D$2004,D173)&gt;1,"DUPLICATE",IF(ISNA(MATCH(D173,Players!$B$5:$B$304,0)),"UID not found",IF(INDEX(Players!$H$5:$H$304,MATCH(D173,Players!$B$5:$B$304,0))&lt;0,"LOW BALANCE","OK"))))</f>
        <v/>
      </c>
      <c r="G173" s="1"/>
      <c r="H173" s="1"/>
      <c r="I173" s="1"/>
    </row>
    <row r="174" customFormat="false" ht="21.75" hidden="false" customHeight="true" outlineLevel="0" collapsed="false">
      <c r="A174" s="1"/>
      <c r="B174" s="16"/>
      <c r="C174" s="16"/>
      <c r="D174" s="15"/>
      <c r="E174" s="11" t="str">
        <f aca="false">IF(D174="","",IFERROR(INDEX(Players!$C$5:$C$304,MATCH(D174,Players!$B$5:$B$304,0)),""))</f>
        <v/>
      </c>
      <c r="F174" s="22" t="str">
        <f aca="false">IF(D174="","",IF(COUNTIFS($B$5:$B$2004,B174,$D$5:$D$2004,D174)&gt;1,"DUPLICATE",IF(ISNA(MATCH(D174,Players!$B$5:$B$304,0)),"UID not found",IF(INDEX(Players!$H$5:$H$304,MATCH(D174,Players!$B$5:$B$304,0))&lt;0,"LOW BALANCE","OK"))))</f>
        <v/>
      </c>
      <c r="G174" s="1"/>
      <c r="H174" s="1"/>
      <c r="I174" s="1"/>
    </row>
    <row r="175" customFormat="false" ht="21.75" hidden="false" customHeight="true" outlineLevel="0" collapsed="false">
      <c r="A175" s="1"/>
      <c r="B175" s="16"/>
      <c r="C175" s="16"/>
      <c r="D175" s="15"/>
      <c r="E175" s="11" t="str">
        <f aca="false">IF(D175="","",IFERROR(INDEX(Players!$C$5:$C$304,MATCH(D175,Players!$B$5:$B$304,0)),""))</f>
        <v/>
      </c>
      <c r="F175" s="22" t="str">
        <f aca="false">IF(D175="","",IF(COUNTIFS($B$5:$B$2004,B175,$D$5:$D$2004,D175)&gt;1,"DUPLICATE",IF(ISNA(MATCH(D175,Players!$B$5:$B$304,0)),"UID not found",IF(INDEX(Players!$H$5:$H$304,MATCH(D175,Players!$B$5:$B$304,0))&lt;0,"LOW BALANCE","OK"))))</f>
        <v/>
      </c>
      <c r="G175" s="1"/>
      <c r="H175" s="1"/>
      <c r="I175" s="1"/>
    </row>
    <row r="176" customFormat="false" ht="21.75" hidden="false" customHeight="true" outlineLevel="0" collapsed="false">
      <c r="A176" s="1"/>
      <c r="B176" s="16"/>
      <c r="C176" s="16"/>
      <c r="D176" s="15"/>
      <c r="E176" s="11" t="str">
        <f aca="false">IF(D176="","",IFERROR(INDEX(Players!$C$5:$C$304,MATCH(D176,Players!$B$5:$B$304,0)),""))</f>
        <v/>
      </c>
      <c r="F176" s="22" t="str">
        <f aca="false">IF(D176="","",IF(COUNTIFS($B$5:$B$2004,B176,$D$5:$D$2004,D176)&gt;1,"DUPLICATE",IF(ISNA(MATCH(D176,Players!$B$5:$B$304,0)),"UID not found",IF(INDEX(Players!$H$5:$H$304,MATCH(D176,Players!$B$5:$B$304,0))&lt;0,"LOW BALANCE","OK"))))</f>
        <v/>
      </c>
      <c r="G176" s="1"/>
      <c r="H176" s="1"/>
      <c r="I176" s="1"/>
    </row>
    <row r="177" customFormat="false" ht="21.75" hidden="false" customHeight="true" outlineLevel="0" collapsed="false">
      <c r="A177" s="1"/>
      <c r="B177" s="16"/>
      <c r="C177" s="16"/>
      <c r="D177" s="15"/>
      <c r="E177" s="11" t="str">
        <f aca="false">IF(D177="","",IFERROR(INDEX(Players!$C$5:$C$304,MATCH(D177,Players!$B$5:$B$304,0)),""))</f>
        <v/>
      </c>
      <c r="F177" s="22" t="str">
        <f aca="false">IF(D177="","",IF(COUNTIFS($B$5:$B$2004,B177,$D$5:$D$2004,D177)&gt;1,"DUPLICATE",IF(ISNA(MATCH(D177,Players!$B$5:$B$304,0)),"UID not found",IF(INDEX(Players!$H$5:$H$304,MATCH(D177,Players!$B$5:$B$304,0))&lt;0,"LOW BALANCE","OK"))))</f>
        <v/>
      </c>
      <c r="G177" s="1"/>
      <c r="H177" s="1"/>
      <c r="I177" s="1"/>
    </row>
    <row r="178" customFormat="false" ht="21.75" hidden="false" customHeight="true" outlineLevel="0" collapsed="false">
      <c r="A178" s="1"/>
      <c r="B178" s="16"/>
      <c r="C178" s="16"/>
      <c r="D178" s="15"/>
      <c r="E178" s="11" t="str">
        <f aca="false">IF(D178="","",IFERROR(INDEX(Players!$C$5:$C$304,MATCH(D178,Players!$B$5:$B$304,0)),""))</f>
        <v/>
      </c>
      <c r="F178" s="22" t="str">
        <f aca="false">IF(D178="","",IF(COUNTIFS($B$5:$B$2004,B178,$D$5:$D$2004,D178)&gt;1,"DUPLICATE",IF(ISNA(MATCH(D178,Players!$B$5:$B$304,0)),"UID not found",IF(INDEX(Players!$H$5:$H$304,MATCH(D178,Players!$B$5:$B$304,0))&lt;0,"LOW BALANCE","OK"))))</f>
        <v/>
      </c>
      <c r="G178" s="1"/>
      <c r="H178" s="1"/>
      <c r="I178" s="1"/>
    </row>
    <row r="179" customFormat="false" ht="21.75" hidden="false" customHeight="true" outlineLevel="0" collapsed="false">
      <c r="A179" s="1"/>
      <c r="B179" s="16"/>
      <c r="C179" s="16"/>
      <c r="D179" s="15"/>
      <c r="E179" s="11" t="str">
        <f aca="false">IF(D179="","",IFERROR(INDEX(Players!$C$5:$C$304,MATCH(D179,Players!$B$5:$B$304,0)),""))</f>
        <v/>
      </c>
      <c r="F179" s="22" t="str">
        <f aca="false">IF(D179="","",IF(COUNTIFS($B$5:$B$2004,B179,$D$5:$D$2004,D179)&gt;1,"DUPLICATE",IF(ISNA(MATCH(D179,Players!$B$5:$B$304,0)),"UID not found",IF(INDEX(Players!$H$5:$H$304,MATCH(D179,Players!$B$5:$B$304,0))&lt;0,"LOW BALANCE","OK"))))</f>
        <v/>
      </c>
      <c r="G179" s="1"/>
      <c r="H179" s="1"/>
      <c r="I179" s="1"/>
    </row>
    <row r="180" customFormat="false" ht="21.75" hidden="false" customHeight="true" outlineLevel="0" collapsed="false">
      <c r="A180" s="1"/>
      <c r="B180" s="16"/>
      <c r="C180" s="16"/>
      <c r="D180" s="15"/>
      <c r="E180" s="11" t="str">
        <f aca="false">IF(D180="","",IFERROR(INDEX(Players!$C$5:$C$304,MATCH(D180,Players!$B$5:$B$304,0)),""))</f>
        <v/>
      </c>
      <c r="F180" s="22" t="str">
        <f aca="false">IF(D180="","",IF(COUNTIFS($B$5:$B$2004,B180,$D$5:$D$2004,D180)&gt;1,"DUPLICATE",IF(ISNA(MATCH(D180,Players!$B$5:$B$304,0)),"UID not found",IF(INDEX(Players!$H$5:$H$304,MATCH(D180,Players!$B$5:$B$304,0))&lt;0,"LOW BALANCE","OK"))))</f>
        <v/>
      </c>
      <c r="G180" s="1"/>
      <c r="H180" s="1"/>
      <c r="I180" s="1"/>
    </row>
    <row r="181" customFormat="false" ht="21.75" hidden="false" customHeight="true" outlineLevel="0" collapsed="false">
      <c r="A181" s="1"/>
      <c r="B181" s="16"/>
      <c r="C181" s="16"/>
      <c r="D181" s="15"/>
      <c r="E181" s="11" t="str">
        <f aca="false">IF(D181="","",IFERROR(INDEX(Players!$C$5:$C$304,MATCH(D181,Players!$B$5:$B$304,0)),""))</f>
        <v/>
      </c>
      <c r="F181" s="22" t="str">
        <f aca="false">IF(D181="","",IF(COUNTIFS($B$5:$B$2004,B181,$D$5:$D$2004,D181)&gt;1,"DUPLICATE",IF(ISNA(MATCH(D181,Players!$B$5:$B$304,0)),"UID not found",IF(INDEX(Players!$H$5:$H$304,MATCH(D181,Players!$B$5:$B$304,0))&lt;0,"LOW BALANCE","OK"))))</f>
        <v/>
      </c>
      <c r="G181" s="1"/>
      <c r="H181" s="1"/>
      <c r="I181" s="1"/>
    </row>
    <row r="182" customFormat="false" ht="21.75" hidden="false" customHeight="true" outlineLevel="0" collapsed="false">
      <c r="A182" s="1"/>
      <c r="B182" s="16"/>
      <c r="C182" s="16"/>
      <c r="D182" s="15"/>
      <c r="E182" s="11" t="str">
        <f aca="false">IF(D182="","",IFERROR(INDEX(Players!$C$5:$C$304,MATCH(D182,Players!$B$5:$B$304,0)),""))</f>
        <v/>
      </c>
      <c r="F182" s="22" t="str">
        <f aca="false">IF(D182="","",IF(COUNTIFS($B$5:$B$2004,B182,$D$5:$D$2004,D182)&gt;1,"DUPLICATE",IF(ISNA(MATCH(D182,Players!$B$5:$B$304,0)),"UID not found",IF(INDEX(Players!$H$5:$H$304,MATCH(D182,Players!$B$5:$B$304,0))&lt;0,"LOW BALANCE","OK"))))</f>
        <v/>
      </c>
      <c r="G182" s="1"/>
      <c r="H182" s="1"/>
      <c r="I182" s="1"/>
    </row>
    <row r="183" customFormat="false" ht="21.75" hidden="false" customHeight="true" outlineLevel="0" collapsed="false">
      <c r="A183" s="1"/>
      <c r="B183" s="16"/>
      <c r="C183" s="16"/>
      <c r="D183" s="15"/>
      <c r="E183" s="11" t="str">
        <f aca="false">IF(D183="","",IFERROR(INDEX(Players!$C$5:$C$304,MATCH(D183,Players!$B$5:$B$304,0)),""))</f>
        <v/>
      </c>
      <c r="F183" s="22" t="str">
        <f aca="false">IF(D183="","",IF(COUNTIFS($B$5:$B$2004,B183,$D$5:$D$2004,D183)&gt;1,"DUPLICATE",IF(ISNA(MATCH(D183,Players!$B$5:$B$304,0)),"UID not found",IF(INDEX(Players!$H$5:$H$304,MATCH(D183,Players!$B$5:$B$304,0))&lt;0,"LOW BALANCE","OK"))))</f>
        <v/>
      </c>
      <c r="G183" s="1"/>
      <c r="H183" s="1"/>
      <c r="I183" s="1"/>
    </row>
    <row r="184" customFormat="false" ht="21.75" hidden="false" customHeight="true" outlineLevel="0" collapsed="false">
      <c r="A184" s="1"/>
      <c r="B184" s="16"/>
      <c r="C184" s="16"/>
      <c r="D184" s="15"/>
      <c r="E184" s="11" t="str">
        <f aca="false">IF(D184="","",IFERROR(INDEX(Players!$C$5:$C$304,MATCH(D184,Players!$B$5:$B$304,0)),""))</f>
        <v/>
      </c>
      <c r="F184" s="22" t="str">
        <f aca="false">IF(D184="","",IF(COUNTIFS($B$5:$B$2004,B184,$D$5:$D$2004,D184)&gt;1,"DUPLICATE",IF(ISNA(MATCH(D184,Players!$B$5:$B$304,0)),"UID not found",IF(INDEX(Players!$H$5:$H$304,MATCH(D184,Players!$B$5:$B$304,0))&lt;0,"LOW BALANCE","OK"))))</f>
        <v/>
      </c>
      <c r="G184" s="1"/>
      <c r="H184" s="1"/>
      <c r="I184" s="1"/>
    </row>
    <row r="185" customFormat="false" ht="21.75" hidden="false" customHeight="true" outlineLevel="0" collapsed="false">
      <c r="A185" s="1"/>
      <c r="B185" s="16"/>
      <c r="C185" s="16"/>
      <c r="D185" s="15"/>
      <c r="E185" s="11" t="str">
        <f aca="false">IF(D185="","",IFERROR(INDEX(Players!$C$5:$C$304,MATCH(D185,Players!$B$5:$B$304,0)),""))</f>
        <v/>
      </c>
      <c r="F185" s="22" t="str">
        <f aca="false">IF(D185="","",IF(COUNTIFS($B$5:$B$2004,B185,$D$5:$D$2004,D185)&gt;1,"DUPLICATE",IF(ISNA(MATCH(D185,Players!$B$5:$B$304,0)),"UID not found",IF(INDEX(Players!$H$5:$H$304,MATCH(D185,Players!$B$5:$B$304,0))&lt;0,"LOW BALANCE","OK"))))</f>
        <v/>
      </c>
      <c r="G185" s="1"/>
      <c r="H185" s="1"/>
      <c r="I185" s="1"/>
    </row>
    <row r="186" customFormat="false" ht="21.75" hidden="false" customHeight="true" outlineLevel="0" collapsed="false">
      <c r="A186" s="1"/>
      <c r="B186" s="16"/>
      <c r="C186" s="16"/>
      <c r="D186" s="15"/>
      <c r="E186" s="11" t="str">
        <f aca="false">IF(D186="","",IFERROR(INDEX(Players!$C$5:$C$304,MATCH(D186,Players!$B$5:$B$304,0)),""))</f>
        <v/>
      </c>
      <c r="F186" s="22" t="str">
        <f aca="false">IF(D186="","",IF(COUNTIFS($B$5:$B$2004,B186,$D$5:$D$2004,D186)&gt;1,"DUPLICATE",IF(ISNA(MATCH(D186,Players!$B$5:$B$304,0)),"UID not found",IF(INDEX(Players!$H$5:$H$304,MATCH(D186,Players!$B$5:$B$304,0))&lt;0,"LOW BALANCE","OK"))))</f>
        <v/>
      </c>
      <c r="G186" s="1"/>
      <c r="H186" s="1"/>
      <c r="I186" s="1"/>
    </row>
    <row r="187" customFormat="false" ht="21.75" hidden="false" customHeight="true" outlineLevel="0" collapsed="false">
      <c r="A187" s="1"/>
      <c r="B187" s="16"/>
      <c r="C187" s="16"/>
      <c r="D187" s="15"/>
      <c r="E187" s="11" t="str">
        <f aca="false">IF(D187="","",IFERROR(INDEX(Players!$C$5:$C$304,MATCH(D187,Players!$B$5:$B$304,0)),""))</f>
        <v/>
      </c>
      <c r="F187" s="22" t="str">
        <f aca="false">IF(D187="","",IF(COUNTIFS($B$5:$B$2004,B187,$D$5:$D$2004,D187)&gt;1,"DUPLICATE",IF(ISNA(MATCH(D187,Players!$B$5:$B$304,0)),"UID not found",IF(INDEX(Players!$H$5:$H$304,MATCH(D187,Players!$B$5:$B$304,0))&lt;0,"LOW BALANCE","OK"))))</f>
        <v/>
      </c>
      <c r="G187" s="1"/>
      <c r="H187" s="1"/>
      <c r="I187" s="1"/>
    </row>
    <row r="188" customFormat="false" ht="21.75" hidden="false" customHeight="true" outlineLevel="0" collapsed="false">
      <c r="A188" s="1"/>
      <c r="B188" s="16"/>
      <c r="C188" s="16"/>
      <c r="D188" s="15"/>
      <c r="E188" s="11" t="str">
        <f aca="false">IF(D188="","",IFERROR(INDEX(Players!$C$5:$C$304,MATCH(D188,Players!$B$5:$B$304,0)),""))</f>
        <v/>
      </c>
      <c r="F188" s="22" t="str">
        <f aca="false">IF(D188="","",IF(COUNTIFS($B$5:$B$2004,B188,$D$5:$D$2004,D188)&gt;1,"DUPLICATE",IF(ISNA(MATCH(D188,Players!$B$5:$B$304,0)),"UID not found",IF(INDEX(Players!$H$5:$H$304,MATCH(D188,Players!$B$5:$B$304,0))&lt;0,"LOW BALANCE","OK"))))</f>
        <v/>
      </c>
      <c r="G188" s="1"/>
      <c r="H188" s="1"/>
      <c r="I188" s="1"/>
    </row>
    <row r="189" customFormat="false" ht="21.75" hidden="false" customHeight="true" outlineLevel="0" collapsed="false">
      <c r="A189" s="1"/>
      <c r="B189" s="16"/>
      <c r="C189" s="16"/>
      <c r="D189" s="15"/>
      <c r="E189" s="11" t="str">
        <f aca="false">IF(D189="","",IFERROR(INDEX(Players!$C$5:$C$304,MATCH(D189,Players!$B$5:$B$304,0)),""))</f>
        <v/>
      </c>
      <c r="F189" s="22" t="str">
        <f aca="false">IF(D189="","",IF(COUNTIFS($B$5:$B$2004,B189,$D$5:$D$2004,D189)&gt;1,"DUPLICATE",IF(ISNA(MATCH(D189,Players!$B$5:$B$304,0)),"UID not found",IF(INDEX(Players!$H$5:$H$304,MATCH(D189,Players!$B$5:$B$304,0))&lt;0,"LOW BALANCE","OK"))))</f>
        <v/>
      </c>
      <c r="G189" s="1"/>
      <c r="H189" s="1"/>
      <c r="I189" s="1"/>
    </row>
    <row r="190" customFormat="false" ht="21.75" hidden="false" customHeight="true" outlineLevel="0" collapsed="false">
      <c r="A190" s="1"/>
      <c r="B190" s="16"/>
      <c r="C190" s="16"/>
      <c r="D190" s="15"/>
      <c r="E190" s="11" t="str">
        <f aca="false">IF(D190="","",IFERROR(INDEX(Players!$C$5:$C$304,MATCH(D190,Players!$B$5:$B$304,0)),""))</f>
        <v/>
      </c>
      <c r="F190" s="22" t="str">
        <f aca="false">IF(D190="","",IF(COUNTIFS($B$5:$B$2004,B190,$D$5:$D$2004,D190)&gt;1,"DUPLICATE",IF(ISNA(MATCH(D190,Players!$B$5:$B$304,0)),"UID not found",IF(INDEX(Players!$H$5:$H$304,MATCH(D190,Players!$B$5:$B$304,0))&lt;0,"LOW BALANCE","OK"))))</f>
        <v/>
      </c>
      <c r="G190" s="1"/>
      <c r="H190" s="1"/>
      <c r="I190" s="1"/>
    </row>
    <row r="191" customFormat="false" ht="21.75" hidden="false" customHeight="true" outlineLevel="0" collapsed="false">
      <c r="A191" s="1"/>
      <c r="B191" s="16"/>
      <c r="C191" s="16"/>
      <c r="D191" s="15"/>
      <c r="E191" s="11" t="str">
        <f aca="false">IF(D191="","",IFERROR(INDEX(Players!$C$5:$C$304,MATCH(D191,Players!$B$5:$B$304,0)),""))</f>
        <v/>
      </c>
      <c r="F191" s="22" t="str">
        <f aca="false">IF(D191="","",IF(COUNTIFS($B$5:$B$2004,B191,$D$5:$D$2004,D191)&gt;1,"DUPLICATE",IF(ISNA(MATCH(D191,Players!$B$5:$B$304,0)),"UID not found",IF(INDEX(Players!$H$5:$H$304,MATCH(D191,Players!$B$5:$B$304,0))&lt;0,"LOW BALANCE","OK"))))</f>
        <v/>
      </c>
      <c r="G191" s="1"/>
      <c r="H191" s="1"/>
      <c r="I191" s="1"/>
    </row>
    <row r="192" customFormat="false" ht="21.75" hidden="false" customHeight="true" outlineLevel="0" collapsed="false">
      <c r="A192" s="1"/>
      <c r="B192" s="16"/>
      <c r="C192" s="16"/>
      <c r="D192" s="15"/>
      <c r="E192" s="11" t="str">
        <f aca="false">IF(D192="","",IFERROR(INDEX(Players!$C$5:$C$304,MATCH(D192,Players!$B$5:$B$304,0)),""))</f>
        <v/>
      </c>
      <c r="F192" s="22" t="str">
        <f aca="false">IF(D192="","",IF(COUNTIFS($B$5:$B$2004,B192,$D$5:$D$2004,D192)&gt;1,"DUPLICATE",IF(ISNA(MATCH(D192,Players!$B$5:$B$304,0)),"UID not found",IF(INDEX(Players!$H$5:$H$304,MATCH(D192,Players!$B$5:$B$304,0))&lt;0,"LOW BALANCE","OK"))))</f>
        <v/>
      </c>
      <c r="G192" s="1"/>
      <c r="H192" s="1"/>
      <c r="I192" s="1"/>
    </row>
    <row r="193" customFormat="false" ht="21.75" hidden="false" customHeight="true" outlineLevel="0" collapsed="false">
      <c r="A193" s="1"/>
      <c r="B193" s="16"/>
      <c r="C193" s="16"/>
      <c r="D193" s="15"/>
      <c r="E193" s="11" t="str">
        <f aca="false">IF(D193="","",IFERROR(INDEX(Players!$C$5:$C$304,MATCH(D193,Players!$B$5:$B$304,0)),""))</f>
        <v/>
      </c>
      <c r="F193" s="22" t="str">
        <f aca="false">IF(D193="","",IF(COUNTIFS($B$5:$B$2004,B193,$D$5:$D$2004,D193)&gt;1,"DUPLICATE",IF(ISNA(MATCH(D193,Players!$B$5:$B$304,0)),"UID not found",IF(INDEX(Players!$H$5:$H$304,MATCH(D193,Players!$B$5:$B$304,0))&lt;0,"LOW BALANCE","OK"))))</f>
        <v/>
      </c>
      <c r="G193" s="1"/>
      <c r="H193" s="1"/>
      <c r="I193" s="1"/>
    </row>
    <row r="194" customFormat="false" ht="21.75" hidden="false" customHeight="true" outlineLevel="0" collapsed="false">
      <c r="A194" s="1"/>
      <c r="B194" s="16"/>
      <c r="C194" s="16"/>
      <c r="D194" s="15"/>
      <c r="E194" s="11" t="str">
        <f aca="false">IF(D194="","",IFERROR(INDEX(Players!$C$5:$C$304,MATCH(D194,Players!$B$5:$B$304,0)),""))</f>
        <v/>
      </c>
      <c r="F194" s="22" t="str">
        <f aca="false">IF(D194="","",IF(COUNTIFS($B$5:$B$2004,B194,$D$5:$D$2004,D194)&gt;1,"DUPLICATE",IF(ISNA(MATCH(D194,Players!$B$5:$B$304,0)),"UID not found",IF(INDEX(Players!$H$5:$H$304,MATCH(D194,Players!$B$5:$B$304,0))&lt;0,"LOW BALANCE","OK"))))</f>
        <v/>
      </c>
      <c r="G194" s="1"/>
      <c r="H194" s="1"/>
      <c r="I194" s="1"/>
    </row>
    <row r="195" customFormat="false" ht="21.75" hidden="false" customHeight="true" outlineLevel="0" collapsed="false">
      <c r="A195" s="1"/>
      <c r="B195" s="16"/>
      <c r="C195" s="16"/>
      <c r="D195" s="15"/>
      <c r="E195" s="11" t="str">
        <f aca="false">IF(D195="","",IFERROR(INDEX(Players!$C$5:$C$304,MATCH(D195,Players!$B$5:$B$304,0)),""))</f>
        <v/>
      </c>
      <c r="F195" s="22" t="str">
        <f aca="false">IF(D195="","",IF(COUNTIFS($B$5:$B$2004,B195,$D$5:$D$2004,D195)&gt;1,"DUPLICATE",IF(ISNA(MATCH(D195,Players!$B$5:$B$304,0)),"UID not found",IF(INDEX(Players!$H$5:$H$304,MATCH(D195,Players!$B$5:$B$304,0))&lt;0,"LOW BALANCE","OK"))))</f>
        <v/>
      </c>
      <c r="G195" s="1"/>
      <c r="H195" s="1"/>
      <c r="I195" s="1"/>
    </row>
    <row r="196" customFormat="false" ht="21.75" hidden="false" customHeight="true" outlineLevel="0" collapsed="false">
      <c r="A196" s="1"/>
      <c r="B196" s="16"/>
      <c r="C196" s="16"/>
      <c r="D196" s="15"/>
      <c r="E196" s="11" t="str">
        <f aca="false">IF(D196="","",IFERROR(INDEX(Players!$C$5:$C$304,MATCH(D196,Players!$B$5:$B$304,0)),""))</f>
        <v/>
      </c>
      <c r="F196" s="22" t="str">
        <f aca="false">IF(D196="","",IF(COUNTIFS($B$5:$B$2004,B196,$D$5:$D$2004,D196)&gt;1,"DUPLICATE",IF(ISNA(MATCH(D196,Players!$B$5:$B$304,0)),"UID not found",IF(INDEX(Players!$H$5:$H$304,MATCH(D196,Players!$B$5:$B$304,0))&lt;0,"LOW BALANCE","OK"))))</f>
        <v/>
      </c>
      <c r="G196" s="1"/>
      <c r="H196" s="1"/>
      <c r="I196" s="1"/>
    </row>
    <row r="197" customFormat="false" ht="21.75" hidden="false" customHeight="true" outlineLevel="0" collapsed="false">
      <c r="A197" s="1"/>
      <c r="B197" s="16"/>
      <c r="C197" s="16"/>
      <c r="D197" s="15"/>
      <c r="E197" s="11" t="str">
        <f aca="false">IF(D197="","",IFERROR(INDEX(Players!$C$5:$C$304,MATCH(D197,Players!$B$5:$B$304,0)),""))</f>
        <v/>
      </c>
      <c r="F197" s="22" t="str">
        <f aca="false">IF(D197="","",IF(COUNTIFS($B$5:$B$2004,B197,$D$5:$D$2004,D197)&gt;1,"DUPLICATE",IF(ISNA(MATCH(D197,Players!$B$5:$B$304,0)),"UID not found",IF(INDEX(Players!$H$5:$H$304,MATCH(D197,Players!$B$5:$B$304,0))&lt;0,"LOW BALANCE","OK"))))</f>
        <v/>
      </c>
      <c r="G197" s="1"/>
      <c r="H197" s="1"/>
      <c r="I197" s="1"/>
    </row>
    <row r="198" customFormat="false" ht="21.75" hidden="false" customHeight="true" outlineLevel="0" collapsed="false">
      <c r="A198" s="1"/>
      <c r="B198" s="16"/>
      <c r="C198" s="16"/>
      <c r="D198" s="15"/>
      <c r="E198" s="11" t="str">
        <f aca="false">IF(D198="","",IFERROR(INDEX(Players!$C$5:$C$304,MATCH(D198,Players!$B$5:$B$304,0)),""))</f>
        <v/>
      </c>
      <c r="F198" s="22" t="str">
        <f aca="false">IF(D198="","",IF(COUNTIFS($B$5:$B$2004,B198,$D$5:$D$2004,D198)&gt;1,"DUPLICATE",IF(ISNA(MATCH(D198,Players!$B$5:$B$304,0)),"UID not found",IF(INDEX(Players!$H$5:$H$304,MATCH(D198,Players!$B$5:$B$304,0))&lt;0,"LOW BALANCE","OK"))))</f>
        <v/>
      </c>
      <c r="G198" s="1"/>
      <c r="H198" s="1"/>
      <c r="I198" s="1"/>
    </row>
    <row r="199" customFormat="false" ht="21.75" hidden="false" customHeight="true" outlineLevel="0" collapsed="false">
      <c r="A199" s="1"/>
      <c r="B199" s="16"/>
      <c r="C199" s="16"/>
      <c r="D199" s="15"/>
      <c r="E199" s="11" t="str">
        <f aca="false">IF(D199="","",IFERROR(INDEX(Players!$C$5:$C$304,MATCH(D199,Players!$B$5:$B$304,0)),""))</f>
        <v/>
      </c>
      <c r="F199" s="22" t="str">
        <f aca="false">IF(D199="","",IF(COUNTIFS($B$5:$B$2004,B199,$D$5:$D$2004,D199)&gt;1,"DUPLICATE",IF(ISNA(MATCH(D199,Players!$B$5:$B$304,0)),"UID not found",IF(INDEX(Players!$H$5:$H$304,MATCH(D199,Players!$B$5:$B$304,0))&lt;0,"LOW BALANCE","OK"))))</f>
        <v/>
      </c>
      <c r="G199" s="1"/>
      <c r="H199" s="1"/>
      <c r="I199" s="1"/>
    </row>
    <row r="200" customFormat="false" ht="21.75" hidden="false" customHeight="true" outlineLevel="0" collapsed="false">
      <c r="A200" s="1"/>
      <c r="B200" s="16"/>
      <c r="C200" s="16"/>
      <c r="D200" s="15"/>
      <c r="E200" s="11" t="str">
        <f aca="false">IF(D200="","",IFERROR(INDEX(Players!$C$5:$C$304,MATCH(D200,Players!$B$5:$B$304,0)),""))</f>
        <v/>
      </c>
      <c r="F200" s="22" t="str">
        <f aca="false">IF(D200="","",IF(COUNTIFS($B$5:$B$2004,B200,$D$5:$D$2004,D200)&gt;1,"DUPLICATE",IF(ISNA(MATCH(D200,Players!$B$5:$B$304,0)),"UID not found",IF(INDEX(Players!$H$5:$H$304,MATCH(D200,Players!$B$5:$B$304,0))&lt;0,"LOW BALANCE","OK"))))</f>
        <v/>
      </c>
      <c r="G200" s="1"/>
      <c r="H200" s="1"/>
      <c r="I200" s="1"/>
    </row>
    <row r="201" customFormat="false" ht="21.75" hidden="false" customHeight="true" outlineLevel="0" collapsed="false">
      <c r="A201" s="1"/>
      <c r="B201" s="16"/>
      <c r="C201" s="16"/>
      <c r="D201" s="15"/>
      <c r="E201" s="11" t="str">
        <f aca="false">IF(D201="","",IFERROR(INDEX(Players!$C$5:$C$304,MATCH(D201,Players!$B$5:$B$304,0)),""))</f>
        <v/>
      </c>
      <c r="F201" s="22" t="str">
        <f aca="false">IF(D201="","",IF(COUNTIFS($B$5:$B$2004,B201,$D$5:$D$2004,D201)&gt;1,"DUPLICATE",IF(ISNA(MATCH(D201,Players!$B$5:$B$304,0)),"UID not found",IF(INDEX(Players!$H$5:$H$304,MATCH(D201,Players!$B$5:$B$304,0))&lt;0,"LOW BALANCE","OK"))))</f>
        <v/>
      </c>
      <c r="G201" s="1"/>
      <c r="H201" s="1"/>
      <c r="I201" s="1"/>
    </row>
    <row r="202" customFormat="false" ht="21.75" hidden="false" customHeight="true" outlineLevel="0" collapsed="false">
      <c r="A202" s="1"/>
      <c r="B202" s="16"/>
      <c r="C202" s="16"/>
      <c r="D202" s="15"/>
      <c r="E202" s="11" t="str">
        <f aca="false">IF(D202="","",IFERROR(INDEX(Players!$C$5:$C$304,MATCH(D202,Players!$B$5:$B$304,0)),""))</f>
        <v/>
      </c>
      <c r="F202" s="22" t="str">
        <f aca="false">IF(D202="","",IF(COUNTIFS($B$5:$B$2004,B202,$D$5:$D$2004,D202)&gt;1,"DUPLICATE",IF(ISNA(MATCH(D202,Players!$B$5:$B$304,0)),"UID not found",IF(INDEX(Players!$H$5:$H$304,MATCH(D202,Players!$B$5:$B$304,0))&lt;0,"LOW BALANCE","OK"))))</f>
        <v/>
      </c>
      <c r="G202" s="1"/>
      <c r="H202" s="1"/>
      <c r="I202" s="1"/>
    </row>
    <row r="203" customFormat="false" ht="21.75" hidden="false" customHeight="true" outlineLevel="0" collapsed="false">
      <c r="A203" s="1"/>
      <c r="B203" s="16"/>
      <c r="C203" s="16"/>
      <c r="D203" s="15"/>
      <c r="E203" s="11" t="str">
        <f aca="false">IF(D203="","",IFERROR(INDEX(Players!$C$5:$C$304,MATCH(D203,Players!$B$5:$B$304,0)),""))</f>
        <v/>
      </c>
      <c r="F203" s="22" t="str">
        <f aca="false">IF(D203="","",IF(COUNTIFS($B$5:$B$2004,B203,$D$5:$D$2004,D203)&gt;1,"DUPLICATE",IF(ISNA(MATCH(D203,Players!$B$5:$B$304,0)),"UID not found",IF(INDEX(Players!$H$5:$H$304,MATCH(D203,Players!$B$5:$B$304,0))&lt;0,"LOW BALANCE","OK"))))</f>
        <v/>
      </c>
      <c r="G203" s="1"/>
      <c r="H203" s="1"/>
      <c r="I203" s="1"/>
    </row>
    <row r="204" customFormat="false" ht="21.75" hidden="false" customHeight="true" outlineLevel="0" collapsed="false">
      <c r="A204" s="1"/>
      <c r="B204" s="16"/>
      <c r="C204" s="16"/>
      <c r="D204" s="15"/>
      <c r="E204" s="11" t="str">
        <f aca="false">IF(D204="","",IFERROR(INDEX(Players!$C$5:$C$304,MATCH(D204,Players!$B$5:$B$304,0)),""))</f>
        <v/>
      </c>
      <c r="F204" s="22" t="str">
        <f aca="false">IF(D204="","",IF(COUNTIFS($B$5:$B$2004,B204,$D$5:$D$2004,D204)&gt;1,"DUPLICATE",IF(ISNA(MATCH(D204,Players!$B$5:$B$304,0)),"UID not found",IF(INDEX(Players!$H$5:$H$304,MATCH(D204,Players!$B$5:$B$304,0))&lt;0,"LOW BALANCE","OK"))))</f>
        <v/>
      </c>
      <c r="G204" s="1"/>
      <c r="H204" s="1"/>
      <c r="I204" s="1"/>
    </row>
    <row r="205" customFormat="false" ht="21.75" hidden="false" customHeight="true" outlineLevel="0" collapsed="false">
      <c r="A205" s="1"/>
      <c r="B205" s="16"/>
      <c r="C205" s="16"/>
      <c r="D205" s="15"/>
      <c r="E205" s="11" t="str">
        <f aca="false">IF(D205="","",IFERROR(INDEX(Players!$C$5:$C$304,MATCH(D205,Players!$B$5:$B$304,0)),""))</f>
        <v/>
      </c>
      <c r="F205" s="22" t="str">
        <f aca="false">IF(D205="","",IF(COUNTIFS($B$5:$B$2004,B205,$D$5:$D$2004,D205)&gt;1,"DUPLICATE",IF(ISNA(MATCH(D205,Players!$B$5:$B$304,0)),"UID not found",IF(INDEX(Players!$H$5:$H$304,MATCH(D205,Players!$B$5:$B$304,0))&lt;0,"LOW BALANCE","OK"))))</f>
        <v/>
      </c>
      <c r="G205" s="1"/>
      <c r="H205" s="1"/>
      <c r="I205" s="1"/>
    </row>
    <row r="206" customFormat="false" ht="21.75" hidden="false" customHeight="true" outlineLevel="0" collapsed="false">
      <c r="A206" s="1"/>
      <c r="B206" s="16"/>
      <c r="C206" s="16"/>
      <c r="D206" s="15"/>
      <c r="E206" s="11" t="str">
        <f aca="false">IF(D206="","",IFERROR(INDEX(Players!$C$5:$C$304,MATCH(D206,Players!$B$5:$B$304,0)),""))</f>
        <v/>
      </c>
      <c r="F206" s="22" t="str">
        <f aca="false">IF(D206="","",IF(COUNTIFS($B$5:$B$2004,B206,$D$5:$D$2004,D206)&gt;1,"DUPLICATE",IF(ISNA(MATCH(D206,Players!$B$5:$B$304,0)),"UID not found",IF(INDEX(Players!$H$5:$H$304,MATCH(D206,Players!$B$5:$B$304,0))&lt;0,"LOW BALANCE","OK"))))</f>
        <v/>
      </c>
      <c r="G206" s="1"/>
      <c r="H206" s="1"/>
      <c r="I206" s="1"/>
    </row>
    <row r="207" customFormat="false" ht="21.75" hidden="false" customHeight="true" outlineLevel="0" collapsed="false">
      <c r="A207" s="1"/>
      <c r="B207" s="16"/>
      <c r="C207" s="16"/>
      <c r="D207" s="15"/>
      <c r="E207" s="11" t="str">
        <f aca="false">IF(D207="","",IFERROR(INDEX(Players!$C$5:$C$304,MATCH(D207,Players!$B$5:$B$304,0)),""))</f>
        <v/>
      </c>
      <c r="F207" s="22" t="str">
        <f aca="false">IF(D207="","",IF(COUNTIFS($B$5:$B$2004,B207,$D$5:$D$2004,D207)&gt;1,"DUPLICATE",IF(ISNA(MATCH(D207,Players!$B$5:$B$304,0)),"UID not found",IF(INDEX(Players!$H$5:$H$304,MATCH(D207,Players!$B$5:$B$304,0))&lt;0,"LOW BALANCE","OK"))))</f>
        <v/>
      </c>
      <c r="G207" s="1"/>
      <c r="H207" s="1"/>
      <c r="I207" s="1"/>
    </row>
    <row r="208" customFormat="false" ht="21.75" hidden="false" customHeight="true" outlineLevel="0" collapsed="false">
      <c r="A208" s="1"/>
      <c r="B208" s="16"/>
      <c r="C208" s="16"/>
      <c r="D208" s="15"/>
      <c r="E208" s="11" t="str">
        <f aca="false">IF(D208="","",IFERROR(INDEX(Players!$C$5:$C$304,MATCH(D208,Players!$B$5:$B$304,0)),""))</f>
        <v/>
      </c>
      <c r="F208" s="22" t="str">
        <f aca="false">IF(D208="","",IF(COUNTIFS($B$5:$B$2004,B208,$D$5:$D$2004,D208)&gt;1,"DUPLICATE",IF(ISNA(MATCH(D208,Players!$B$5:$B$304,0)),"UID not found",IF(INDEX(Players!$H$5:$H$304,MATCH(D208,Players!$B$5:$B$304,0))&lt;0,"LOW BALANCE","OK"))))</f>
        <v/>
      </c>
      <c r="G208" s="1"/>
      <c r="H208" s="1"/>
      <c r="I208" s="1"/>
    </row>
    <row r="209" customFormat="false" ht="21.75" hidden="false" customHeight="true" outlineLevel="0" collapsed="false">
      <c r="A209" s="1"/>
      <c r="B209" s="16"/>
      <c r="C209" s="16"/>
      <c r="D209" s="15"/>
      <c r="E209" s="11" t="str">
        <f aca="false">IF(D209="","",IFERROR(INDEX(Players!$C$5:$C$304,MATCH(D209,Players!$B$5:$B$304,0)),""))</f>
        <v/>
      </c>
      <c r="F209" s="22" t="str">
        <f aca="false">IF(D209="","",IF(COUNTIFS($B$5:$B$2004,B209,$D$5:$D$2004,D209)&gt;1,"DUPLICATE",IF(ISNA(MATCH(D209,Players!$B$5:$B$304,0)),"UID not found",IF(INDEX(Players!$H$5:$H$304,MATCH(D209,Players!$B$5:$B$304,0))&lt;0,"LOW BALANCE","OK"))))</f>
        <v/>
      </c>
      <c r="G209" s="1"/>
      <c r="H209" s="1"/>
      <c r="I209" s="1"/>
    </row>
    <row r="210" customFormat="false" ht="21.75" hidden="false" customHeight="true" outlineLevel="0" collapsed="false">
      <c r="A210" s="1"/>
      <c r="B210" s="16"/>
      <c r="C210" s="16"/>
      <c r="D210" s="15"/>
      <c r="E210" s="11" t="str">
        <f aca="false">IF(D210="","",IFERROR(INDEX(Players!$C$5:$C$304,MATCH(D210,Players!$B$5:$B$304,0)),""))</f>
        <v/>
      </c>
      <c r="F210" s="22" t="str">
        <f aca="false">IF(D210="","",IF(COUNTIFS($B$5:$B$2004,B210,$D$5:$D$2004,D210)&gt;1,"DUPLICATE",IF(ISNA(MATCH(D210,Players!$B$5:$B$304,0)),"UID not found",IF(INDEX(Players!$H$5:$H$304,MATCH(D210,Players!$B$5:$B$304,0))&lt;0,"LOW BALANCE","OK"))))</f>
        <v/>
      </c>
      <c r="G210" s="1"/>
      <c r="H210" s="1"/>
      <c r="I210" s="1"/>
    </row>
    <row r="211" customFormat="false" ht="21.75" hidden="false" customHeight="true" outlineLevel="0" collapsed="false">
      <c r="A211" s="1"/>
      <c r="B211" s="16"/>
      <c r="C211" s="16"/>
      <c r="D211" s="15"/>
      <c r="E211" s="11" t="str">
        <f aca="false">IF(D211="","",IFERROR(INDEX(Players!$C$5:$C$304,MATCH(D211,Players!$B$5:$B$304,0)),""))</f>
        <v/>
      </c>
      <c r="F211" s="22" t="str">
        <f aca="false">IF(D211="","",IF(COUNTIFS($B$5:$B$2004,B211,$D$5:$D$2004,D211)&gt;1,"DUPLICATE",IF(ISNA(MATCH(D211,Players!$B$5:$B$304,0)),"UID not found",IF(INDEX(Players!$H$5:$H$304,MATCH(D211,Players!$B$5:$B$304,0))&lt;0,"LOW BALANCE","OK"))))</f>
        <v/>
      </c>
      <c r="G211" s="1"/>
      <c r="H211" s="1"/>
      <c r="I211" s="1"/>
    </row>
    <row r="212" customFormat="false" ht="21.75" hidden="false" customHeight="true" outlineLevel="0" collapsed="false">
      <c r="A212" s="1"/>
      <c r="B212" s="16"/>
      <c r="C212" s="16"/>
      <c r="D212" s="15"/>
      <c r="E212" s="11" t="str">
        <f aca="false">IF(D212="","",IFERROR(INDEX(Players!$C$5:$C$304,MATCH(D212,Players!$B$5:$B$304,0)),""))</f>
        <v/>
      </c>
      <c r="F212" s="22" t="str">
        <f aca="false">IF(D212="","",IF(COUNTIFS($B$5:$B$2004,B212,$D$5:$D$2004,D212)&gt;1,"DUPLICATE",IF(ISNA(MATCH(D212,Players!$B$5:$B$304,0)),"UID not found",IF(INDEX(Players!$H$5:$H$304,MATCH(D212,Players!$B$5:$B$304,0))&lt;0,"LOW BALANCE","OK"))))</f>
        <v/>
      </c>
      <c r="G212" s="1"/>
      <c r="H212" s="1"/>
      <c r="I212" s="1"/>
    </row>
    <row r="213" customFormat="false" ht="21.75" hidden="false" customHeight="true" outlineLevel="0" collapsed="false">
      <c r="A213" s="1"/>
      <c r="B213" s="16"/>
      <c r="C213" s="16"/>
      <c r="D213" s="15"/>
      <c r="E213" s="11" t="str">
        <f aca="false">IF(D213="","",IFERROR(INDEX(Players!$C$5:$C$304,MATCH(D213,Players!$B$5:$B$304,0)),""))</f>
        <v/>
      </c>
      <c r="F213" s="22" t="str">
        <f aca="false">IF(D213="","",IF(COUNTIFS($B$5:$B$2004,B213,$D$5:$D$2004,D213)&gt;1,"DUPLICATE",IF(ISNA(MATCH(D213,Players!$B$5:$B$304,0)),"UID not found",IF(INDEX(Players!$H$5:$H$304,MATCH(D213,Players!$B$5:$B$304,0))&lt;0,"LOW BALANCE","OK"))))</f>
        <v/>
      </c>
      <c r="G213" s="1"/>
      <c r="H213" s="1"/>
      <c r="I213" s="1"/>
    </row>
    <row r="214" customFormat="false" ht="21.75" hidden="false" customHeight="true" outlineLevel="0" collapsed="false">
      <c r="A214" s="1"/>
      <c r="B214" s="16"/>
      <c r="C214" s="16"/>
      <c r="D214" s="15"/>
      <c r="E214" s="11" t="str">
        <f aca="false">IF(D214="","",IFERROR(INDEX(Players!$C$5:$C$304,MATCH(D214,Players!$B$5:$B$304,0)),""))</f>
        <v/>
      </c>
      <c r="F214" s="22" t="str">
        <f aca="false">IF(D214="","",IF(COUNTIFS($B$5:$B$2004,B214,$D$5:$D$2004,D214)&gt;1,"DUPLICATE",IF(ISNA(MATCH(D214,Players!$B$5:$B$304,0)),"UID not found",IF(INDEX(Players!$H$5:$H$304,MATCH(D214,Players!$B$5:$B$304,0))&lt;0,"LOW BALANCE","OK"))))</f>
        <v/>
      </c>
      <c r="G214" s="1"/>
      <c r="H214" s="1"/>
      <c r="I214" s="1"/>
    </row>
    <row r="215" customFormat="false" ht="21.75" hidden="false" customHeight="true" outlineLevel="0" collapsed="false">
      <c r="A215" s="1"/>
      <c r="B215" s="16"/>
      <c r="C215" s="16"/>
      <c r="D215" s="15"/>
      <c r="E215" s="11" t="str">
        <f aca="false">IF(D215="","",IFERROR(INDEX(Players!$C$5:$C$304,MATCH(D215,Players!$B$5:$B$304,0)),""))</f>
        <v/>
      </c>
      <c r="F215" s="22" t="str">
        <f aca="false">IF(D215="","",IF(COUNTIFS($B$5:$B$2004,B215,$D$5:$D$2004,D215)&gt;1,"DUPLICATE",IF(ISNA(MATCH(D215,Players!$B$5:$B$304,0)),"UID not found",IF(INDEX(Players!$H$5:$H$304,MATCH(D215,Players!$B$5:$B$304,0))&lt;0,"LOW BALANCE","OK"))))</f>
        <v/>
      </c>
      <c r="G215" s="1"/>
      <c r="H215" s="1"/>
      <c r="I215" s="1"/>
    </row>
    <row r="216" customFormat="false" ht="21.75" hidden="false" customHeight="true" outlineLevel="0" collapsed="false">
      <c r="A216" s="1"/>
      <c r="B216" s="16"/>
      <c r="C216" s="16"/>
      <c r="D216" s="15"/>
      <c r="E216" s="11" t="str">
        <f aca="false">IF(D216="","",IFERROR(INDEX(Players!$C$5:$C$304,MATCH(D216,Players!$B$5:$B$304,0)),""))</f>
        <v/>
      </c>
      <c r="F216" s="22" t="str">
        <f aca="false">IF(D216="","",IF(COUNTIFS($B$5:$B$2004,B216,$D$5:$D$2004,D216)&gt;1,"DUPLICATE",IF(ISNA(MATCH(D216,Players!$B$5:$B$304,0)),"UID not found",IF(INDEX(Players!$H$5:$H$304,MATCH(D216,Players!$B$5:$B$304,0))&lt;0,"LOW BALANCE","OK"))))</f>
        <v/>
      </c>
      <c r="G216" s="1"/>
      <c r="H216" s="1"/>
      <c r="I216" s="1"/>
    </row>
    <row r="217" customFormat="false" ht="21.75" hidden="false" customHeight="true" outlineLevel="0" collapsed="false">
      <c r="A217" s="1"/>
      <c r="B217" s="16"/>
      <c r="C217" s="16"/>
      <c r="D217" s="15"/>
      <c r="E217" s="11" t="str">
        <f aca="false">IF(D217="","",IFERROR(INDEX(Players!$C$5:$C$304,MATCH(D217,Players!$B$5:$B$304,0)),""))</f>
        <v/>
      </c>
      <c r="F217" s="22" t="str">
        <f aca="false">IF(D217="","",IF(COUNTIFS($B$5:$B$2004,B217,$D$5:$D$2004,D217)&gt;1,"DUPLICATE",IF(ISNA(MATCH(D217,Players!$B$5:$B$304,0)),"UID not found",IF(INDEX(Players!$H$5:$H$304,MATCH(D217,Players!$B$5:$B$304,0))&lt;0,"LOW BALANCE","OK"))))</f>
        <v/>
      </c>
      <c r="G217" s="1"/>
      <c r="H217" s="1"/>
      <c r="I217" s="1"/>
    </row>
    <row r="218" customFormat="false" ht="21.75" hidden="false" customHeight="true" outlineLevel="0" collapsed="false">
      <c r="A218" s="1"/>
      <c r="B218" s="16"/>
      <c r="C218" s="16"/>
      <c r="D218" s="15"/>
      <c r="E218" s="11" t="str">
        <f aca="false">IF(D218="","",IFERROR(INDEX(Players!$C$5:$C$304,MATCH(D218,Players!$B$5:$B$304,0)),""))</f>
        <v/>
      </c>
      <c r="F218" s="22" t="str">
        <f aca="false">IF(D218="","",IF(COUNTIFS($B$5:$B$2004,B218,$D$5:$D$2004,D218)&gt;1,"DUPLICATE",IF(ISNA(MATCH(D218,Players!$B$5:$B$304,0)),"UID not found",IF(INDEX(Players!$H$5:$H$304,MATCH(D218,Players!$B$5:$B$304,0))&lt;0,"LOW BALANCE","OK"))))</f>
        <v/>
      </c>
      <c r="G218" s="1"/>
      <c r="H218" s="1"/>
      <c r="I218" s="1"/>
    </row>
    <row r="219" customFormat="false" ht="21.75" hidden="false" customHeight="true" outlineLevel="0" collapsed="false">
      <c r="A219" s="1"/>
      <c r="B219" s="16"/>
      <c r="C219" s="16"/>
      <c r="D219" s="15"/>
      <c r="E219" s="11" t="str">
        <f aca="false">IF(D219="","",IFERROR(INDEX(Players!$C$5:$C$304,MATCH(D219,Players!$B$5:$B$304,0)),""))</f>
        <v/>
      </c>
      <c r="F219" s="22" t="str">
        <f aca="false">IF(D219="","",IF(COUNTIFS($B$5:$B$2004,B219,$D$5:$D$2004,D219)&gt;1,"DUPLICATE",IF(ISNA(MATCH(D219,Players!$B$5:$B$304,0)),"UID not found",IF(INDEX(Players!$H$5:$H$304,MATCH(D219,Players!$B$5:$B$304,0))&lt;0,"LOW BALANCE","OK"))))</f>
        <v/>
      </c>
      <c r="G219" s="1"/>
      <c r="H219" s="1"/>
      <c r="I219" s="1"/>
    </row>
    <row r="220" customFormat="false" ht="21.75" hidden="false" customHeight="true" outlineLevel="0" collapsed="false">
      <c r="A220" s="1"/>
      <c r="B220" s="16"/>
      <c r="C220" s="16"/>
      <c r="D220" s="15"/>
      <c r="E220" s="11" t="str">
        <f aca="false">IF(D220="","",IFERROR(INDEX(Players!$C$5:$C$304,MATCH(D220,Players!$B$5:$B$304,0)),""))</f>
        <v/>
      </c>
      <c r="F220" s="22" t="str">
        <f aca="false">IF(D220="","",IF(COUNTIFS($B$5:$B$2004,B220,$D$5:$D$2004,D220)&gt;1,"DUPLICATE",IF(ISNA(MATCH(D220,Players!$B$5:$B$304,0)),"UID not found",IF(INDEX(Players!$H$5:$H$304,MATCH(D220,Players!$B$5:$B$304,0))&lt;0,"LOW BALANCE","OK"))))</f>
        <v/>
      </c>
      <c r="G220" s="1"/>
      <c r="H220" s="1"/>
      <c r="I220" s="1"/>
    </row>
    <row r="221" customFormat="false" ht="21.75" hidden="false" customHeight="true" outlineLevel="0" collapsed="false">
      <c r="A221" s="1"/>
      <c r="B221" s="16"/>
      <c r="C221" s="16"/>
      <c r="D221" s="15"/>
      <c r="E221" s="11" t="str">
        <f aca="false">IF(D221="","",IFERROR(INDEX(Players!$C$5:$C$304,MATCH(D221,Players!$B$5:$B$304,0)),""))</f>
        <v/>
      </c>
      <c r="F221" s="22" t="str">
        <f aca="false">IF(D221="","",IF(COUNTIFS($B$5:$B$2004,B221,$D$5:$D$2004,D221)&gt;1,"DUPLICATE",IF(ISNA(MATCH(D221,Players!$B$5:$B$304,0)),"UID not found",IF(INDEX(Players!$H$5:$H$304,MATCH(D221,Players!$B$5:$B$304,0))&lt;0,"LOW BALANCE","OK"))))</f>
        <v/>
      </c>
      <c r="G221" s="1"/>
      <c r="H221" s="1"/>
      <c r="I221" s="1"/>
    </row>
    <row r="222" customFormat="false" ht="21.75" hidden="false" customHeight="true" outlineLevel="0" collapsed="false">
      <c r="A222" s="1"/>
      <c r="B222" s="16"/>
      <c r="C222" s="16"/>
      <c r="D222" s="15"/>
      <c r="E222" s="11" t="str">
        <f aca="false">IF(D222="","",IFERROR(INDEX(Players!$C$5:$C$304,MATCH(D222,Players!$B$5:$B$304,0)),""))</f>
        <v/>
      </c>
      <c r="F222" s="22" t="str">
        <f aca="false">IF(D222="","",IF(COUNTIFS($B$5:$B$2004,B222,$D$5:$D$2004,D222)&gt;1,"DUPLICATE",IF(ISNA(MATCH(D222,Players!$B$5:$B$304,0)),"UID not found",IF(INDEX(Players!$H$5:$H$304,MATCH(D222,Players!$B$5:$B$304,0))&lt;0,"LOW BALANCE","OK"))))</f>
        <v/>
      </c>
      <c r="G222" s="1"/>
      <c r="H222" s="1"/>
      <c r="I222" s="1"/>
    </row>
    <row r="223" customFormat="false" ht="21.75" hidden="false" customHeight="true" outlineLevel="0" collapsed="false">
      <c r="A223" s="1"/>
      <c r="B223" s="16"/>
      <c r="C223" s="16"/>
      <c r="D223" s="15"/>
      <c r="E223" s="11" t="str">
        <f aca="false">IF(D223="","",IFERROR(INDEX(Players!$C$5:$C$304,MATCH(D223,Players!$B$5:$B$304,0)),""))</f>
        <v/>
      </c>
      <c r="F223" s="22" t="str">
        <f aca="false">IF(D223="","",IF(COUNTIFS($B$5:$B$2004,B223,$D$5:$D$2004,D223)&gt;1,"DUPLICATE",IF(ISNA(MATCH(D223,Players!$B$5:$B$304,0)),"UID not found",IF(INDEX(Players!$H$5:$H$304,MATCH(D223,Players!$B$5:$B$304,0))&lt;0,"LOW BALANCE","OK"))))</f>
        <v/>
      </c>
      <c r="G223" s="1"/>
      <c r="H223" s="1"/>
      <c r="I223" s="1"/>
    </row>
    <row r="224" customFormat="false" ht="21.75" hidden="false" customHeight="true" outlineLevel="0" collapsed="false">
      <c r="A224" s="1"/>
      <c r="B224" s="16"/>
      <c r="C224" s="16"/>
      <c r="D224" s="15"/>
      <c r="E224" s="11" t="str">
        <f aca="false">IF(D224="","",IFERROR(INDEX(Players!$C$5:$C$304,MATCH(D224,Players!$B$5:$B$304,0)),""))</f>
        <v/>
      </c>
      <c r="F224" s="22" t="str">
        <f aca="false">IF(D224="","",IF(COUNTIFS($B$5:$B$2004,B224,$D$5:$D$2004,D224)&gt;1,"DUPLICATE",IF(ISNA(MATCH(D224,Players!$B$5:$B$304,0)),"UID not found",IF(INDEX(Players!$H$5:$H$304,MATCH(D224,Players!$B$5:$B$304,0))&lt;0,"LOW BALANCE","OK"))))</f>
        <v/>
      </c>
      <c r="G224" s="1"/>
      <c r="H224" s="1"/>
      <c r="I224" s="1"/>
    </row>
    <row r="225" customFormat="false" ht="21.75" hidden="false" customHeight="true" outlineLevel="0" collapsed="false">
      <c r="A225" s="1"/>
      <c r="B225" s="16"/>
      <c r="C225" s="16"/>
      <c r="D225" s="15"/>
      <c r="E225" s="11" t="str">
        <f aca="false">IF(D225="","",IFERROR(INDEX(Players!$C$5:$C$304,MATCH(D225,Players!$B$5:$B$304,0)),""))</f>
        <v/>
      </c>
      <c r="F225" s="22" t="str">
        <f aca="false">IF(D225="","",IF(COUNTIFS($B$5:$B$2004,B225,$D$5:$D$2004,D225)&gt;1,"DUPLICATE",IF(ISNA(MATCH(D225,Players!$B$5:$B$304,0)),"UID not found",IF(INDEX(Players!$H$5:$H$304,MATCH(D225,Players!$B$5:$B$304,0))&lt;0,"LOW BALANCE","OK"))))</f>
        <v/>
      </c>
      <c r="G225" s="1"/>
      <c r="H225" s="1"/>
      <c r="I225" s="1"/>
    </row>
    <row r="226" customFormat="false" ht="21.75" hidden="false" customHeight="true" outlineLevel="0" collapsed="false">
      <c r="A226" s="1"/>
      <c r="B226" s="16"/>
      <c r="C226" s="16"/>
      <c r="D226" s="15"/>
      <c r="E226" s="11" t="str">
        <f aca="false">IF(D226="","",IFERROR(INDEX(Players!$C$5:$C$304,MATCH(D226,Players!$B$5:$B$304,0)),""))</f>
        <v/>
      </c>
      <c r="F226" s="22" t="str">
        <f aca="false">IF(D226="","",IF(COUNTIFS($B$5:$B$2004,B226,$D$5:$D$2004,D226)&gt;1,"DUPLICATE",IF(ISNA(MATCH(D226,Players!$B$5:$B$304,0)),"UID not found",IF(INDEX(Players!$H$5:$H$304,MATCH(D226,Players!$B$5:$B$304,0))&lt;0,"LOW BALANCE","OK"))))</f>
        <v/>
      </c>
      <c r="G226" s="1"/>
      <c r="H226" s="1"/>
      <c r="I226" s="1"/>
    </row>
    <row r="227" customFormat="false" ht="21.75" hidden="false" customHeight="true" outlineLevel="0" collapsed="false">
      <c r="A227" s="1"/>
      <c r="B227" s="16"/>
      <c r="C227" s="16"/>
      <c r="D227" s="15"/>
      <c r="E227" s="11" t="str">
        <f aca="false">IF(D227="","",IFERROR(INDEX(Players!$C$5:$C$304,MATCH(D227,Players!$B$5:$B$304,0)),""))</f>
        <v/>
      </c>
      <c r="F227" s="22" t="str">
        <f aca="false">IF(D227="","",IF(COUNTIFS($B$5:$B$2004,B227,$D$5:$D$2004,D227)&gt;1,"DUPLICATE",IF(ISNA(MATCH(D227,Players!$B$5:$B$304,0)),"UID not found",IF(INDEX(Players!$H$5:$H$304,MATCH(D227,Players!$B$5:$B$304,0))&lt;0,"LOW BALANCE","OK"))))</f>
        <v/>
      </c>
      <c r="G227" s="1"/>
      <c r="H227" s="1"/>
      <c r="I227" s="1"/>
    </row>
    <row r="228" customFormat="false" ht="21.75" hidden="false" customHeight="true" outlineLevel="0" collapsed="false">
      <c r="A228" s="1"/>
      <c r="B228" s="16"/>
      <c r="C228" s="16"/>
      <c r="D228" s="15"/>
      <c r="E228" s="11" t="str">
        <f aca="false">IF(D228="","",IFERROR(INDEX(Players!$C$5:$C$304,MATCH(D228,Players!$B$5:$B$304,0)),""))</f>
        <v/>
      </c>
      <c r="F228" s="22" t="str">
        <f aca="false">IF(D228="","",IF(COUNTIFS($B$5:$B$2004,B228,$D$5:$D$2004,D228)&gt;1,"DUPLICATE",IF(ISNA(MATCH(D228,Players!$B$5:$B$304,0)),"UID not found",IF(INDEX(Players!$H$5:$H$304,MATCH(D228,Players!$B$5:$B$304,0))&lt;0,"LOW BALANCE","OK"))))</f>
        <v/>
      </c>
      <c r="G228" s="1"/>
      <c r="H228" s="1"/>
      <c r="I228" s="1"/>
    </row>
    <row r="229" customFormat="false" ht="21.75" hidden="false" customHeight="true" outlineLevel="0" collapsed="false">
      <c r="A229" s="1"/>
      <c r="B229" s="16"/>
      <c r="C229" s="16"/>
      <c r="D229" s="15"/>
      <c r="E229" s="11" t="str">
        <f aca="false">IF(D229="","",IFERROR(INDEX(Players!$C$5:$C$304,MATCH(D229,Players!$B$5:$B$304,0)),""))</f>
        <v/>
      </c>
      <c r="F229" s="22" t="str">
        <f aca="false">IF(D229="","",IF(COUNTIFS($B$5:$B$2004,B229,$D$5:$D$2004,D229)&gt;1,"DUPLICATE",IF(ISNA(MATCH(D229,Players!$B$5:$B$304,0)),"UID not found",IF(INDEX(Players!$H$5:$H$304,MATCH(D229,Players!$B$5:$B$304,0))&lt;0,"LOW BALANCE","OK"))))</f>
        <v/>
      </c>
      <c r="G229" s="1"/>
      <c r="H229" s="1"/>
      <c r="I229" s="1"/>
    </row>
    <row r="230" customFormat="false" ht="21.75" hidden="false" customHeight="true" outlineLevel="0" collapsed="false">
      <c r="A230" s="1"/>
      <c r="B230" s="16"/>
      <c r="C230" s="16"/>
      <c r="D230" s="15"/>
      <c r="E230" s="11" t="str">
        <f aca="false">IF(D230="","",IFERROR(INDEX(Players!$C$5:$C$304,MATCH(D230,Players!$B$5:$B$304,0)),""))</f>
        <v/>
      </c>
      <c r="F230" s="22" t="str">
        <f aca="false">IF(D230="","",IF(COUNTIFS($B$5:$B$2004,B230,$D$5:$D$2004,D230)&gt;1,"DUPLICATE",IF(ISNA(MATCH(D230,Players!$B$5:$B$304,0)),"UID not found",IF(INDEX(Players!$H$5:$H$304,MATCH(D230,Players!$B$5:$B$304,0))&lt;0,"LOW BALANCE","OK"))))</f>
        <v/>
      </c>
      <c r="G230" s="1"/>
      <c r="H230" s="1"/>
      <c r="I230" s="1"/>
    </row>
    <row r="231" customFormat="false" ht="21.75" hidden="false" customHeight="true" outlineLevel="0" collapsed="false">
      <c r="A231" s="1"/>
      <c r="B231" s="16"/>
      <c r="C231" s="16"/>
      <c r="D231" s="15"/>
      <c r="E231" s="11" t="str">
        <f aca="false">IF(D231="","",IFERROR(INDEX(Players!$C$5:$C$304,MATCH(D231,Players!$B$5:$B$304,0)),""))</f>
        <v/>
      </c>
      <c r="F231" s="22" t="str">
        <f aca="false">IF(D231="","",IF(COUNTIFS($B$5:$B$2004,B231,$D$5:$D$2004,D231)&gt;1,"DUPLICATE",IF(ISNA(MATCH(D231,Players!$B$5:$B$304,0)),"UID not found",IF(INDEX(Players!$H$5:$H$304,MATCH(D231,Players!$B$5:$B$304,0))&lt;0,"LOW BALANCE","OK"))))</f>
        <v/>
      </c>
      <c r="G231" s="1"/>
      <c r="H231" s="1"/>
      <c r="I231" s="1"/>
    </row>
    <row r="232" customFormat="false" ht="21.75" hidden="false" customHeight="true" outlineLevel="0" collapsed="false">
      <c r="A232" s="1"/>
      <c r="B232" s="16"/>
      <c r="C232" s="16"/>
      <c r="D232" s="15"/>
      <c r="E232" s="11" t="str">
        <f aca="false">IF(D232="","",IFERROR(INDEX(Players!$C$5:$C$304,MATCH(D232,Players!$B$5:$B$304,0)),""))</f>
        <v/>
      </c>
      <c r="F232" s="22" t="str">
        <f aca="false">IF(D232="","",IF(COUNTIFS($B$5:$B$2004,B232,$D$5:$D$2004,D232)&gt;1,"DUPLICATE",IF(ISNA(MATCH(D232,Players!$B$5:$B$304,0)),"UID not found",IF(INDEX(Players!$H$5:$H$304,MATCH(D232,Players!$B$5:$B$304,0))&lt;0,"LOW BALANCE","OK"))))</f>
        <v/>
      </c>
      <c r="G232" s="1"/>
      <c r="H232" s="1"/>
      <c r="I232" s="1"/>
    </row>
    <row r="233" customFormat="false" ht="21.75" hidden="false" customHeight="true" outlineLevel="0" collapsed="false">
      <c r="A233" s="1"/>
      <c r="B233" s="16"/>
      <c r="C233" s="16"/>
      <c r="D233" s="15"/>
      <c r="E233" s="11" t="str">
        <f aca="false">IF(D233="","",IFERROR(INDEX(Players!$C$5:$C$304,MATCH(D233,Players!$B$5:$B$304,0)),""))</f>
        <v/>
      </c>
      <c r="F233" s="22" t="str">
        <f aca="false">IF(D233="","",IF(COUNTIFS($B$5:$B$2004,B233,$D$5:$D$2004,D233)&gt;1,"DUPLICATE",IF(ISNA(MATCH(D233,Players!$B$5:$B$304,0)),"UID not found",IF(INDEX(Players!$H$5:$H$304,MATCH(D233,Players!$B$5:$B$304,0))&lt;0,"LOW BALANCE","OK"))))</f>
        <v/>
      </c>
      <c r="G233" s="1"/>
      <c r="H233" s="1"/>
      <c r="I233" s="1"/>
    </row>
    <row r="234" customFormat="false" ht="21.75" hidden="false" customHeight="true" outlineLevel="0" collapsed="false">
      <c r="A234" s="1"/>
      <c r="B234" s="16"/>
      <c r="C234" s="16"/>
      <c r="D234" s="15"/>
      <c r="E234" s="11" t="str">
        <f aca="false">IF(D234="","",IFERROR(INDEX(Players!$C$5:$C$304,MATCH(D234,Players!$B$5:$B$304,0)),""))</f>
        <v/>
      </c>
      <c r="F234" s="22" t="str">
        <f aca="false">IF(D234="","",IF(COUNTIFS($B$5:$B$2004,B234,$D$5:$D$2004,D234)&gt;1,"DUPLICATE",IF(ISNA(MATCH(D234,Players!$B$5:$B$304,0)),"UID not found",IF(INDEX(Players!$H$5:$H$304,MATCH(D234,Players!$B$5:$B$304,0))&lt;0,"LOW BALANCE","OK"))))</f>
        <v/>
      </c>
      <c r="G234" s="1"/>
      <c r="H234" s="1"/>
      <c r="I234" s="1"/>
    </row>
    <row r="235" customFormat="false" ht="21.75" hidden="false" customHeight="true" outlineLevel="0" collapsed="false">
      <c r="A235" s="1"/>
      <c r="B235" s="16"/>
      <c r="C235" s="16"/>
      <c r="D235" s="15"/>
      <c r="E235" s="11" t="str">
        <f aca="false">IF(D235="","",IFERROR(INDEX(Players!$C$5:$C$304,MATCH(D235,Players!$B$5:$B$304,0)),""))</f>
        <v/>
      </c>
      <c r="F235" s="22" t="str">
        <f aca="false">IF(D235="","",IF(COUNTIFS($B$5:$B$2004,B235,$D$5:$D$2004,D235)&gt;1,"DUPLICATE",IF(ISNA(MATCH(D235,Players!$B$5:$B$304,0)),"UID not found",IF(INDEX(Players!$H$5:$H$304,MATCH(D235,Players!$B$5:$B$304,0))&lt;0,"LOW BALANCE","OK"))))</f>
        <v/>
      </c>
      <c r="G235" s="1"/>
      <c r="H235" s="1"/>
      <c r="I235" s="1"/>
    </row>
    <row r="236" customFormat="false" ht="21.75" hidden="false" customHeight="true" outlineLevel="0" collapsed="false">
      <c r="A236" s="1"/>
      <c r="B236" s="16"/>
      <c r="C236" s="16"/>
      <c r="D236" s="15"/>
      <c r="E236" s="11" t="str">
        <f aca="false">IF(D236="","",IFERROR(INDEX(Players!$C$5:$C$304,MATCH(D236,Players!$B$5:$B$304,0)),""))</f>
        <v/>
      </c>
      <c r="F236" s="22" t="str">
        <f aca="false">IF(D236="","",IF(COUNTIFS($B$5:$B$2004,B236,$D$5:$D$2004,D236)&gt;1,"DUPLICATE",IF(ISNA(MATCH(D236,Players!$B$5:$B$304,0)),"UID not found",IF(INDEX(Players!$H$5:$H$304,MATCH(D236,Players!$B$5:$B$304,0))&lt;0,"LOW BALANCE","OK"))))</f>
        <v/>
      </c>
      <c r="G236" s="1"/>
      <c r="H236" s="1"/>
      <c r="I236" s="1"/>
    </row>
    <row r="237" customFormat="false" ht="21.75" hidden="false" customHeight="true" outlineLevel="0" collapsed="false">
      <c r="A237" s="1"/>
      <c r="B237" s="16"/>
      <c r="C237" s="16"/>
      <c r="D237" s="15"/>
      <c r="E237" s="11" t="str">
        <f aca="false">IF(D237="","",IFERROR(INDEX(Players!$C$5:$C$304,MATCH(D237,Players!$B$5:$B$304,0)),""))</f>
        <v/>
      </c>
      <c r="F237" s="22" t="str">
        <f aca="false">IF(D237="","",IF(COUNTIFS($B$5:$B$2004,B237,$D$5:$D$2004,D237)&gt;1,"DUPLICATE",IF(ISNA(MATCH(D237,Players!$B$5:$B$304,0)),"UID not found",IF(INDEX(Players!$H$5:$H$304,MATCH(D237,Players!$B$5:$B$304,0))&lt;0,"LOW BALANCE","OK"))))</f>
        <v/>
      </c>
      <c r="G237" s="1"/>
      <c r="H237" s="1"/>
      <c r="I237" s="1"/>
    </row>
    <row r="238" customFormat="false" ht="21.75" hidden="false" customHeight="true" outlineLevel="0" collapsed="false">
      <c r="A238" s="1"/>
      <c r="B238" s="16"/>
      <c r="C238" s="16"/>
      <c r="D238" s="15"/>
      <c r="E238" s="11" t="str">
        <f aca="false">IF(D238="","",IFERROR(INDEX(Players!$C$5:$C$304,MATCH(D238,Players!$B$5:$B$304,0)),""))</f>
        <v/>
      </c>
      <c r="F238" s="22" t="str">
        <f aca="false">IF(D238="","",IF(COUNTIFS($B$5:$B$2004,B238,$D$5:$D$2004,D238)&gt;1,"DUPLICATE",IF(ISNA(MATCH(D238,Players!$B$5:$B$304,0)),"UID not found",IF(INDEX(Players!$H$5:$H$304,MATCH(D238,Players!$B$5:$B$304,0))&lt;0,"LOW BALANCE","OK"))))</f>
        <v/>
      </c>
      <c r="G238" s="1"/>
      <c r="H238" s="1"/>
      <c r="I238" s="1"/>
    </row>
    <row r="239" customFormat="false" ht="21.75" hidden="false" customHeight="true" outlineLevel="0" collapsed="false">
      <c r="A239" s="1"/>
      <c r="B239" s="16"/>
      <c r="C239" s="16"/>
      <c r="D239" s="15"/>
      <c r="E239" s="11" t="str">
        <f aca="false">IF(D239="","",IFERROR(INDEX(Players!$C$5:$C$304,MATCH(D239,Players!$B$5:$B$304,0)),""))</f>
        <v/>
      </c>
      <c r="F239" s="22" t="str">
        <f aca="false">IF(D239="","",IF(COUNTIFS($B$5:$B$2004,B239,$D$5:$D$2004,D239)&gt;1,"DUPLICATE",IF(ISNA(MATCH(D239,Players!$B$5:$B$304,0)),"UID not found",IF(INDEX(Players!$H$5:$H$304,MATCH(D239,Players!$B$5:$B$304,0))&lt;0,"LOW BALANCE","OK"))))</f>
        <v/>
      </c>
      <c r="G239" s="1"/>
      <c r="H239" s="1"/>
      <c r="I239" s="1"/>
    </row>
    <row r="240" customFormat="false" ht="21.75" hidden="false" customHeight="true" outlineLevel="0" collapsed="false">
      <c r="A240" s="1"/>
      <c r="B240" s="16"/>
      <c r="C240" s="16"/>
      <c r="D240" s="15"/>
      <c r="E240" s="11" t="str">
        <f aca="false">IF(D240="","",IFERROR(INDEX(Players!$C$5:$C$304,MATCH(D240,Players!$B$5:$B$304,0)),""))</f>
        <v/>
      </c>
      <c r="F240" s="22" t="str">
        <f aca="false">IF(D240="","",IF(COUNTIFS($B$5:$B$2004,B240,$D$5:$D$2004,D240)&gt;1,"DUPLICATE",IF(ISNA(MATCH(D240,Players!$B$5:$B$304,0)),"UID not found",IF(INDEX(Players!$H$5:$H$304,MATCH(D240,Players!$B$5:$B$304,0))&lt;0,"LOW BALANCE","OK"))))</f>
        <v/>
      </c>
      <c r="G240" s="1"/>
      <c r="H240" s="1"/>
      <c r="I240" s="1"/>
    </row>
    <row r="241" customFormat="false" ht="21.75" hidden="false" customHeight="true" outlineLevel="0" collapsed="false">
      <c r="A241" s="1"/>
      <c r="B241" s="16"/>
      <c r="C241" s="16"/>
      <c r="D241" s="15"/>
      <c r="E241" s="11" t="str">
        <f aca="false">IF(D241="","",IFERROR(INDEX(Players!$C$5:$C$304,MATCH(D241,Players!$B$5:$B$304,0)),""))</f>
        <v/>
      </c>
      <c r="F241" s="22" t="str">
        <f aca="false">IF(D241="","",IF(COUNTIFS($B$5:$B$2004,B241,$D$5:$D$2004,D241)&gt;1,"DUPLICATE",IF(ISNA(MATCH(D241,Players!$B$5:$B$304,0)),"UID not found",IF(INDEX(Players!$H$5:$H$304,MATCH(D241,Players!$B$5:$B$304,0))&lt;0,"LOW BALANCE","OK"))))</f>
        <v/>
      </c>
      <c r="G241" s="1"/>
      <c r="H241" s="1"/>
      <c r="I241" s="1"/>
    </row>
    <row r="242" customFormat="false" ht="21.75" hidden="false" customHeight="true" outlineLevel="0" collapsed="false">
      <c r="A242" s="1"/>
      <c r="B242" s="16"/>
      <c r="C242" s="16"/>
      <c r="D242" s="15"/>
      <c r="E242" s="11" t="str">
        <f aca="false">IF(D242="","",IFERROR(INDEX(Players!$C$5:$C$304,MATCH(D242,Players!$B$5:$B$304,0)),""))</f>
        <v/>
      </c>
      <c r="F242" s="22" t="str">
        <f aca="false">IF(D242="","",IF(COUNTIFS($B$5:$B$2004,B242,$D$5:$D$2004,D242)&gt;1,"DUPLICATE",IF(ISNA(MATCH(D242,Players!$B$5:$B$304,0)),"UID not found",IF(INDEX(Players!$H$5:$H$304,MATCH(D242,Players!$B$5:$B$304,0))&lt;0,"LOW BALANCE","OK"))))</f>
        <v/>
      </c>
      <c r="G242" s="1"/>
      <c r="H242" s="1"/>
      <c r="I242" s="1"/>
    </row>
    <row r="243" customFormat="false" ht="21.75" hidden="false" customHeight="true" outlineLevel="0" collapsed="false">
      <c r="A243" s="1"/>
      <c r="B243" s="16"/>
      <c r="C243" s="16"/>
      <c r="D243" s="15"/>
      <c r="E243" s="11" t="str">
        <f aca="false">IF(D243="","",IFERROR(INDEX(Players!$C$5:$C$304,MATCH(D243,Players!$B$5:$B$304,0)),""))</f>
        <v/>
      </c>
      <c r="F243" s="22" t="str">
        <f aca="false">IF(D243="","",IF(COUNTIFS($B$5:$B$2004,B243,$D$5:$D$2004,D243)&gt;1,"DUPLICATE",IF(ISNA(MATCH(D243,Players!$B$5:$B$304,0)),"UID not found",IF(INDEX(Players!$H$5:$H$304,MATCH(D243,Players!$B$5:$B$304,0))&lt;0,"LOW BALANCE","OK"))))</f>
        <v/>
      </c>
      <c r="G243" s="1"/>
      <c r="H243" s="1"/>
      <c r="I243" s="1"/>
    </row>
    <row r="244" customFormat="false" ht="21.75" hidden="false" customHeight="true" outlineLevel="0" collapsed="false">
      <c r="A244" s="1"/>
      <c r="B244" s="16"/>
      <c r="C244" s="16"/>
      <c r="D244" s="15"/>
      <c r="E244" s="11" t="str">
        <f aca="false">IF(D244="","",IFERROR(INDEX(Players!$C$5:$C$304,MATCH(D244,Players!$B$5:$B$304,0)),""))</f>
        <v/>
      </c>
      <c r="F244" s="22" t="str">
        <f aca="false">IF(D244="","",IF(COUNTIFS($B$5:$B$2004,B244,$D$5:$D$2004,D244)&gt;1,"DUPLICATE",IF(ISNA(MATCH(D244,Players!$B$5:$B$304,0)),"UID not found",IF(INDEX(Players!$H$5:$H$304,MATCH(D244,Players!$B$5:$B$304,0))&lt;0,"LOW BALANCE","OK"))))</f>
        <v/>
      </c>
      <c r="G244" s="1"/>
      <c r="H244" s="1"/>
      <c r="I244" s="1"/>
    </row>
    <row r="245" customFormat="false" ht="21.75" hidden="false" customHeight="true" outlineLevel="0" collapsed="false">
      <c r="A245" s="1"/>
      <c r="B245" s="16"/>
      <c r="C245" s="16"/>
      <c r="D245" s="15"/>
      <c r="E245" s="11" t="str">
        <f aca="false">IF(D245="","",IFERROR(INDEX(Players!$C$5:$C$304,MATCH(D245,Players!$B$5:$B$304,0)),""))</f>
        <v/>
      </c>
      <c r="F245" s="22" t="str">
        <f aca="false">IF(D245="","",IF(COUNTIFS($B$5:$B$2004,B245,$D$5:$D$2004,D245)&gt;1,"DUPLICATE",IF(ISNA(MATCH(D245,Players!$B$5:$B$304,0)),"UID not found",IF(INDEX(Players!$H$5:$H$304,MATCH(D245,Players!$B$5:$B$304,0))&lt;0,"LOW BALANCE","OK"))))</f>
        <v/>
      </c>
      <c r="G245" s="1"/>
      <c r="H245" s="1"/>
      <c r="I245" s="1"/>
    </row>
    <row r="246" customFormat="false" ht="21.75" hidden="false" customHeight="true" outlineLevel="0" collapsed="false">
      <c r="A246" s="1"/>
      <c r="B246" s="16"/>
      <c r="C246" s="16"/>
      <c r="D246" s="15"/>
      <c r="E246" s="11" t="str">
        <f aca="false">IF(D246="","",IFERROR(INDEX(Players!$C$5:$C$304,MATCH(D246,Players!$B$5:$B$304,0)),""))</f>
        <v/>
      </c>
      <c r="F246" s="22" t="str">
        <f aca="false">IF(D246="","",IF(COUNTIFS($B$5:$B$2004,B246,$D$5:$D$2004,D246)&gt;1,"DUPLICATE",IF(ISNA(MATCH(D246,Players!$B$5:$B$304,0)),"UID not found",IF(INDEX(Players!$H$5:$H$304,MATCH(D246,Players!$B$5:$B$304,0))&lt;0,"LOW BALANCE","OK"))))</f>
        <v/>
      </c>
      <c r="G246" s="1"/>
      <c r="H246" s="1"/>
      <c r="I246" s="1"/>
    </row>
    <row r="247" customFormat="false" ht="21.75" hidden="false" customHeight="true" outlineLevel="0" collapsed="false">
      <c r="A247" s="1"/>
      <c r="B247" s="16"/>
      <c r="C247" s="16"/>
      <c r="D247" s="15"/>
      <c r="E247" s="11" t="str">
        <f aca="false">IF(D247="","",IFERROR(INDEX(Players!$C$5:$C$304,MATCH(D247,Players!$B$5:$B$304,0)),""))</f>
        <v/>
      </c>
      <c r="F247" s="22" t="str">
        <f aca="false">IF(D247="","",IF(COUNTIFS($B$5:$B$2004,B247,$D$5:$D$2004,D247)&gt;1,"DUPLICATE",IF(ISNA(MATCH(D247,Players!$B$5:$B$304,0)),"UID not found",IF(INDEX(Players!$H$5:$H$304,MATCH(D247,Players!$B$5:$B$304,0))&lt;0,"LOW BALANCE","OK"))))</f>
        <v/>
      </c>
      <c r="G247" s="1"/>
      <c r="H247" s="1"/>
      <c r="I247" s="1"/>
    </row>
    <row r="248" customFormat="false" ht="21.75" hidden="false" customHeight="true" outlineLevel="0" collapsed="false">
      <c r="A248" s="1"/>
      <c r="B248" s="16"/>
      <c r="C248" s="16"/>
      <c r="D248" s="15"/>
      <c r="E248" s="11" t="str">
        <f aca="false">IF(D248="","",IFERROR(INDEX(Players!$C$5:$C$304,MATCH(D248,Players!$B$5:$B$304,0)),""))</f>
        <v/>
      </c>
      <c r="F248" s="22" t="str">
        <f aca="false">IF(D248="","",IF(COUNTIFS($B$5:$B$2004,B248,$D$5:$D$2004,D248)&gt;1,"DUPLICATE",IF(ISNA(MATCH(D248,Players!$B$5:$B$304,0)),"UID not found",IF(INDEX(Players!$H$5:$H$304,MATCH(D248,Players!$B$5:$B$304,0))&lt;0,"LOW BALANCE","OK"))))</f>
        <v/>
      </c>
      <c r="G248" s="1"/>
      <c r="H248" s="1"/>
      <c r="I248" s="1"/>
    </row>
    <row r="249" customFormat="false" ht="21.75" hidden="false" customHeight="true" outlineLevel="0" collapsed="false">
      <c r="A249" s="1"/>
      <c r="B249" s="16"/>
      <c r="C249" s="16"/>
      <c r="D249" s="15"/>
      <c r="E249" s="11" t="str">
        <f aca="false">IF(D249="","",IFERROR(INDEX(Players!$C$5:$C$304,MATCH(D249,Players!$B$5:$B$304,0)),""))</f>
        <v/>
      </c>
      <c r="F249" s="22" t="str">
        <f aca="false">IF(D249="","",IF(COUNTIFS($B$5:$B$2004,B249,$D$5:$D$2004,D249)&gt;1,"DUPLICATE",IF(ISNA(MATCH(D249,Players!$B$5:$B$304,0)),"UID not found",IF(INDEX(Players!$H$5:$H$304,MATCH(D249,Players!$B$5:$B$304,0))&lt;0,"LOW BALANCE","OK"))))</f>
        <v/>
      </c>
      <c r="G249" s="1"/>
      <c r="H249" s="1"/>
      <c r="I249" s="1"/>
    </row>
    <row r="250" customFormat="false" ht="21.75" hidden="false" customHeight="true" outlineLevel="0" collapsed="false">
      <c r="A250" s="1"/>
      <c r="B250" s="16"/>
      <c r="C250" s="16"/>
      <c r="D250" s="15"/>
      <c r="E250" s="11" t="str">
        <f aca="false">IF(D250="","",IFERROR(INDEX(Players!$C$5:$C$304,MATCH(D250,Players!$B$5:$B$304,0)),""))</f>
        <v/>
      </c>
      <c r="F250" s="22" t="str">
        <f aca="false">IF(D250="","",IF(COUNTIFS($B$5:$B$2004,B250,$D$5:$D$2004,D250)&gt;1,"DUPLICATE",IF(ISNA(MATCH(D250,Players!$B$5:$B$304,0)),"UID not found",IF(INDEX(Players!$H$5:$H$304,MATCH(D250,Players!$B$5:$B$304,0))&lt;0,"LOW BALANCE","OK"))))</f>
        <v/>
      </c>
      <c r="G250" s="1"/>
      <c r="H250" s="1"/>
      <c r="I250" s="1"/>
    </row>
    <row r="251" customFormat="false" ht="21.75" hidden="false" customHeight="true" outlineLevel="0" collapsed="false">
      <c r="A251" s="1"/>
      <c r="B251" s="16"/>
      <c r="C251" s="16"/>
      <c r="D251" s="15"/>
      <c r="E251" s="11" t="str">
        <f aca="false">IF(D251="","",IFERROR(INDEX(Players!$C$5:$C$304,MATCH(D251,Players!$B$5:$B$304,0)),""))</f>
        <v/>
      </c>
      <c r="F251" s="22" t="str">
        <f aca="false">IF(D251="","",IF(COUNTIFS($B$5:$B$2004,B251,$D$5:$D$2004,D251)&gt;1,"DUPLICATE",IF(ISNA(MATCH(D251,Players!$B$5:$B$304,0)),"UID not found",IF(INDEX(Players!$H$5:$H$304,MATCH(D251,Players!$B$5:$B$304,0))&lt;0,"LOW BALANCE","OK"))))</f>
        <v/>
      </c>
      <c r="G251" s="1"/>
      <c r="H251" s="1"/>
      <c r="I251" s="1"/>
    </row>
    <row r="252" customFormat="false" ht="21.75" hidden="false" customHeight="true" outlineLevel="0" collapsed="false">
      <c r="A252" s="1"/>
      <c r="B252" s="16"/>
      <c r="C252" s="16"/>
      <c r="D252" s="15"/>
      <c r="E252" s="11" t="str">
        <f aca="false">IF(D252="","",IFERROR(INDEX(Players!$C$5:$C$304,MATCH(D252,Players!$B$5:$B$304,0)),""))</f>
        <v/>
      </c>
      <c r="F252" s="22" t="str">
        <f aca="false">IF(D252="","",IF(COUNTIFS($B$5:$B$2004,B252,$D$5:$D$2004,D252)&gt;1,"DUPLICATE",IF(ISNA(MATCH(D252,Players!$B$5:$B$304,0)),"UID not found",IF(INDEX(Players!$H$5:$H$304,MATCH(D252,Players!$B$5:$B$304,0))&lt;0,"LOW BALANCE","OK"))))</f>
        <v/>
      </c>
      <c r="G252" s="1"/>
      <c r="H252" s="1"/>
      <c r="I252" s="1"/>
    </row>
    <row r="253" customFormat="false" ht="21.75" hidden="false" customHeight="true" outlineLevel="0" collapsed="false">
      <c r="A253" s="1"/>
      <c r="B253" s="16"/>
      <c r="C253" s="16"/>
      <c r="D253" s="15"/>
      <c r="E253" s="11" t="str">
        <f aca="false">IF(D253="","",IFERROR(INDEX(Players!$C$5:$C$304,MATCH(D253,Players!$B$5:$B$304,0)),""))</f>
        <v/>
      </c>
      <c r="F253" s="22" t="str">
        <f aca="false">IF(D253="","",IF(COUNTIFS($B$5:$B$2004,B253,$D$5:$D$2004,D253)&gt;1,"DUPLICATE",IF(ISNA(MATCH(D253,Players!$B$5:$B$304,0)),"UID not found",IF(INDEX(Players!$H$5:$H$304,MATCH(D253,Players!$B$5:$B$304,0))&lt;0,"LOW BALANCE","OK"))))</f>
        <v/>
      </c>
      <c r="G253" s="1"/>
      <c r="H253" s="1"/>
      <c r="I253" s="1"/>
    </row>
    <row r="254" customFormat="false" ht="21.75" hidden="false" customHeight="true" outlineLevel="0" collapsed="false">
      <c r="A254" s="1"/>
      <c r="B254" s="16"/>
      <c r="C254" s="16"/>
      <c r="D254" s="15"/>
      <c r="E254" s="11" t="str">
        <f aca="false">IF(D254="","",IFERROR(INDEX(Players!$C$5:$C$304,MATCH(D254,Players!$B$5:$B$304,0)),""))</f>
        <v/>
      </c>
      <c r="F254" s="22" t="str">
        <f aca="false">IF(D254="","",IF(COUNTIFS($B$5:$B$2004,B254,$D$5:$D$2004,D254)&gt;1,"DUPLICATE",IF(ISNA(MATCH(D254,Players!$B$5:$B$304,0)),"UID not found",IF(INDEX(Players!$H$5:$H$304,MATCH(D254,Players!$B$5:$B$304,0))&lt;0,"LOW BALANCE","OK"))))</f>
        <v/>
      </c>
      <c r="G254" s="1"/>
      <c r="H254" s="1"/>
      <c r="I254" s="1"/>
    </row>
    <row r="255" customFormat="false" ht="21.75" hidden="false" customHeight="true" outlineLevel="0" collapsed="false">
      <c r="A255" s="1"/>
      <c r="B255" s="16"/>
      <c r="C255" s="16"/>
      <c r="D255" s="15"/>
      <c r="E255" s="11" t="str">
        <f aca="false">IF(D255="","",IFERROR(INDEX(Players!$C$5:$C$304,MATCH(D255,Players!$B$5:$B$304,0)),""))</f>
        <v/>
      </c>
      <c r="F255" s="22" t="str">
        <f aca="false">IF(D255="","",IF(COUNTIFS($B$5:$B$2004,B255,$D$5:$D$2004,D255)&gt;1,"DUPLICATE",IF(ISNA(MATCH(D255,Players!$B$5:$B$304,0)),"UID not found",IF(INDEX(Players!$H$5:$H$304,MATCH(D255,Players!$B$5:$B$304,0))&lt;0,"LOW BALANCE","OK"))))</f>
        <v/>
      </c>
      <c r="G255" s="1"/>
      <c r="H255" s="1"/>
      <c r="I255" s="1"/>
    </row>
    <row r="256" customFormat="false" ht="21.75" hidden="false" customHeight="true" outlineLevel="0" collapsed="false">
      <c r="A256" s="1"/>
      <c r="B256" s="16"/>
      <c r="C256" s="16"/>
      <c r="D256" s="15"/>
      <c r="E256" s="11" t="str">
        <f aca="false">IF(D256="","",IFERROR(INDEX(Players!$C$5:$C$304,MATCH(D256,Players!$B$5:$B$304,0)),""))</f>
        <v/>
      </c>
      <c r="F256" s="22" t="str">
        <f aca="false">IF(D256="","",IF(COUNTIFS($B$5:$B$2004,B256,$D$5:$D$2004,D256)&gt;1,"DUPLICATE",IF(ISNA(MATCH(D256,Players!$B$5:$B$304,0)),"UID not found",IF(INDEX(Players!$H$5:$H$304,MATCH(D256,Players!$B$5:$B$304,0))&lt;0,"LOW BALANCE","OK"))))</f>
        <v/>
      </c>
      <c r="G256" s="1"/>
      <c r="H256" s="1"/>
      <c r="I256" s="1"/>
    </row>
    <row r="257" customFormat="false" ht="21.75" hidden="false" customHeight="true" outlineLevel="0" collapsed="false">
      <c r="A257" s="1"/>
      <c r="B257" s="16"/>
      <c r="C257" s="16"/>
      <c r="D257" s="15"/>
      <c r="E257" s="11" t="str">
        <f aca="false">IF(D257="","",IFERROR(INDEX(Players!$C$5:$C$304,MATCH(D257,Players!$B$5:$B$304,0)),""))</f>
        <v/>
      </c>
      <c r="F257" s="22" t="str">
        <f aca="false">IF(D257="","",IF(COUNTIFS($B$5:$B$2004,B257,$D$5:$D$2004,D257)&gt;1,"DUPLICATE",IF(ISNA(MATCH(D257,Players!$B$5:$B$304,0)),"UID not found",IF(INDEX(Players!$H$5:$H$304,MATCH(D257,Players!$B$5:$B$304,0))&lt;0,"LOW BALANCE","OK"))))</f>
        <v/>
      </c>
      <c r="G257" s="1"/>
      <c r="H257" s="1"/>
      <c r="I257" s="1"/>
    </row>
    <row r="258" customFormat="false" ht="21.75" hidden="false" customHeight="true" outlineLevel="0" collapsed="false">
      <c r="A258" s="1"/>
      <c r="B258" s="16"/>
      <c r="C258" s="16"/>
      <c r="D258" s="15"/>
      <c r="E258" s="11" t="str">
        <f aca="false">IF(D258="","",IFERROR(INDEX(Players!$C$5:$C$304,MATCH(D258,Players!$B$5:$B$304,0)),""))</f>
        <v/>
      </c>
      <c r="F258" s="22" t="str">
        <f aca="false">IF(D258="","",IF(COUNTIFS($B$5:$B$2004,B258,$D$5:$D$2004,D258)&gt;1,"DUPLICATE",IF(ISNA(MATCH(D258,Players!$B$5:$B$304,0)),"UID not found",IF(INDEX(Players!$H$5:$H$304,MATCH(D258,Players!$B$5:$B$304,0))&lt;0,"LOW BALANCE","OK"))))</f>
        <v/>
      </c>
      <c r="G258" s="1"/>
      <c r="H258" s="1"/>
      <c r="I258" s="1"/>
    </row>
    <row r="259" customFormat="false" ht="21.75" hidden="false" customHeight="true" outlineLevel="0" collapsed="false">
      <c r="A259" s="1"/>
      <c r="B259" s="16"/>
      <c r="C259" s="16"/>
      <c r="D259" s="15"/>
      <c r="E259" s="11" t="str">
        <f aca="false">IF(D259="","",IFERROR(INDEX(Players!$C$5:$C$304,MATCH(D259,Players!$B$5:$B$304,0)),""))</f>
        <v/>
      </c>
      <c r="F259" s="22" t="str">
        <f aca="false">IF(D259="","",IF(COUNTIFS($B$5:$B$2004,B259,$D$5:$D$2004,D259)&gt;1,"DUPLICATE",IF(ISNA(MATCH(D259,Players!$B$5:$B$304,0)),"UID not found",IF(INDEX(Players!$H$5:$H$304,MATCH(D259,Players!$B$5:$B$304,0))&lt;0,"LOW BALANCE","OK"))))</f>
        <v/>
      </c>
      <c r="G259" s="1"/>
      <c r="H259" s="1"/>
      <c r="I259" s="1"/>
    </row>
    <row r="260" customFormat="false" ht="21.75" hidden="false" customHeight="true" outlineLevel="0" collapsed="false">
      <c r="A260" s="1"/>
      <c r="B260" s="16"/>
      <c r="C260" s="16"/>
      <c r="D260" s="15"/>
      <c r="E260" s="11" t="str">
        <f aca="false">IF(D260="","",IFERROR(INDEX(Players!$C$5:$C$304,MATCH(D260,Players!$B$5:$B$304,0)),""))</f>
        <v/>
      </c>
      <c r="F260" s="22" t="str">
        <f aca="false">IF(D260="","",IF(COUNTIFS($B$5:$B$2004,B260,$D$5:$D$2004,D260)&gt;1,"DUPLICATE",IF(ISNA(MATCH(D260,Players!$B$5:$B$304,0)),"UID not found",IF(INDEX(Players!$H$5:$H$304,MATCH(D260,Players!$B$5:$B$304,0))&lt;0,"LOW BALANCE","OK"))))</f>
        <v/>
      </c>
      <c r="G260" s="1"/>
      <c r="H260" s="1"/>
      <c r="I260" s="1"/>
    </row>
    <row r="261" customFormat="false" ht="21.75" hidden="false" customHeight="true" outlineLevel="0" collapsed="false">
      <c r="A261" s="1"/>
      <c r="B261" s="16"/>
      <c r="C261" s="16"/>
      <c r="D261" s="15"/>
      <c r="E261" s="11" t="str">
        <f aca="false">IF(D261="","",IFERROR(INDEX(Players!$C$5:$C$304,MATCH(D261,Players!$B$5:$B$304,0)),""))</f>
        <v/>
      </c>
      <c r="F261" s="22" t="str">
        <f aca="false">IF(D261="","",IF(COUNTIFS($B$5:$B$2004,B261,$D$5:$D$2004,D261)&gt;1,"DUPLICATE",IF(ISNA(MATCH(D261,Players!$B$5:$B$304,0)),"UID not found",IF(INDEX(Players!$H$5:$H$304,MATCH(D261,Players!$B$5:$B$304,0))&lt;0,"LOW BALANCE","OK"))))</f>
        <v/>
      </c>
      <c r="G261" s="1"/>
      <c r="H261" s="1"/>
      <c r="I261" s="1"/>
    </row>
    <row r="262" customFormat="false" ht="21.75" hidden="false" customHeight="true" outlineLevel="0" collapsed="false">
      <c r="A262" s="1"/>
      <c r="B262" s="16"/>
      <c r="C262" s="16"/>
      <c r="D262" s="15"/>
      <c r="E262" s="11" t="str">
        <f aca="false">IF(D262="","",IFERROR(INDEX(Players!$C$5:$C$304,MATCH(D262,Players!$B$5:$B$304,0)),""))</f>
        <v/>
      </c>
      <c r="F262" s="22" t="str">
        <f aca="false">IF(D262="","",IF(COUNTIFS($B$5:$B$2004,B262,$D$5:$D$2004,D262)&gt;1,"DUPLICATE",IF(ISNA(MATCH(D262,Players!$B$5:$B$304,0)),"UID not found",IF(INDEX(Players!$H$5:$H$304,MATCH(D262,Players!$B$5:$B$304,0))&lt;0,"LOW BALANCE","OK"))))</f>
        <v/>
      </c>
      <c r="G262" s="1"/>
      <c r="H262" s="1"/>
      <c r="I262" s="1"/>
    </row>
    <row r="263" customFormat="false" ht="21.75" hidden="false" customHeight="true" outlineLevel="0" collapsed="false">
      <c r="A263" s="1"/>
      <c r="B263" s="16"/>
      <c r="C263" s="16"/>
      <c r="D263" s="15"/>
      <c r="E263" s="11" t="str">
        <f aca="false">IF(D263="","",IFERROR(INDEX(Players!$C$5:$C$304,MATCH(D263,Players!$B$5:$B$304,0)),""))</f>
        <v/>
      </c>
      <c r="F263" s="22" t="str">
        <f aca="false">IF(D263="","",IF(COUNTIFS($B$5:$B$2004,B263,$D$5:$D$2004,D263)&gt;1,"DUPLICATE",IF(ISNA(MATCH(D263,Players!$B$5:$B$304,0)),"UID not found",IF(INDEX(Players!$H$5:$H$304,MATCH(D263,Players!$B$5:$B$304,0))&lt;0,"LOW BALANCE","OK"))))</f>
        <v/>
      </c>
      <c r="G263" s="1"/>
      <c r="H263" s="1"/>
      <c r="I263" s="1"/>
    </row>
    <row r="264" customFormat="false" ht="21.75" hidden="false" customHeight="true" outlineLevel="0" collapsed="false">
      <c r="A264" s="1"/>
      <c r="B264" s="16"/>
      <c r="C264" s="16"/>
      <c r="D264" s="15"/>
      <c r="E264" s="11" t="str">
        <f aca="false">IF(D264="","",IFERROR(INDEX(Players!$C$5:$C$304,MATCH(D264,Players!$B$5:$B$304,0)),""))</f>
        <v/>
      </c>
      <c r="F264" s="22" t="str">
        <f aca="false">IF(D264="","",IF(COUNTIFS($B$5:$B$2004,B264,$D$5:$D$2004,D264)&gt;1,"DUPLICATE",IF(ISNA(MATCH(D264,Players!$B$5:$B$304,0)),"UID not found",IF(INDEX(Players!$H$5:$H$304,MATCH(D264,Players!$B$5:$B$304,0))&lt;0,"LOW BALANCE","OK"))))</f>
        <v/>
      </c>
      <c r="G264" s="1"/>
      <c r="H264" s="1"/>
      <c r="I264" s="1"/>
    </row>
    <row r="265" customFormat="false" ht="21.75" hidden="false" customHeight="true" outlineLevel="0" collapsed="false">
      <c r="A265" s="1"/>
      <c r="B265" s="16"/>
      <c r="C265" s="16"/>
      <c r="D265" s="15"/>
      <c r="E265" s="11" t="str">
        <f aca="false">IF(D265="","",IFERROR(INDEX(Players!$C$5:$C$304,MATCH(D265,Players!$B$5:$B$304,0)),""))</f>
        <v/>
      </c>
      <c r="F265" s="22" t="str">
        <f aca="false">IF(D265="","",IF(COUNTIFS($B$5:$B$2004,B265,$D$5:$D$2004,D265)&gt;1,"DUPLICATE",IF(ISNA(MATCH(D265,Players!$B$5:$B$304,0)),"UID not found",IF(INDEX(Players!$H$5:$H$304,MATCH(D265,Players!$B$5:$B$304,0))&lt;0,"LOW BALANCE","OK"))))</f>
        <v/>
      </c>
      <c r="G265" s="1"/>
      <c r="H265" s="1"/>
      <c r="I265" s="1"/>
    </row>
    <row r="266" customFormat="false" ht="21.75" hidden="false" customHeight="true" outlineLevel="0" collapsed="false">
      <c r="A266" s="1"/>
      <c r="B266" s="16"/>
      <c r="C266" s="16"/>
      <c r="D266" s="15"/>
      <c r="E266" s="11" t="str">
        <f aca="false">IF(D266="","",IFERROR(INDEX(Players!$C$5:$C$304,MATCH(D266,Players!$B$5:$B$304,0)),""))</f>
        <v/>
      </c>
      <c r="F266" s="22" t="str">
        <f aca="false">IF(D266="","",IF(COUNTIFS($B$5:$B$2004,B266,$D$5:$D$2004,D266)&gt;1,"DUPLICATE",IF(ISNA(MATCH(D266,Players!$B$5:$B$304,0)),"UID not found",IF(INDEX(Players!$H$5:$H$304,MATCH(D266,Players!$B$5:$B$304,0))&lt;0,"LOW BALANCE","OK"))))</f>
        <v/>
      </c>
      <c r="G266" s="1"/>
      <c r="H266" s="1"/>
      <c r="I266" s="1"/>
    </row>
    <row r="267" customFormat="false" ht="21.75" hidden="false" customHeight="true" outlineLevel="0" collapsed="false">
      <c r="A267" s="1"/>
      <c r="B267" s="16"/>
      <c r="C267" s="16"/>
      <c r="D267" s="15"/>
      <c r="E267" s="11" t="str">
        <f aca="false">IF(D267="","",IFERROR(INDEX(Players!$C$5:$C$304,MATCH(D267,Players!$B$5:$B$304,0)),""))</f>
        <v/>
      </c>
      <c r="F267" s="22" t="str">
        <f aca="false">IF(D267="","",IF(COUNTIFS($B$5:$B$2004,B267,$D$5:$D$2004,D267)&gt;1,"DUPLICATE",IF(ISNA(MATCH(D267,Players!$B$5:$B$304,0)),"UID not found",IF(INDEX(Players!$H$5:$H$304,MATCH(D267,Players!$B$5:$B$304,0))&lt;0,"LOW BALANCE","OK"))))</f>
        <v/>
      </c>
      <c r="G267" s="1"/>
      <c r="H267" s="1"/>
      <c r="I267" s="1"/>
    </row>
    <row r="268" customFormat="false" ht="21.75" hidden="false" customHeight="true" outlineLevel="0" collapsed="false">
      <c r="A268" s="1"/>
      <c r="B268" s="16"/>
      <c r="C268" s="16"/>
      <c r="D268" s="15"/>
      <c r="E268" s="11" t="str">
        <f aca="false">IF(D268="","",IFERROR(INDEX(Players!$C$5:$C$304,MATCH(D268,Players!$B$5:$B$304,0)),""))</f>
        <v/>
      </c>
      <c r="F268" s="22" t="str">
        <f aca="false">IF(D268="","",IF(COUNTIFS($B$5:$B$2004,B268,$D$5:$D$2004,D268)&gt;1,"DUPLICATE",IF(ISNA(MATCH(D268,Players!$B$5:$B$304,0)),"UID not found",IF(INDEX(Players!$H$5:$H$304,MATCH(D268,Players!$B$5:$B$304,0))&lt;0,"LOW BALANCE","OK"))))</f>
        <v/>
      </c>
      <c r="G268" s="1"/>
      <c r="H268" s="1"/>
      <c r="I268" s="1"/>
    </row>
    <row r="269" customFormat="false" ht="21.75" hidden="false" customHeight="true" outlineLevel="0" collapsed="false">
      <c r="A269" s="1"/>
      <c r="B269" s="16"/>
      <c r="C269" s="16"/>
      <c r="D269" s="15"/>
      <c r="E269" s="11" t="str">
        <f aca="false">IF(D269="","",IFERROR(INDEX(Players!$C$5:$C$304,MATCH(D269,Players!$B$5:$B$304,0)),""))</f>
        <v/>
      </c>
      <c r="F269" s="22" t="str">
        <f aca="false">IF(D269="","",IF(COUNTIFS($B$5:$B$2004,B269,$D$5:$D$2004,D269)&gt;1,"DUPLICATE",IF(ISNA(MATCH(D269,Players!$B$5:$B$304,0)),"UID not found",IF(INDEX(Players!$H$5:$H$304,MATCH(D269,Players!$B$5:$B$304,0))&lt;0,"LOW BALANCE","OK"))))</f>
        <v/>
      </c>
      <c r="G269" s="1"/>
      <c r="H269" s="1"/>
      <c r="I269" s="1"/>
    </row>
    <row r="270" customFormat="false" ht="21.75" hidden="false" customHeight="true" outlineLevel="0" collapsed="false">
      <c r="A270" s="1"/>
      <c r="B270" s="16"/>
      <c r="C270" s="16"/>
      <c r="D270" s="15"/>
      <c r="E270" s="11" t="str">
        <f aca="false">IF(D270="","",IFERROR(INDEX(Players!$C$5:$C$304,MATCH(D270,Players!$B$5:$B$304,0)),""))</f>
        <v/>
      </c>
      <c r="F270" s="22" t="str">
        <f aca="false">IF(D270="","",IF(COUNTIFS($B$5:$B$2004,B270,$D$5:$D$2004,D270)&gt;1,"DUPLICATE",IF(ISNA(MATCH(D270,Players!$B$5:$B$304,0)),"UID not found",IF(INDEX(Players!$H$5:$H$304,MATCH(D270,Players!$B$5:$B$304,0))&lt;0,"LOW BALANCE","OK"))))</f>
        <v/>
      </c>
      <c r="G270" s="1"/>
      <c r="H270" s="1"/>
      <c r="I270" s="1"/>
    </row>
    <row r="271" customFormat="false" ht="21.75" hidden="false" customHeight="true" outlineLevel="0" collapsed="false">
      <c r="A271" s="1"/>
      <c r="B271" s="16"/>
      <c r="C271" s="16"/>
      <c r="D271" s="15"/>
      <c r="E271" s="11" t="str">
        <f aca="false">IF(D271="","",IFERROR(INDEX(Players!$C$5:$C$304,MATCH(D271,Players!$B$5:$B$304,0)),""))</f>
        <v/>
      </c>
      <c r="F271" s="22" t="str">
        <f aca="false">IF(D271="","",IF(COUNTIFS($B$5:$B$2004,B271,$D$5:$D$2004,D271)&gt;1,"DUPLICATE",IF(ISNA(MATCH(D271,Players!$B$5:$B$304,0)),"UID not found",IF(INDEX(Players!$H$5:$H$304,MATCH(D271,Players!$B$5:$B$304,0))&lt;0,"LOW BALANCE","OK"))))</f>
        <v/>
      </c>
      <c r="G271" s="1"/>
      <c r="H271" s="1"/>
      <c r="I271" s="1"/>
    </row>
    <row r="272" customFormat="false" ht="21.75" hidden="false" customHeight="true" outlineLevel="0" collapsed="false">
      <c r="A272" s="1"/>
      <c r="B272" s="16"/>
      <c r="C272" s="16"/>
      <c r="D272" s="15"/>
      <c r="E272" s="11" t="str">
        <f aca="false">IF(D272="","",IFERROR(INDEX(Players!$C$5:$C$304,MATCH(D272,Players!$B$5:$B$304,0)),""))</f>
        <v/>
      </c>
      <c r="F272" s="22" t="str">
        <f aca="false">IF(D272="","",IF(COUNTIFS($B$5:$B$2004,B272,$D$5:$D$2004,D272)&gt;1,"DUPLICATE",IF(ISNA(MATCH(D272,Players!$B$5:$B$304,0)),"UID not found",IF(INDEX(Players!$H$5:$H$304,MATCH(D272,Players!$B$5:$B$304,0))&lt;0,"LOW BALANCE","OK"))))</f>
        <v/>
      </c>
      <c r="G272" s="1"/>
      <c r="H272" s="1"/>
      <c r="I272" s="1"/>
    </row>
    <row r="273" customFormat="false" ht="21.75" hidden="false" customHeight="true" outlineLevel="0" collapsed="false">
      <c r="A273" s="1"/>
      <c r="B273" s="16"/>
      <c r="C273" s="16"/>
      <c r="D273" s="15"/>
      <c r="E273" s="11" t="str">
        <f aca="false">IF(D273="","",IFERROR(INDEX(Players!$C$5:$C$304,MATCH(D273,Players!$B$5:$B$304,0)),""))</f>
        <v/>
      </c>
      <c r="F273" s="22" t="str">
        <f aca="false">IF(D273="","",IF(COUNTIFS($B$5:$B$2004,B273,$D$5:$D$2004,D273)&gt;1,"DUPLICATE",IF(ISNA(MATCH(D273,Players!$B$5:$B$304,0)),"UID not found",IF(INDEX(Players!$H$5:$H$304,MATCH(D273,Players!$B$5:$B$304,0))&lt;0,"LOW BALANCE","OK"))))</f>
        <v/>
      </c>
      <c r="G273" s="1"/>
      <c r="H273" s="1"/>
      <c r="I273" s="1"/>
    </row>
    <row r="274" customFormat="false" ht="21.75" hidden="false" customHeight="true" outlineLevel="0" collapsed="false">
      <c r="A274" s="1"/>
      <c r="B274" s="16"/>
      <c r="C274" s="16"/>
      <c r="D274" s="15"/>
      <c r="E274" s="11" t="str">
        <f aca="false">IF(D274="","",IFERROR(INDEX(Players!$C$5:$C$304,MATCH(D274,Players!$B$5:$B$304,0)),""))</f>
        <v/>
      </c>
      <c r="F274" s="22" t="str">
        <f aca="false">IF(D274="","",IF(COUNTIFS($B$5:$B$2004,B274,$D$5:$D$2004,D274)&gt;1,"DUPLICATE",IF(ISNA(MATCH(D274,Players!$B$5:$B$304,0)),"UID not found",IF(INDEX(Players!$H$5:$H$304,MATCH(D274,Players!$B$5:$B$304,0))&lt;0,"LOW BALANCE","OK"))))</f>
        <v/>
      </c>
      <c r="G274" s="1"/>
      <c r="H274" s="1"/>
      <c r="I274" s="1"/>
    </row>
    <row r="275" customFormat="false" ht="21.75" hidden="false" customHeight="true" outlineLevel="0" collapsed="false">
      <c r="A275" s="1"/>
      <c r="B275" s="16"/>
      <c r="C275" s="16"/>
      <c r="D275" s="15"/>
      <c r="E275" s="11" t="str">
        <f aca="false">IF(D275="","",IFERROR(INDEX(Players!$C$5:$C$304,MATCH(D275,Players!$B$5:$B$304,0)),""))</f>
        <v/>
      </c>
      <c r="F275" s="22" t="str">
        <f aca="false">IF(D275="","",IF(COUNTIFS($B$5:$B$2004,B275,$D$5:$D$2004,D275)&gt;1,"DUPLICATE",IF(ISNA(MATCH(D275,Players!$B$5:$B$304,0)),"UID not found",IF(INDEX(Players!$H$5:$H$304,MATCH(D275,Players!$B$5:$B$304,0))&lt;0,"LOW BALANCE","OK"))))</f>
        <v/>
      </c>
      <c r="G275" s="1"/>
      <c r="H275" s="1"/>
      <c r="I275" s="1"/>
    </row>
    <row r="276" customFormat="false" ht="21.75" hidden="false" customHeight="true" outlineLevel="0" collapsed="false">
      <c r="A276" s="1"/>
      <c r="B276" s="16"/>
      <c r="C276" s="16"/>
      <c r="D276" s="15"/>
      <c r="E276" s="11" t="str">
        <f aca="false">IF(D276="","",IFERROR(INDEX(Players!$C$5:$C$304,MATCH(D276,Players!$B$5:$B$304,0)),""))</f>
        <v/>
      </c>
      <c r="F276" s="22" t="str">
        <f aca="false">IF(D276="","",IF(COUNTIFS($B$5:$B$2004,B276,$D$5:$D$2004,D276)&gt;1,"DUPLICATE",IF(ISNA(MATCH(D276,Players!$B$5:$B$304,0)),"UID not found",IF(INDEX(Players!$H$5:$H$304,MATCH(D276,Players!$B$5:$B$304,0))&lt;0,"LOW BALANCE","OK"))))</f>
        <v/>
      </c>
      <c r="G276" s="1"/>
      <c r="H276" s="1"/>
      <c r="I276" s="1"/>
    </row>
    <row r="277" customFormat="false" ht="21.75" hidden="false" customHeight="true" outlineLevel="0" collapsed="false">
      <c r="A277" s="1"/>
      <c r="B277" s="16"/>
      <c r="C277" s="16"/>
      <c r="D277" s="15"/>
      <c r="E277" s="11" t="str">
        <f aca="false">IF(D277="","",IFERROR(INDEX(Players!$C$5:$C$304,MATCH(D277,Players!$B$5:$B$304,0)),""))</f>
        <v/>
      </c>
      <c r="F277" s="22" t="str">
        <f aca="false">IF(D277="","",IF(COUNTIFS($B$5:$B$2004,B277,$D$5:$D$2004,D277)&gt;1,"DUPLICATE",IF(ISNA(MATCH(D277,Players!$B$5:$B$304,0)),"UID not found",IF(INDEX(Players!$H$5:$H$304,MATCH(D277,Players!$B$5:$B$304,0))&lt;0,"LOW BALANCE","OK"))))</f>
        <v/>
      </c>
      <c r="G277" s="1"/>
      <c r="H277" s="1"/>
      <c r="I277" s="1"/>
    </row>
    <row r="278" customFormat="false" ht="21.75" hidden="false" customHeight="true" outlineLevel="0" collapsed="false">
      <c r="A278" s="1"/>
      <c r="B278" s="16"/>
      <c r="C278" s="16"/>
      <c r="D278" s="15"/>
      <c r="E278" s="11" t="str">
        <f aca="false">IF(D278="","",IFERROR(INDEX(Players!$C$5:$C$304,MATCH(D278,Players!$B$5:$B$304,0)),""))</f>
        <v/>
      </c>
      <c r="F278" s="22" t="str">
        <f aca="false">IF(D278="","",IF(COUNTIFS($B$5:$B$2004,B278,$D$5:$D$2004,D278)&gt;1,"DUPLICATE",IF(ISNA(MATCH(D278,Players!$B$5:$B$304,0)),"UID not found",IF(INDEX(Players!$H$5:$H$304,MATCH(D278,Players!$B$5:$B$304,0))&lt;0,"LOW BALANCE","OK"))))</f>
        <v/>
      </c>
      <c r="G278" s="1"/>
      <c r="H278" s="1"/>
      <c r="I278" s="1"/>
    </row>
    <row r="279" customFormat="false" ht="21.75" hidden="false" customHeight="true" outlineLevel="0" collapsed="false">
      <c r="A279" s="1"/>
      <c r="B279" s="16"/>
      <c r="C279" s="16"/>
      <c r="D279" s="15"/>
      <c r="E279" s="11" t="str">
        <f aca="false">IF(D279="","",IFERROR(INDEX(Players!$C$5:$C$304,MATCH(D279,Players!$B$5:$B$304,0)),""))</f>
        <v/>
      </c>
      <c r="F279" s="22" t="str">
        <f aca="false">IF(D279="","",IF(COUNTIFS($B$5:$B$2004,B279,$D$5:$D$2004,D279)&gt;1,"DUPLICATE",IF(ISNA(MATCH(D279,Players!$B$5:$B$304,0)),"UID not found",IF(INDEX(Players!$H$5:$H$304,MATCH(D279,Players!$B$5:$B$304,0))&lt;0,"LOW BALANCE","OK"))))</f>
        <v/>
      </c>
      <c r="G279" s="1"/>
      <c r="H279" s="1"/>
      <c r="I279" s="1"/>
    </row>
    <row r="280" customFormat="false" ht="21.75" hidden="false" customHeight="true" outlineLevel="0" collapsed="false">
      <c r="A280" s="1"/>
      <c r="B280" s="16"/>
      <c r="C280" s="16"/>
      <c r="D280" s="15"/>
      <c r="E280" s="11" t="str">
        <f aca="false">IF(D280="","",IFERROR(INDEX(Players!$C$5:$C$304,MATCH(D280,Players!$B$5:$B$304,0)),""))</f>
        <v/>
      </c>
      <c r="F280" s="22" t="str">
        <f aca="false">IF(D280="","",IF(COUNTIFS($B$5:$B$2004,B280,$D$5:$D$2004,D280)&gt;1,"DUPLICATE",IF(ISNA(MATCH(D280,Players!$B$5:$B$304,0)),"UID not found",IF(INDEX(Players!$H$5:$H$304,MATCH(D280,Players!$B$5:$B$304,0))&lt;0,"LOW BALANCE","OK"))))</f>
        <v/>
      </c>
      <c r="G280" s="1"/>
      <c r="H280" s="1"/>
      <c r="I280" s="1"/>
    </row>
    <row r="281" customFormat="false" ht="21.75" hidden="false" customHeight="true" outlineLevel="0" collapsed="false">
      <c r="A281" s="1"/>
      <c r="B281" s="16"/>
      <c r="C281" s="16"/>
      <c r="D281" s="15"/>
      <c r="E281" s="11" t="str">
        <f aca="false">IF(D281="","",IFERROR(INDEX(Players!$C$5:$C$304,MATCH(D281,Players!$B$5:$B$304,0)),""))</f>
        <v/>
      </c>
      <c r="F281" s="22" t="str">
        <f aca="false">IF(D281="","",IF(COUNTIFS($B$5:$B$2004,B281,$D$5:$D$2004,D281)&gt;1,"DUPLICATE",IF(ISNA(MATCH(D281,Players!$B$5:$B$304,0)),"UID not found",IF(INDEX(Players!$H$5:$H$304,MATCH(D281,Players!$B$5:$B$304,0))&lt;0,"LOW BALANCE","OK"))))</f>
        <v/>
      </c>
      <c r="G281" s="1"/>
      <c r="H281" s="1"/>
      <c r="I281" s="1"/>
    </row>
    <row r="282" customFormat="false" ht="21.75" hidden="false" customHeight="true" outlineLevel="0" collapsed="false">
      <c r="A282" s="1"/>
      <c r="B282" s="16"/>
      <c r="C282" s="16"/>
      <c r="D282" s="15"/>
      <c r="E282" s="11" t="str">
        <f aca="false">IF(D282="","",IFERROR(INDEX(Players!$C$5:$C$304,MATCH(D282,Players!$B$5:$B$304,0)),""))</f>
        <v/>
      </c>
      <c r="F282" s="22" t="str">
        <f aca="false">IF(D282="","",IF(COUNTIFS($B$5:$B$2004,B282,$D$5:$D$2004,D282)&gt;1,"DUPLICATE",IF(ISNA(MATCH(D282,Players!$B$5:$B$304,0)),"UID not found",IF(INDEX(Players!$H$5:$H$304,MATCH(D282,Players!$B$5:$B$304,0))&lt;0,"LOW BALANCE","OK"))))</f>
        <v/>
      </c>
      <c r="G282" s="1"/>
      <c r="H282" s="1"/>
      <c r="I282" s="1"/>
    </row>
    <row r="283" customFormat="false" ht="21.75" hidden="false" customHeight="true" outlineLevel="0" collapsed="false">
      <c r="A283" s="1"/>
      <c r="B283" s="16"/>
      <c r="C283" s="16"/>
      <c r="D283" s="15"/>
      <c r="E283" s="11" t="str">
        <f aca="false">IF(D283="","",IFERROR(INDEX(Players!$C$5:$C$304,MATCH(D283,Players!$B$5:$B$304,0)),""))</f>
        <v/>
      </c>
      <c r="F283" s="22" t="str">
        <f aca="false">IF(D283="","",IF(COUNTIFS($B$5:$B$2004,B283,$D$5:$D$2004,D283)&gt;1,"DUPLICATE",IF(ISNA(MATCH(D283,Players!$B$5:$B$304,0)),"UID not found",IF(INDEX(Players!$H$5:$H$304,MATCH(D283,Players!$B$5:$B$304,0))&lt;0,"LOW BALANCE","OK"))))</f>
        <v/>
      </c>
      <c r="G283" s="1"/>
      <c r="H283" s="1"/>
      <c r="I283" s="1"/>
    </row>
    <row r="284" customFormat="false" ht="21.75" hidden="false" customHeight="true" outlineLevel="0" collapsed="false">
      <c r="A284" s="1"/>
      <c r="B284" s="16"/>
      <c r="C284" s="16"/>
      <c r="D284" s="15"/>
      <c r="E284" s="11" t="str">
        <f aca="false">IF(D284="","",IFERROR(INDEX(Players!$C$5:$C$304,MATCH(D284,Players!$B$5:$B$304,0)),""))</f>
        <v/>
      </c>
      <c r="F284" s="22" t="str">
        <f aca="false">IF(D284="","",IF(COUNTIFS($B$5:$B$2004,B284,$D$5:$D$2004,D284)&gt;1,"DUPLICATE",IF(ISNA(MATCH(D284,Players!$B$5:$B$304,0)),"UID not found",IF(INDEX(Players!$H$5:$H$304,MATCH(D284,Players!$B$5:$B$304,0))&lt;0,"LOW BALANCE","OK"))))</f>
        <v/>
      </c>
      <c r="G284" s="1"/>
      <c r="H284" s="1"/>
      <c r="I284" s="1"/>
    </row>
    <row r="285" customFormat="false" ht="21.75" hidden="false" customHeight="true" outlineLevel="0" collapsed="false">
      <c r="A285" s="1"/>
      <c r="B285" s="16"/>
      <c r="C285" s="16"/>
      <c r="D285" s="15"/>
      <c r="E285" s="11" t="str">
        <f aca="false">IF(D285="","",IFERROR(INDEX(Players!$C$5:$C$304,MATCH(D285,Players!$B$5:$B$304,0)),""))</f>
        <v/>
      </c>
      <c r="F285" s="22" t="str">
        <f aca="false">IF(D285="","",IF(COUNTIFS($B$5:$B$2004,B285,$D$5:$D$2004,D285)&gt;1,"DUPLICATE",IF(ISNA(MATCH(D285,Players!$B$5:$B$304,0)),"UID not found",IF(INDEX(Players!$H$5:$H$304,MATCH(D285,Players!$B$5:$B$304,0))&lt;0,"LOW BALANCE","OK"))))</f>
        <v/>
      </c>
      <c r="G285" s="1"/>
      <c r="H285" s="1"/>
      <c r="I285" s="1"/>
    </row>
    <row r="286" customFormat="false" ht="21.75" hidden="false" customHeight="true" outlineLevel="0" collapsed="false">
      <c r="A286" s="1"/>
      <c r="B286" s="16"/>
      <c r="C286" s="16"/>
      <c r="D286" s="15"/>
      <c r="E286" s="11" t="str">
        <f aca="false">IF(D286="","",IFERROR(INDEX(Players!$C$5:$C$304,MATCH(D286,Players!$B$5:$B$304,0)),""))</f>
        <v/>
      </c>
      <c r="F286" s="22" t="str">
        <f aca="false">IF(D286="","",IF(COUNTIFS($B$5:$B$2004,B286,$D$5:$D$2004,D286)&gt;1,"DUPLICATE",IF(ISNA(MATCH(D286,Players!$B$5:$B$304,0)),"UID not found",IF(INDEX(Players!$H$5:$H$304,MATCH(D286,Players!$B$5:$B$304,0))&lt;0,"LOW BALANCE","OK"))))</f>
        <v/>
      </c>
      <c r="G286" s="1"/>
      <c r="H286" s="1"/>
      <c r="I286" s="1"/>
    </row>
    <row r="287" customFormat="false" ht="21.75" hidden="false" customHeight="true" outlineLevel="0" collapsed="false">
      <c r="A287" s="1"/>
      <c r="B287" s="16"/>
      <c r="C287" s="16"/>
      <c r="D287" s="15"/>
      <c r="E287" s="11" t="str">
        <f aca="false">IF(D287="","",IFERROR(INDEX(Players!$C$5:$C$304,MATCH(D287,Players!$B$5:$B$304,0)),""))</f>
        <v/>
      </c>
      <c r="F287" s="22" t="str">
        <f aca="false">IF(D287="","",IF(COUNTIFS($B$5:$B$2004,B287,$D$5:$D$2004,D287)&gt;1,"DUPLICATE",IF(ISNA(MATCH(D287,Players!$B$5:$B$304,0)),"UID not found",IF(INDEX(Players!$H$5:$H$304,MATCH(D287,Players!$B$5:$B$304,0))&lt;0,"LOW BALANCE","OK"))))</f>
        <v/>
      </c>
      <c r="G287" s="1"/>
      <c r="H287" s="1"/>
      <c r="I287" s="1"/>
    </row>
    <row r="288" customFormat="false" ht="21.75" hidden="false" customHeight="true" outlineLevel="0" collapsed="false">
      <c r="A288" s="1"/>
      <c r="B288" s="16"/>
      <c r="C288" s="16"/>
      <c r="D288" s="15"/>
      <c r="E288" s="11" t="str">
        <f aca="false">IF(D288="","",IFERROR(INDEX(Players!$C$5:$C$304,MATCH(D288,Players!$B$5:$B$304,0)),""))</f>
        <v/>
      </c>
      <c r="F288" s="22" t="str">
        <f aca="false">IF(D288="","",IF(COUNTIFS($B$5:$B$2004,B288,$D$5:$D$2004,D288)&gt;1,"DUPLICATE",IF(ISNA(MATCH(D288,Players!$B$5:$B$304,0)),"UID not found",IF(INDEX(Players!$H$5:$H$304,MATCH(D288,Players!$B$5:$B$304,0))&lt;0,"LOW BALANCE","OK"))))</f>
        <v/>
      </c>
      <c r="G288" s="1"/>
      <c r="H288" s="1"/>
      <c r="I288" s="1"/>
    </row>
    <row r="289" customFormat="false" ht="21.75" hidden="false" customHeight="true" outlineLevel="0" collapsed="false">
      <c r="A289" s="1"/>
      <c r="B289" s="16"/>
      <c r="C289" s="16"/>
      <c r="D289" s="15"/>
      <c r="E289" s="11" t="str">
        <f aca="false">IF(D289="","",IFERROR(INDEX(Players!$C$5:$C$304,MATCH(D289,Players!$B$5:$B$304,0)),""))</f>
        <v/>
      </c>
      <c r="F289" s="22" t="str">
        <f aca="false">IF(D289="","",IF(COUNTIFS($B$5:$B$2004,B289,$D$5:$D$2004,D289)&gt;1,"DUPLICATE",IF(ISNA(MATCH(D289,Players!$B$5:$B$304,0)),"UID not found",IF(INDEX(Players!$H$5:$H$304,MATCH(D289,Players!$B$5:$B$304,0))&lt;0,"LOW BALANCE","OK"))))</f>
        <v/>
      </c>
      <c r="G289" s="1"/>
      <c r="H289" s="1"/>
      <c r="I289" s="1"/>
    </row>
    <row r="290" customFormat="false" ht="21.75" hidden="false" customHeight="true" outlineLevel="0" collapsed="false">
      <c r="A290" s="1"/>
      <c r="B290" s="16"/>
      <c r="C290" s="16"/>
      <c r="D290" s="15"/>
      <c r="E290" s="11" t="str">
        <f aca="false">IF(D290="","",IFERROR(INDEX(Players!$C$5:$C$304,MATCH(D290,Players!$B$5:$B$304,0)),""))</f>
        <v/>
      </c>
      <c r="F290" s="22" t="str">
        <f aca="false">IF(D290="","",IF(COUNTIFS($B$5:$B$2004,B290,$D$5:$D$2004,D290)&gt;1,"DUPLICATE",IF(ISNA(MATCH(D290,Players!$B$5:$B$304,0)),"UID not found",IF(INDEX(Players!$H$5:$H$304,MATCH(D290,Players!$B$5:$B$304,0))&lt;0,"LOW BALANCE","OK"))))</f>
        <v/>
      </c>
      <c r="G290" s="1"/>
      <c r="H290" s="1"/>
      <c r="I290" s="1"/>
    </row>
    <row r="291" customFormat="false" ht="21.75" hidden="false" customHeight="true" outlineLevel="0" collapsed="false">
      <c r="A291" s="1"/>
      <c r="B291" s="16"/>
      <c r="C291" s="16"/>
      <c r="D291" s="15"/>
      <c r="E291" s="11" t="str">
        <f aca="false">IF(D291="","",IFERROR(INDEX(Players!$C$5:$C$304,MATCH(D291,Players!$B$5:$B$304,0)),""))</f>
        <v/>
      </c>
      <c r="F291" s="22" t="str">
        <f aca="false">IF(D291="","",IF(COUNTIFS($B$5:$B$2004,B291,$D$5:$D$2004,D291)&gt;1,"DUPLICATE",IF(ISNA(MATCH(D291,Players!$B$5:$B$304,0)),"UID not found",IF(INDEX(Players!$H$5:$H$304,MATCH(D291,Players!$B$5:$B$304,0))&lt;0,"LOW BALANCE","OK"))))</f>
        <v/>
      </c>
      <c r="G291" s="1"/>
      <c r="H291" s="1"/>
      <c r="I291" s="1"/>
    </row>
    <row r="292" customFormat="false" ht="21.75" hidden="false" customHeight="true" outlineLevel="0" collapsed="false">
      <c r="A292" s="1"/>
      <c r="B292" s="16"/>
      <c r="C292" s="16"/>
      <c r="D292" s="15"/>
      <c r="E292" s="11" t="str">
        <f aca="false">IF(D292="","",IFERROR(INDEX(Players!$C$5:$C$304,MATCH(D292,Players!$B$5:$B$304,0)),""))</f>
        <v/>
      </c>
      <c r="F292" s="22" t="str">
        <f aca="false">IF(D292="","",IF(COUNTIFS($B$5:$B$2004,B292,$D$5:$D$2004,D292)&gt;1,"DUPLICATE",IF(ISNA(MATCH(D292,Players!$B$5:$B$304,0)),"UID not found",IF(INDEX(Players!$H$5:$H$304,MATCH(D292,Players!$B$5:$B$304,0))&lt;0,"LOW BALANCE","OK"))))</f>
        <v/>
      </c>
      <c r="G292" s="1"/>
      <c r="H292" s="1"/>
      <c r="I292" s="1"/>
    </row>
    <row r="293" customFormat="false" ht="21.75" hidden="false" customHeight="true" outlineLevel="0" collapsed="false">
      <c r="A293" s="1"/>
      <c r="B293" s="16"/>
      <c r="C293" s="16"/>
      <c r="D293" s="15"/>
      <c r="E293" s="11" t="str">
        <f aca="false">IF(D293="","",IFERROR(INDEX(Players!$C$5:$C$304,MATCH(D293,Players!$B$5:$B$304,0)),""))</f>
        <v/>
      </c>
      <c r="F293" s="22" t="str">
        <f aca="false">IF(D293="","",IF(COUNTIFS($B$5:$B$2004,B293,$D$5:$D$2004,D293)&gt;1,"DUPLICATE",IF(ISNA(MATCH(D293,Players!$B$5:$B$304,0)),"UID not found",IF(INDEX(Players!$H$5:$H$304,MATCH(D293,Players!$B$5:$B$304,0))&lt;0,"LOW BALANCE","OK"))))</f>
        <v/>
      </c>
      <c r="G293" s="1"/>
      <c r="H293" s="1"/>
      <c r="I293" s="1"/>
    </row>
    <row r="294" customFormat="false" ht="21.75" hidden="false" customHeight="true" outlineLevel="0" collapsed="false">
      <c r="A294" s="1"/>
      <c r="B294" s="16"/>
      <c r="C294" s="16"/>
      <c r="D294" s="15"/>
      <c r="E294" s="11" t="str">
        <f aca="false">IF(D294="","",IFERROR(INDEX(Players!$C$5:$C$304,MATCH(D294,Players!$B$5:$B$304,0)),""))</f>
        <v/>
      </c>
      <c r="F294" s="22" t="str">
        <f aca="false">IF(D294="","",IF(COUNTIFS($B$5:$B$2004,B294,$D$5:$D$2004,D294)&gt;1,"DUPLICATE",IF(ISNA(MATCH(D294,Players!$B$5:$B$304,0)),"UID not found",IF(INDEX(Players!$H$5:$H$304,MATCH(D294,Players!$B$5:$B$304,0))&lt;0,"LOW BALANCE","OK"))))</f>
        <v/>
      </c>
      <c r="G294" s="1"/>
      <c r="H294" s="1"/>
      <c r="I294" s="1"/>
    </row>
    <row r="295" customFormat="false" ht="21.75" hidden="false" customHeight="true" outlineLevel="0" collapsed="false">
      <c r="A295" s="1"/>
      <c r="B295" s="16"/>
      <c r="C295" s="16"/>
      <c r="D295" s="15"/>
      <c r="E295" s="11" t="str">
        <f aca="false">IF(D295="","",IFERROR(INDEX(Players!$C$5:$C$304,MATCH(D295,Players!$B$5:$B$304,0)),""))</f>
        <v/>
      </c>
      <c r="F295" s="22" t="str">
        <f aca="false">IF(D295="","",IF(COUNTIFS($B$5:$B$2004,B295,$D$5:$D$2004,D295)&gt;1,"DUPLICATE",IF(ISNA(MATCH(D295,Players!$B$5:$B$304,0)),"UID not found",IF(INDEX(Players!$H$5:$H$304,MATCH(D295,Players!$B$5:$B$304,0))&lt;0,"LOW BALANCE","OK"))))</f>
        <v/>
      </c>
      <c r="G295" s="1"/>
      <c r="H295" s="1"/>
      <c r="I295" s="1"/>
    </row>
    <row r="296" customFormat="false" ht="21.75" hidden="false" customHeight="true" outlineLevel="0" collapsed="false">
      <c r="A296" s="1"/>
      <c r="B296" s="16"/>
      <c r="C296" s="16"/>
      <c r="D296" s="15"/>
      <c r="E296" s="11" t="str">
        <f aca="false">IF(D296="","",IFERROR(INDEX(Players!$C$5:$C$304,MATCH(D296,Players!$B$5:$B$304,0)),""))</f>
        <v/>
      </c>
      <c r="F296" s="22" t="str">
        <f aca="false">IF(D296="","",IF(COUNTIFS($B$5:$B$2004,B296,$D$5:$D$2004,D296)&gt;1,"DUPLICATE",IF(ISNA(MATCH(D296,Players!$B$5:$B$304,0)),"UID not found",IF(INDEX(Players!$H$5:$H$304,MATCH(D296,Players!$B$5:$B$304,0))&lt;0,"LOW BALANCE","OK"))))</f>
        <v/>
      </c>
      <c r="G296" s="1"/>
      <c r="H296" s="1"/>
      <c r="I296" s="1"/>
    </row>
    <row r="297" customFormat="false" ht="21.75" hidden="false" customHeight="true" outlineLevel="0" collapsed="false">
      <c r="A297" s="1"/>
      <c r="B297" s="16"/>
      <c r="C297" s="16"/>
      <c r="D297" s="15"/>
      <c r="E297" s="11" t="str">
        <f aca="false">IF(D297="","",IFERROR(INDEX(Players!$C$5:$C$304,MATCH(D297,Players!$B$5:$B$304,0)),""))</f>
        <v/>
      </c>
      <c r="F297" s="22" t="str">
        <f aca="false">IF(D297="","",IF(COUNTIFS($B$5:$B$2004,B297,$D$5:$D$2004,D297)&gt;1,"DUPLICATE",IF(ISNA(MATCH(D297,Players!$B$5:$B$304,0)),"UID not found",IF(INDEX(Players!$H$5:$H$304,MATCH(D297,Players!$B$5:$B$304,0))&lt;0,"LOW BALANCE","OK"))))</f>
        <v/>
      </c>
      <c r="G297" s="1"/>
      <c r="H297" s="1"/>
      <c r="I297" s="1"/>
    </row>
    <row r="298" customFormat="false" ht="21.75" hidden="false" customHeight="true" outlineLevel="0" collapsed="false">
      <c r="A298" s="1"/>
      <c r="B298" s="16"/>
      <c r="C298" s="16"/>
      <c r="D298" s="15"/>
      <c r="E298" s="11" t="str">
        <f aca="false">IF(D298="","",IFERROR(INDEX(Players!$C$5:$C$304,MATCH(D298,Players!$B$5:$B$304,0)),""))</f>
        <v/>
      </c>
      <c r="F298" s="22" t="str">
        <f aca="false">IF(D298="","",IF(COUNTIFS($B$5:$B$2004,B298,$D$5:$D$2004,D298)&gt;1,"DUPLICATE",IF(ISNA(MATCH(D298,Players!$B$5:$B$304,0)),"UID not found",IF(INDEX(Players!$H$5:$H$304,MATCH(D298,Players!$B$5:$B$304,0))&lt;0,"LOW BALANCE","OK"))))</f>
        <v/>
      </c>
      <c r="G298" s="1"/>
      <c r="H298" s="1"/>
      <c r="I298" s="1"/>
    </row>
    <row r="299" customFormat="false" ht="21.75" hidden="false" customHeight="true" outlineLevel="0" collapsed="false">
      <c r="A299" s="1"/>
      <c r="B299" s="16"/>
      <c r="C299" s="16"/>
      <c r="D299" s="15"/>
      <c r="E299" s="11" t="str">
        <f aca="false">IF(D299="","",IFERROR(INDEX(Players!$C$5:$C$304,MATCH(D299,Players!$B$5:$B$304,0)),""))</f>
        <v/>
      </c>
      <c r="F299" s="22" t="str">
        <f aca="false">IF(D299="","",IF(COUNTIFS($B$5:$B$2004,B299,$D$5:$D$2004,D299)&gt;1,"DUPLICATE",IF(ISNA(MATCH(D299,Players!$B$5:$B$304,0)),"UID not found",IF(INDEX(Players!$H$5:$H$304,MATCH(D299,Players!$B$5:$B$304,0))&lt;0,"LOW BALANCE","OK"))))</f>
        <v/>
      </c>
      <c r="G299" s="1"/>
      <c r="H299" s="1"/>
      <c r="I299" s="1"/>
    </row>
    <row r="300" customFormat="false" ht="21.75" hidden="false" customHeight="true" outlineLevel="0" collapsed="false">
      <c r="A300" s="1"/>
      <c r="B300" s="16"/>
      <c r="C300" s="16"/>
      <c r="D300" s="15"/>
      <c r="E300" s="11" t="str">
        <f aca="false">IF(D300="","",IFERROR(INDEX(Players!$C$5:$C$304,MATCH(D300,Players!$B$5:$B$304,0)),""))</f>
        <v/>
      </c>
      <c r="F300" s="22" t="str">
        <f aca="false">IF(D300="","",IF(COUNTIFS($B$5:$B$2004,B300,$D$5:$D$2004,D300)&gt;1,"DUPLICATE",IF(ISNA(MATCH(D300,Players!$B$5:$B$304,0)),"UID not found",IF(INDEX(Players!$H$5:$H$304,MATCH(D300,Players!$B$5:$B$304,0))&lt;0,"LOW BALANCE","OK"))))</f>
        <v/>
      </c>
      <c r="G300" s="1"/>
      <c r="H300" s="1"/>
      <c r="I300" s="1"/>
    </row>
    <row r="301" customFormat="false" ht="21.75" hidden="false" customHeight="true" outlineLevel="0" collapsed="false">
      <c r="A301" s="1"/>
      <c r="B301" s="16"/>
      <c r="C301" s="16"/>
      <c r="D301" s="15"/>
      <c r="E301" s="11" t="str">
        <f aca="false">IF(D301="","",IFERROR(INDEX(Players!$C$5:$C$304,MATCH(D301,Players!$B$5:$B$304,0)),""))</f>
        <v/>
      </c>
      <c r="F301" s="22" t="str">
        <f aca="false">IF(D301="","",IF(COUNTIFS($B$5:$B$2004,B301,$D$5:$D$2004,D301)&gt;1,"DUPLICATE",IF(ISNA(MATCH(D301,Players!$B$5:$B$304,0)),"UID not found",IF(INDEX(Players!$H$5:$H$304,MATCH(D301,Players!$B$5:$B$304,0))&lt;0,"LOW BALANCE","OK"))))</f>
        <v/>
      </c>
      <c r="G301" s="1"/>
      <c r="H301" s="1"/>
      <c r="I301" s="1"/>
    </row>
    <row r="302" customFormat="false" ht="21.75" hidden="false" customHeight="true" outlineLevel="0" collapsed="false">
      <c r="A302" s="1"/>
      <c r="B302" s="16"/>
      <c r="C302" s="16"/>
      <c r="D302" s="15"/>
      <c r="E302" s="11" t="str">
        <f aca="false">IF(D302="","",IFERROR(INDEX(Players!$C$5:$C$304,MATCH(D302,Players!$B$5:$B$304,0)),""))</f>
        <v/>
      </c>
      <c r="F302" s="22" t="str">
        <f aca="false">IF(D302="","",IF(COUNTIFS($B$5:$B$2004,B302,$D$5:$D$2004,D302)&gt;1,"DUPLICATE",IF(ISNA(MATCH(D302,Players!$B$5:$B$304,0)),"UID not found",IF(INDEX(Players!$H$5:$H$304,MATCH(D302,Players!$B$5:$B$304,0))&lt;0,"LOW BALANCE","OK"))))</f>
        <v/>
      </c>
      <c r="G302" s="1"/>
      <c r="H302" s="1"/>
      <c r="I302" s="1"/>
    </row>
    <row r="303" customFormat="false" ht="21.75" hidden="false" customHeight="true" outlineLevel="0" collapsed="false">
      <c r="A303" s="1"/>
      <c r="B303" s="16"/>
      <c r="C303" s="16"/>
      <c r="D303" s="15"/>
      <c r="E303" s="11" t="str">
        <f aca="false">IF(D303="","",IFERROR(INDEX(Players!$C$5:$C$304,MATCH(D303,Players!$B$5:$B$304,0)),""))</f>
        <v/>
      </c>
      <c r="F303" s="22" t="str">
        <f aca="false">IF(D303="","",IF(COUNTIFS($B$5:$B$2004,B303,$D$5:$D$2004,D303)&gt;1,"DUPLICATE",IF(ISNA(MATCH(D303,Players!$B$5:$B$304,0)),"UID not found",IF(INDEX(Players!$H$5:$H$304,MATCH(D303,Players!$B$5:$B$304,0))&lt;0,"LOW BALANCE","OK"))))</f>
        <v/>
      </c>
      <c r="G303" s="1"/>
      <c r="H303" s="1"/>
      <c r="I303" s="1"/>
    </row>
    <row r="304" customFormat="false" ht="21.75" hidden="false" customHeight="true" outlineLevel="0" collapsed="false">
      <c r="A304" s="1"/>
      <c r="B304" s="16"/>
      <c r="C304" s="16"/>
      <c r="D304" s="15"/>
      <c r="E304" s="11" t="str">
        <f aca="false">IF(D304="","",IFERROR(INDEX(Players!$C$5:$C$304,MATCH(D304,Players!$B$5:$B$304,0)),""))</f>
        <v/>
      </c>
      <c r="F304" s="22" t="str">
        <f aca="false">IF(D304="","",IF(COUNTIFS($B$5:$B$2004,B304,$D$5:$D$2004,D304)&gt;1,"DUPLICATE",IF(ISNA(MATCH(D304,Players!$B$5:$B$304,0)),"UID not found",IF(INDEX(Players!$H$5:$H$304,MATCH(D304,Players!$B$5:$B$304,0))&lt;0,"LOW BALANCE","OK"))))</f>
        <v/>
      </c>
      <c r="G304" s="1"/>
      <c r="H304" s="1"/>
      <c r="I304" s="1"/>
    </row>
    <row r="305" customFormat="false" ht="21.75" hidden="false" customHeight="true" outlineLevel="0" collapsed="false">
      <c r="A305" s="1"/>
      <c r="B305" s="16"/>
      <c r="C305" s="16"/>
      <c r="D305" s="15"/>
      <c r="E305" s="11" t="str">
        <f aca="false">IF(D305="","",IFERROR(INDEX(Players!$C$5:$C$304,MATCH(D305,Players!$B$5:$B$304,0)),""))</f>
        <v/>
      </c>
      <c r="F305" s="22" t="str">
        <f aca="false">IF(D305="","",IF(COUNTIFS($B$5:$B$2004,B305,$D$5:$D$2004,D305)&gt;1,"DUPLICATE",IF(ISNA(MATCH(D305,Players!$B$5:$B$304,0)),"UID not found",IF(INDEX(Players!$H$5:$H$304,MATCH(D305,Players!$B$5:$B$304,0))&lt;0,"LOW BALANCE","OK"))))</f>
        <v/>
      </c>
      <c r="G305" s="1"/>
      <c r="H305" s="1"/>
      <c r="I305" s="1"/>
    </row>
    <row r="306" customFormat="false" ht="21.75" hidden="false" customHeight="true" outlineLevel="0" collapsed="false">
      <c r="A306" s="1"/>
      <c r="B306" s="16"/>
      <c r="C306" s="16"/>
      <c r="D306" s="15"/>
      <c r="E306" s="11" t="str">
        <f aca="false">IF(D306="","",IFERROR(INDEX(Players!$C$5:$C$304,MATCH(D306,Players!$B$5:$B$304,0)),""))</f>
        <v/>
      </c>
      <c r="F306" s="22" t="str">
        <f aca="false">IF(D306="","",IF(COUNTIFS($B$5:$B$2004,B306,$D$5:$D$2004,D306)&gt;1,"DUPLICATE",IF(ISNA(MATCH(D306,Players!$B$5:$B$304,0)),"UID not found",IF(INDEX(Players!$H$5:$H$304,MATCH(D306,Players!$B$5:$B$304,0))&lt;0,"LOW BALANCE","OK"))))</f>
        <v/>
      </c>
      <c r="G306" s="1"/>
      <c r="H306" s="1"/>
      <c r="I306" s="1"/>
    </row>
    <row r="307" customFormat="false" ht="21.75" hidden="false" customHeight="true" outlineLevel="0" collapsed="false">
      <c r="A307" s="1"/>
      <c r="B307" s="16"/>
      <c r="C307" s="16"/>
      <c r="D307" s="15"/>
      <c r="E307" s="11" t="str">
        <f aca="false">IF(D307="","",IFERROR(INDEX(Players!$C$5:$C$304,MATCH(D307,Players!$B$5:$B$304,0)),""))</f>
        <v/>
      </c>
      <c r="F307" s="22" t="str">
        <f aca="false">IF(D307="","",IF(COUNTIFS($B$5:$B$2004,B307,$D$5:$D$2004,D307)&gt;1,"DUPLICATE",IF(ISNA(MATCH(D307,Players!$B$5:$B$304,0)),"UID not found",IF(INDEX(Players!$H$5:$H$304,MATCH(D307,Players!$B$5:$B$304,0))&lt;0,"LOW BALANCE","OK"))))</f>
        <v/>
      </c>
      <c r="G307" s="1"/>
      <c r="H307" s="1"/>
      <c r="I307" s="1"/>
    </row>
    <row r="308" customFormat="false" ht="21.75" hidden="false" customHeight="true" outlineLevel="0" collapsed="false">
      <c r="A308" s="1"/>
      <c r="B308" s="16"/>
      <c r="C308" s="16"/>
      <c r="D308" s="15"/>
      <c r="E308" s="11" t="str">
        <f aca="false">IF(D308="","",IFERROR(INDEX(Players!$C$5:$C$304,MATCH(D308,Players!$B$5:$B$304,0)),""))</f>
        <v/>
      </c>
      <c r="F308" s="22" t="str">
        <f aca="false">IF(D308="","",IF(COUNTIFS($B$5:$B$2004,B308,$D$5:$D$2004,D308)&gt;1,"DUPLICATE",IF(ISNA(MATCH(D308,Players!$B$5:$B$304,0)),"UID not found",IF(INDEX(Players!$H$5:$H$304,MATCH(D308,Players!$B$5:$B$304,0))&lt;0,"LOW BALANCE","OK"))))</f>
        <v/>
      </c>
      <c r="G308" s="1"/>
      <c r="H308" s="1"/>
      <c r="I308" s="1"/>
    </row>
    <row r="309" customFormat="false" ht="21.75" hidden="false" customHeight="true" outlineLevel="0" collapsed="false">
      <c r="A309" s="1"/>
      <c r="B309" s="16"/>
      <c r="C309" s="16"/>
      <c r="D309" s="15"/>
      <c r="E309" s="11" t="str">
        <f aca="false">IF(D309="","",IFERROR(INDEX(Players!$C$5:$C$304,MATCH(D309,Players!$B$5:$B$304,0)),""))</f>
        <v/>
      </c>
      <c r="F309" s="22" t="str">
        <f aca="false">IF(D309="","",IF(COUNTIFS($B$5:$B$2004,B309,$D$5:$D$2004,D309)&gt;1,"DUPLICATE",IF(ISNA(MATCH(D309,Players!$B$5:$B$304,0)),"UID not found",IF(INDEX(Players!$H$5:$H$304,MATCH(D309,Players!$B$5:$B$304,0))&lt;0,"LOW BALANCE","OK"))))</f>
        <v/>
      </c>
      <c r="G309" s="1"/>
      <c r="H309" s="1"/>
      <c r="I309" s="1"/>
    </row>
    <row r="310" customFormat="false" ht="21.75" hidden="false" customHeight="true" outlineLevel="0" collapsed="false">
      <c r="A310" s="1"/>
      <c r="B310" s="16"/>
      <c r="C310" s="16"/>
      <c r="D310" s="15"/>
      <c r="E310" s="11" t="str">
        <f aca="false">IF(D310="","",IFERROR(INDEX(Players!$C$5:$C$304,MATCH(D310,Players!$B$5:$B$304,0)),""))</f>
        <v/>
      </c>
      <c r="F310" s="22" t="str">
        <f aca="false">IF(D310="","",IF(COUNTIFS($B$5:$B$2004,B310,$D$5:$D$2004,D310)&gt;1,"DUPLICATE",IF(ISNA(MATCH(D310,Players!$B$5:$B$304,0)),"UID not found",IF(INDEX(Players!$H$5:$H$304,MATCH(D310,Players!$B$5:$B$304,0))&lt;0,"LOW BALANCE","OK"))))</f>
        <v/>
      </c>
      <c r="G310" s="1"/>
      <c r="H310" s="1"/>
      <c r="I310" s="1"/>
    </row>
    <row r="311" customFormat="false" ht="21.75" hidden="false" customHeight="true" outlineLevel="0" collapsed="false">
      <c r="A311" s="1"/>
      <c r="B311" s="16"/>
      <c r="C311" s="16"/>
      <c r="D311" s="15"/>
      <c r="E311" s="11" t="str">
        <f aca="false">IF(D311="","",IFERROR(INDEX(Players!$C$5:$C$304,MATCH(D311,Players!$B$5:$B$304,0)),""))</f>
        <v/>
      </c>
      <c r="F311" s="22" t="str">
        <f aca="false">IF(D311="","",IF(COUNTIFS($B$5:$B$2004,B311,$D$5:$D$2004,D311)&gt;1,"DUPLICATE",IF(ISNA(MATCH(D311,Players!$B$5:$B$304,0)),"UID not found",IF(INDEX(Players!$H$5:$H$304,MATCH(D311,Players!$B$5:$B$304,0))&lt;0,"LOW BALANCE","OK"))))</f>
        <v/>
      </c>
      <c r="G311" s="1"/>
      <c r="H311" s="1"/>
      <c r="I311" s="1"/>
    </row>
    <row r="312" customFormat="false" ht="21.75" hidden="false" customHeight="true" outlineLevel="0" collapsed="false">
      <c r="A312" s="1"/>
      <c r="B312" s="16"/>
      <c r="C312" s="16"/>
      <c r="D312" s="15"/>
      <c r="E312" s="11" t="str">
        <f aca="false">IF(D312="","",IFERROR(INDEX(Players!$C$5:$C$304,MATCH(D312,Players!$B$5:$B$304,0)),""))</f>
        <v/>
      </c>
      <c r="F312" s="22" t="str">
        <f aca="false">IF(D312="","",IF(COUNTIFS($B$5:$B$2004,B312,$D$5:$D$2004,D312)&gt;1,"DUPLICATE",IF(ISNA(MATCH(D312,Players!$B$5:$B$304,0)),"UID not found",IF(INDEX(Players!$H$5:$H$304,MATCH(D312,Players!$B$5:$B$304,0))&lt;0,"LOW BALANCE","OK"))))</f>
        <v/>
      </c>
      <c r="G312" s="1"/>
      <c r="H312" s="1"/>
      <c r="I312" s="1"/>
    </row>
    <row r="313" customFormat="false" ht="21.75" hidden="false" customHeight="true" outlineLevel="0" collapsed="false">
      <c r="A313" s="1"/>
      <c r="B313" s="16"/>
      <c r="C313" s="16"/>
      <c r="D313" s="15"/>
      <c r="E313" s="11" t="str">
        <f aca="false">IF(D313="","",IFERROR(INDEX(Players!$C$5:$C$304,MATCH(D313,Players!$B$5:$B$304,0)),""))</f>
        <v/>
      </c>
      <c r="F313" s="22" t="str">
        <f aca="false">IF(D313="","",IF(COUNTIFS($B$5:$B$2004,B313,$D$5:$D$2004,D313)&gt;1,"DUPLICATE",IF(ISNA(MATCH(D313,Players!$B$5:$B$304,0)),"UID not found",IF(INDEX(Players!$H$5:$H$304,MATCH(D313,Players!$B$5:$B$304,0))&lt;0,"LOW BALANCE","OK"))))</f>
        <v/>
      </c>
      <c r="G313" s="1"/>
      <c r="H313" s="1"/>
      <c r="I313" s="1"/>
    </row>
    <row r="314" customFormat="false" ht="21.75" hidden="false" customHeight="true" outlineLevel="0" collapsed="false">
      <c r="A314" s="1"/>
      <c r="B314" s="16"/>
      <c r="C314" s="16"/>
      <c r="D314" s="15"/>
      <c r="E314" s="11" t="str">
        <f aca="false">IF(D314="","",IFERROR(INDEX(Players!$C$5:$C$304,MATCH(D314,Players!$B$5:$B$304,0)),""))</f>
        <v/>
      </c>
      <c r="F314" s="22" t="str">
        <f aca="false">IF(D314="","",IF(COUNTIFS($B$5:$B$2004,B314,$D$5:$D$2004,D314)&gt;1,"DUPLICATE",IF(ISNA(MATCH(D314,Players!$B$5:$B$304,0)),"UID not found",IF(INDEX(Players!$H$5:$H$304,MATCH(D314,Players!$B$5:$B$304,0))&lt;0,"LOW BALANCE","OK"))))</f>
        <v/>
      </c>
      <c r="G314" s="1"/>
      <c r="H314" s="1"/>
      <c r="I314" s="1"/>
    </row>
    <row r="315" customFormat="false" ht="21.75" hidden="false" customHeight="true" outlineLevel="0" collapsed="false">
      <c r="A315" s="1"/>
      <c r="B315" s="16"/>
      <c r="C315" s="16"/>
      <c r="D315" s="15"/>
      <c r="E315" s="11" t="str">
        <f aca="false">IF(D315="","",IFERROR(INDEX(Players!$C$5:$C$304,MATCH(D315,Players!$B$5:$B$304,0)),""))</f>
        <v/>
      </c>
      <c r="F315" s="22" t="str">
        <f aca="false">IF(D315="","",IF(COUNTIFS($B$5:$B$2004,B315,$D$5:$D$2004,D315)&gt;1,"DUPLICATE",IF(ISNA(MATCH(D315,Players!$B$5:$B$304,0)),"UID not found",IF(INDEX(Players!$H$5:$H$304,MATCH(D315,Players!$B$5:$B$304,0))&lt;0,"LOW BALANCE","OK"))))</f>
        <v/>
      </c>
      <c r="G315" s="1"/>
      <c r="H315" s="1"/>
      <c r="I315" s="1"/>
    </row>
    <row r="316" customFormat="false" ht="21.75" hidden="false" customHeight="true" outlineLevel="0" collapsed="false">
      <c r="A316" s="1"/>
      <c r="B316" s="16"/>
      <c r="C316" s="16"/>
      <c r="D316" s="15"/>
      <c r="E316" s="11" t="str">
        <f aca="false">IF(D316="","",IFERROR(INDEX(Players!$C$5:$C$304,MATCH(D316,Players!$B$5:$B$304,0)),""))</f>
        <v/>
      </c>
      <c r="F316" s="22" t="str">
        <f aca="false">IF(D316="","",IF(COUNTIFS($B$5:$B$2004,B316,$D$5:$D$2004,D316)&gt;1,"DUPLICATE",IF(ISNA(MATCH(D316,Players!$B$5:$B$304,0)),"UID not found",IF(INDEX(Players!$H$5:$H$304,MATCH(D316,Players!$B$5:$B$304,0))&lt;0,"LOW BALANCE","OK"))))</f>
        <v/>
      </c>
      <c r="G316" s="1"/>
      <c r="H316" s="1"/>
      <c r="I316" s="1"/>
    </row>
    <row r="317" customFormat="false" ht="21.75" hidden="false" customHeight="true" outlineLevel="0" collapsed="false">
      <c r="A317" s="1"/>
      <c r="B317" s="16"/>
      <c r="C317" s="16"/>
      <c r="D317" s="15"/>
      <c r="E317" s="11" t="str">
        <f aca="false">IF(D317="","",IFERROR(INDEX(Players!$C$5:$C$304,MATCH(D317,Players!$B$5:$B$304,0)),""))</f>
        <v/>
      </c>
      <c r="F317" s="22" t="str">
        <f aca="false">IF(D317="","",IF(COUNTIFS($B$5:$B$2004,B317,$D$5:$D$2004,D317)&gt;1,"DUPLICATE",IF(ISNA(MATCH(D317,Players!$B$5:$B$304,0)),"UID not found",IF(INDEX(Players!$H$5:$H$304,MATCH(D317,Players!$B$5:$B$304,0))&lt;0,"LOW BALANCE","OK"))))</f>
        <v/>
      </c>
      <c r="G317" s="1"/>
      <c r="H317" s="1"/>
      <c r="I317" s="1"/>
    </row>
    <row r="318" customFormat="false" ht="21.75" hidden="false" customHeight="true" outlineLevel="0" collapsed="false">
      <c r="A318" s="1"/>
      <c r="B318" s="16"/>
      <c r="C318" s="16"/>
      <c r="D318" s="15"/>
      <c r="E318" s="11" t="str">
        <f aca="false">IF(D318="","",IFERROR(INDEX(Players!$C$5:$C$304,MATCH(D318,Players!$B$5:$B$304,0)),""))</f>
        <v/>
      </c>
      <c r="F318" s="22" t="str">
        <f aca="false">IF(D318="","",IF(COUNTIFS($B$5:$B$2004,B318,$D$5:$D$2004,D318)&gt;1,"DUPLICATE",IF(ISNA(MATCH(D318,Players!$B$5:$B$304,0)),"UID not found",IF(INDEX(Players!$H$5:$H$304,MATCH(D318,Players!$B$5:$B$304,0))&lt;0,"LOW BALANCE","OK"))))</f>
        <v/>
      </c>
      <c r="G318" s="1"/>
      <c r="H318" s="1"/>
      <c r="I318" s="1"/>
    </row>
    <row r="319" customFormat="false" ht="21.75" hidden="false" customHeight="true" outlineLevel="0" collapsed="false">
      <c r="A319" s="1"/>
      <c r="B319" s="16"/>
      <c r="C319" s="16"/>
      <c r="D319" s="15"/>
      <c r="E319" s="11" t="str">
        <f aca="false">IF(D319="","",IFERROR(INDEX(Players!$C$5:$C$304,MATCH(D319,Players!$B$5:$B$304,0)),""))</f>
        <v/>
      </c>
      <c r="F319" s="22" t="str">
        <f aca="false">IF(D319="","",IF(COUNTIFS($B$5:$B$2004,B319,$D$5:$D$2004,D319)&gt;1,"DUPLICATE",IF(ISNA(MATCH(D319,Players!$B$5:$B$304,0)),"UID not found",IF(INDEX(Players!$H$5:$H$304,MATCH(D319,Players!$B$5:$B$304,0))&lt;0,"LOW BALANCE","OK"))))</f>
        <v/>
      </c>
      <c r="G319" s="1"/>
      <c r="H319" s="1"/>
      <c r="I319" s="1"/>
    </row>
    <row r="320" customFormat="false" ht="21.75" hidden="false" customHeight="true" outlineLevel="0" collapsed="false">
      <c r="A320" s="1"/>
      <c r="B320" s="16"/>
      <c r="C320" s="16"/>
      <c r="D320" s="15"/>
      <c r="E320" s="11" t="str">
        <f aca="false">IF(D320="","",IFERROR(INDEX(Players!$C$5:$C$304,MATCH(D320,Players!$B$5:$B$304,0)),""))</f>
        <v/>
      </c>
      <c r="F320" s="22" t="str">
        <f aca="false">IF(D320="","",IF(COUNTIFS($B$5:$B$2004,B320,$D$5:$D$2004,D320)&gt;1,"DUPLICATE",IF(ISNA(MATCH(D320,Players!$B$5:$B$304,0)),"UID not found",IF(INDEX(Players!$H$5:$H$304,MATCH(D320,Players!$B$5:$B$304,0))&lt;0,"LOW BALANCE","OK"))))</f>
        <v/>
      </c>
      <c r="G320" s="1"/>
      <c r="H320" s="1"/>
      <c r="I320" s="1"/>
    </row>
    <row r="321" customFormat="false" ht="21.75" hidden="false" customHeight="true" outlineLevel="0" collapsed="false">
      <c r="A321" s="1"/>
      <c r="B321" s="16"/>
      <c r="C321" s="16"/>
      <c r="D321" s="15"/>
      <c r="E321" s="11" t="str">
        <f aca="false">IF(D321="","",IFERROR(INDEX(Players!$C$5:$C$304,MATCH(D321,Players!$B$5:$B$304,0)),""))</f>
        <v/>
      </c>
      <c r="F321" s="22" t="str">
        <f aca="false">IF(D321="","",IF(COUNTIFS($B$5:$B$2004,B321,$D$5:$D$2004,D321)&gt;1,"DUPLICATE",IF(ISNA(MATCH(D321,Players!$B$5:$B$304,0)),"UID not found",IF(INDEX(Players!$H$5:$H$304,MATCH(D321,Players!$B$5:$B$304,0))&lt;0,"LOW BALANCE","OK"))))</f>
        <v/>
      </c>
      <c r="G321" s="1"/>
      <c r="H321" s="1"/>
      <c r="I321" s="1"/>
    </row>
    <row r="322" customFormat="false" ht="21.75" hidden="false" customHeight="true" outlineLevel="0" collapsed="false">
      <c r="A322" s="1"/>
      <c r="B322" s="16"/>
      <c r="C322" s="16"/>
      <c r="D322" s="15"/>
      <c r="E322" s="11" t="str">
        <f aca="false">IF(D322="","",IFERROR(INDEX(Players!$C$5:$C$304,MATCH(D322,Players!$B$5:$B$304,0)),""))</f>
        <v/>
      </c>
      <c r="F322" s="22" t="str">
        <f aca="false">IF(D322="","",IF(COUNTIFS($B$5:$B$2004,B322,$D$5:$D$2004,D322)&gt;1,"DUPLICATE",IF(ISNA(MATCH(D322,Players!$B$5:$B$304,0)),"UID not found",IF(INDEX(Players!$H$5:$H$304,MATCH(D322,Players!$B$5:$B$304,0))&lt;0,"LOW BALANCE","OK"))))</f>
        <v/>
      </c>
      <c r="G322" s="1"/>
      <c r="H322" s="1"/>
      <c r="I322" s="1"/>
    </row>
    <row r="323" customFormat="false" ht="21.75" hidden="false" customHeight="true" outlineLevel="0" collapsed="false">
      <c r="A323" s="1"/>
      <c r="B323" s="16"/>
      <c r="C323" s="16"/>
      <c r="D323" s="15"/>
      <c r="E323" s="11" t="str">
        <f aca="false">IF(D323="","",IFERROR(INDEX(Players!$C$5:$C$304,MATCH(D323,Players!$B$5:$B$304,0)),""))</f>
        <v/>
      </c>
      <c r="F323" s="22" t="str">
        <f aca="false">IF(D323="","",IF(COUNTIFS($B$5:$B$2004,B323,$D$5:$D$2004,D323)&gt;1,"DUPLICATE",IF(ISNA(MATCH(D323,Players!$B$5:$B$304,0)),"UID not found",IF(INDEX(Players!$H$5:$H$304,MATCH(D323,Players!$B$5:$B$304,0))&lt;0,"LOW BALANCE","OK"))))</f>
        <v/>
      </c>
      <c r="G323" s="1"/>
      <c r="H323" s="1"/>
      <c r="I323" s="1"/>
    </row>
    <row r="324" customFormat="false" ht="21.75" hidden="false" customHeight="true" outlineLevel="0" collapsed="false">
      <c r="A324" s="1"/>
      <c r="B324" s="16"/>
      <c r="C324" s="16"/>
      <c r="D324" s="15"/>
      <c r="E324" s="11" t="str">
        <f aca="false">IF(D324="","",IFERROR(INDEX(Players!$C$5:$C$304,MATCH(D324,Players!$B$5:$B$304,0)),""))</f>
        <v/>
      </c>
      <c r="F324" s="22" t="str">
        <f aca="false">IF(D324="","",IF(COUNTIFS($B$5:$B$2004,B324,$D$5:$D$2004,D324)&gt;1,"DUPLICATE",IF(ISNA(MATCH(D324,Players!$B$5:$B$304,0)),"UID not found",IF(INDEX(Players!$H$5:$H$304,MATCH(D324,Players!$B$5:$B$304,0))&lt;0,"LOW BALANCE","OK"))))</f>
        <v/>
      </c>
      <c r="G324" s="1"/>
      <c r="H324" s="1"/>
      <c r="I324" s="1"/>
    </row>
    <row r="325" customFormat="false" ht="21.75" hidden="false" customHeight="true" outlineLevel="0" collapsed="false">
      <c r="A325" s="1"/>
      <c r="B325" s="16"/>
      <c r="C325" s="16"/>
      <c r="D325" s="15"/>
      <c r="E325" s="11" t="str">
        <f aca="false">IF(D325="","",IFERROR(INDEX(Players!$C$5:$C$304,MATCH(D325,Players!$B$5:$B$304,0)),""))</f>
        <v/>
      </c>
      <c r="F325" s="22" t="str">
        <f aca="false">IF(D325="","",IF(COUNTIFS($B$5:$B$2004,B325,$D$5:$D$2004,D325)&gt;1,"DUPLICATE",IF(ISNA(MATCH(D325,Players!$B$5:$B$304,0)),"UID not found",IF(INDEX(Players!$H$5:$H$304,MATCH(D325,Players!$B$5:$B$304,0))&lt;0,"LOW BALANCE","OK"))))</f>
        <v/>
      </c>
      <c r="G325" s="1"/>
      <c r="H325" s="1"/>
      <c r="I325" s="1"/>
    </row>
    <row r="326" customFormat="false" ht="21.75" hidden="false" customHeight="true" outlineLevel="0" collapsed="false">
      <c r="A326" s="1"/>
      <c r="B326" s="16"/>
      <c r="C326" s="16"/>
      <c r="D326" s="15"/>
      <c r="E326" s="11" t="str">
        <f aca="false">IF(D326="","",IFERROR(INDEX(Players!$C$5:$C$304,MATCH(D326,Players!$B$5:$B$304,0)),""))</f>
        <v/>
      </c>
      <c r="F326" s="22" t="str">
        <f aca="false">IF(D326="","",IF(COUNTIFS($B$5:$B$2004,B326,$D$5:$D$2004,D326)&gt;1,"DUPLICATE",IF(ISNA(MATCH(D326,Players!$B$5:$B$304,0)),"UID not found",IF(INDEX(Players!$H$5:$H$304,MATCH(D326,Players!$B$5:$B$304,0))&lt;0,"LOW BALANCE","OK"))))</f>
        <v/>
      </c>
      <c r="G326" s="1"/>
      <c r="H326" s="1"/>
      <c r="I326" s="1"/>
    </row>
    <row r="327" customFormat="false" ht="21.75" hidden="false" customHeight="true" outlineLevel="0" collapsed="false">
      <c r="A327" s="1"/>
      <c r="B327" s="16"/>
      <c r="C327" s="16"/>
      <c r="D327" s="15"/>
      <c r="E327" s="11" t="str">
        <f aca="false">IF(D327="","",IFERROR(INDEX(Players!$C$5:$C$304,MATCH(D327,Players!$B$5:$B$304,0)),""))</f>
        <v/>
      </c>
      <c r="F327" s="22" t="str">
        <f aca="false">IF(D327="","",IF(COUNTIFS($B$5:$B$2004,B327,$D$5:$D$2004,D327)&gt;1,"DUPLICATE",IF(ISNA(MATCH(D327,Players!$B$5:$B$304,0)),"UID not found",IF(INDEX(Players!$H$5:$H$304,MATCH(D327,Players!$B$5:$B$304,0))&lt;0,"LOW BALANCE","OK"))))</f>
        <v/>
      </c>
      <c r="G327" s="1"/>
      <c r="H327" s="1"/>
      <c r="I327" s="1"/>
    </row>
    <row r="328" customFormat="false" ht="21.75" hidden="false" customHeight="true" outlineLevel="0" collapsed="false">
      <c r="A328" s="1"/>
      <c r="B328" s="16"/>
      <c r="C328" s="16"/>
      <c r="D328" s="15"/>
      <c r="E328" s="11" t="str">
        <f aca="false">IF(D328="","",IFERROR(INDEX(Players!$C$5:$C$304,MATCH(D328,Players!$B$5:$B$304,0)),""))</f>
        <v/>
      </c>
      <c r="F328" s="22" t="str">
        <f aca="false">IF(D328="","",IF(COUNTIFS($B$5:$B$2004,B328,$D$5:$D$2004,D328)&gt;1,"DUPLICATE",IF(ISNA(MATCH(D328,Players!$B$5:$B$304,0)),"UID not found",IF(INDEX(Players!$H$5:$H$304,MATCH(D328,Players!$B$5:$B$304,0))&lt;0,"LOW BALANCE","OK"))))</f>
        <v/>
      </c>
      <c r="G328" s="1"/>
      <c r="H328" s="1"/>
      <c r="I328" s="1"/>
    </row>
    <row r="329" customFormat="false" ht="21.75" hidden="false" customHeight="true" outlineLevel="0" collapsed="false">
      <c r="A329" s="1"/>
      <c r="B329" s="16"/>
      <c r="C329" s="16"/>
      <c r="D329" s="15"/>
      <c r="E329" s="11" t="str">
        <f aca="false">IF(D329="","",IFERROR(INDEX(Players!$C$5:$C$304,MATCH(D329,Players!$B$5:$B$304,0)),""))</f>
        <v/>
      </c>
      <c r="F329" s="22" t="str">
        <f aca="false">IF(D329="","",IF(COUNTIFS($B$5:$B$2004,B329,$D$5:$D$2004,D329)&gt;1,"DUPLICATE",IF(ISNA(MATCH(D329,Players!$B$5:$B$304,0)),"UID not found",IF(INDEX(Players!$H$5:$H$304,MATCH(D329,Players!$B$5:$B$304,0))&lt;0,"LOW BALANCE","OK"))))</f>
        <v/>
      </c>
      <c r="G329" s="1"/>
      <c r="H329" s="1"/>
      <c r="I329" s="1"/>
    </row>
    <row r="330" customFormat="false" ht="21.75" hidden="false" customHeight="true" outlineLevel="0" collapsed="false">
      <c r="A330" s="1"/>
      <c r="B330" s="16"/>
      <c r="C330" s="16"/>
      <c r="D330" s="15"/>
      <c r="E330" s="11" t="str">
        <f aca="false">IF(D330="","",IFERROR(INDEX(Players!$C$5:$C$304,MATCH(D330,Players!$B$5:$B$304,0)),""))</f>
        <v/>
      </c>
      <c r="F330" s="22" t="str">
        <f aca="false">IF(D330="","",IF(COUNTIFS($B$5:$B$2004,B330,$D$5:$D$2004,D330)&gt;1,"DUPLICATE",IF(ISNA(MATCH(D330,Players!$B$5:$B$304,0)),"UID not found",IF(INDEX(Players!$H$5:$H$304,MATCH(D330,Players!$B$5:$B$304,0))&lt;0,"LOW BALANCE","OK"))))</f>
        <v/>
      </c>
      <c r="G330" s="1"/>
      <c r="H330" s="1"/>
      <c r="I330" s="1"/>
    </row>
    <row r="331" customFormat="false" ht="21.75" hidden="false" customHeight="true" outlineLevel="0" collapsed="false">
      <c r="A331" s="1"/>
      <c r="B331" s="16"/>
      <c r="C331" s="16"/>
      <c r="D331" s="15"/>
      <c r="E331" s="11" t="str">
        <f aca="false">IF(D331="","",IFERROR(INDEX(Players!$C$5:$C$304,MATCH(D331,Players!$B$5:$B$304,0)),""))</f>
        <v/>
      </c>
      <c r="F331" s="22" t="str">
        <f aca="false">IF(D331="","",IF(COUNTIFS($B$5:$B$2004,B331,$D$5:$D$2004,D331)&gt;1,"DUPLICATE",IF(ISNA(MATCH(D331,Players!$B$5:$B$304,0)),"UID not found",IF(INDEX(Players!$H$5:$H$304,MATCH(D331,Players!$B$5:$B$304,0))&lt;0,"LOW BALANCE","OK"))))</f>
        <v/>
      </c>
      <c r="G331" s="1"/>
      <c r="H331" s="1"/>
      <c r="I331" s="1"/>
    </row>
    <row r="332" customFormat="false" ht="21.75" hidden="false" customHeight="true" outlineLevel="0" collapsed="false">
      <c r="A332" s="1"/>
      <c r="B332" s="16"/>
      <c r="C332" s="16"/>
      <c r="D332" s="15"/>
      <c r="E332" s="11" t="str">
        <f aca="false">IF(D332="","",IFERROR(INDEX(Players!$C$5:$C$304,MATCH(D332,Players!$B$5:$B$304,0)),""))</f>
        <v/>
      </c>
      <c r="F332" s="22" t="str">
        <f aca="false">IF(D332="","",IF(COUNTIFS($B$5:$B$2004,B332,$D$5:$D$2004,D332)&gt;1,"DUPLICATE",IF(ISNA(MATCH(D332,Players!$B$5:$B$304,0)),"UID not found",IF(INDEX(Players!$H$5:$H$304,MATCH(D332,Players!$B$5:$B$304,0))&lt;0,"LOW BALANCE","OK"))))</f>
        <v/>
      </c>
      <c r="G332" s="1"/>
      <c r="H332" s="1"/>
      <c r="I332" s="1"/>
    </row>
    <row r="333" customFormat="false" ht="21.75" hidden="false" customHeight="true" outlineLevel="0" collapsed="false">
      <c r="A333" s="1"/>
      <c r="B333" s="16"/>
      <c r="C333" s="16"/>
      <c r="D333" s="15"/>
      <c r="E333" s="11" t="str">
        <f aca="false">IF(D333="","",IFERROR(INDEX(Players!$C$5:$C$304,MATCH(D333,Players!$B$5:$B$304,0)),""))</f>
        <v/>
      </c>
      <c r="F333" s="22" t="str">
        <f aca="false">IF(D333="","",IF(COUNTIFS($B$5:$B$2004,B333,$D$5:$D$2004,D333)&gt;1,"DUPLICATE",IF(ISNA(MATCH(D333,Players!$B$5:$B$304,0)),"UID not found",IF(INDEX(Players!$H$5:$H$304,MATCH(D333,Players!$B$5:$B$304,0))&lt;0,"LOW BALANCE","OK"))))</f>
        <v/>
      </c>
      <c r="G333" s="1"/>
      <c r="H333" s="1"/>
      <c r="I333" s="1"/>
    </row>
    <row r="334" customFormat="false" ht="21.75" hidden="false" customHeight="true" outlineLevel="0" collapsed="false">
      <c r="A334" s="1"/>
      <c r="B334" s="16"/>
      <c r="C334" s="16"/>
      <c r="D334" s="15"/>
      <c r="E334" s="11" t="str">
        <f aca="false">IF(D334="","",IFERROR(INDEX(Players!$C$5:$C$304,MATCH(D334,Players!$B$5:$B$304,0)),""))</f>
        <v/>
      </c>
      <c r="F334" s="22" t="str">
        <f aca="false">IF(D334="","",IF(COUNTIFS($B$5:$B$2004,B334,$D$5:$D$2004,D334)&gt;1,"DUPLICATE",IF(ISNA(MATCH(D334,Players!$B$5:$B$304,0)),"UID not found",IF(INDEX(Players!$H$5:$H$304,MATCH(D334,Players!$B$5:$B$304,0))&lt;0,"LOW BALANCE","OK"))))</f>
        <v/>
      </c>
      <c r="G334" s="1"/>
      <c r="H334" s="1"/>
      <c r="I334" s="1"/>
    </row>
    <row r="335" customFormat="false" ht="21.75" hidden="false" customHeight="true" outlineLevel="0" collapsed="false">
      <c r="A335" s="1"/>
      <c r="B335" s="16"/>
      <c r="C335" s="16"/>
      <c r="D335" s="15"/>
      <c r="E335" s="11" t="str">
        <f aca="false">IF(D335="","",IFERROR(INDEX(Players!$C$5:$C$304,MATCH(D335,Players!$B$5:$B$304,0)),""))</f>
        <v/>
      </c>
      <c r="F335" s="22" t="str">
        <f aca="false">IF(D335="","",IF(COUNTIFS($B$5:$B$2004,B335,$D$5:$D$2004,D335)&gt;1,"DUPLICATE",IF(ISNA(MATCH(D335,Players!$B$5:$B$304,0)),"UID not found",IF(INDEX(Players!$H$5:$H$304,MATCH(D335,Players!$B$5:$B$304,0))&lt;0,"LOW BALANCE","OK"))))</f>
        <v/>
      </c>
      <c r="G335" s="1"/>
      <c r="H335" s="1"/>
      <c r="I335" s="1"/>
    </row>
    <row r="336" customFormat="false" ht="21.75" hidden="false" customHeight="true" outlineLevel="0" collapsed="false">
      <c r="A336" s="1"/>
      <c r="B336" s="16"/>
      <c r="C336" s="16"/>
      <c r="D336" s="15"/>
      <c r="E336" s="11" t="str">
        <f aca="false">IF(D336="","",IFERROR(INDEX(Players!$C$5:$C$304,MATCH(D336,Players!$B$5:$B$304,0)),""))</f>
        <v/>
      </c>
      <c r="F336" s="22" t="str">
        <f aca="false">IF(D336="","",IF(COUNTIFS($B$5:$B$2004,B336,$D$5:$D$2004,D336)&gt;1,"DUPLICATE",IF(ISNA(MATCH(D336,Players!$B$5:$B$304,0)),"UID not found",IF(INDEX(Players!$H$5:$H$304,MATCH(D336,Players!$B$5:$B$304,0))&lt;0,"LOW BALANCE","OK"))))</f>
        <v/>
      </c>
      <c r="G336" s="1"/>
      <c r="H336" s="1"/>
      <c r="I336" s="1"/>
    </row>
    <row r="337" customFormat="false" ht="21.75" hidden="false" customHeight="true" outlineLevel="0" collapsed="false">
      <c r="A337" s="1"/>
      <c r="B337" s="16"/>
      <c r="C337" s="16"/>
      <c r="D337" s="15"/>
      <c r="E337" s="11" t="str">
        <f aca="false">IF(D337="","",IFERROR(INDEX(Players!$C$5:$C$304,MATCH(D337,Players!$B$5:$B$304,0)),""))</f>
        <v/>
      </c>
      <c r="F337" s="22" t="str">
        <f aca="false">IF(D337="","",IF(COUNTIFS($B$5:$B$2004,B337,$D$5:$D$2004,D337)&gt;1,"DUPLICATE",IF(ISNA(MATCH(D337,Players!$B$5:$B$304,0)),"UID not found",IF(INDEX(Players!$H$5:$H$304,MATCH(D337,Players!$B$5:$B$304,0))&lt;0,"LOW BALANCE","OK"))))</f>
        <v/>
      </c>
      <c r="G337" s="1"/>
      <c r="H337" s="1"/>
      <c r="I337" s="1"/>
    </row>
    <row r="338" customFormat="false" ht="21.75" hidden="false" customHeight="true" outlineLevel="0" collapsed="false">
      <c r="A338" s="1"/>
      <c r="B338" s="16"/>
      <c r="C338" s="16"/>
      <c r="D338" s="15"/>
      <c r="E338" s="11" t="str">
        <f aca="false">IF(D338="","",IFERROR(INDEX(Players!$C$5:$C$304,MATCH(D338,Players!$B$5:$B$304,0)),""))</f>
        <v/>
      </c>
      <c r="F338" s="22" t="str">
        <f aca="false">IF(D338="","",IF(COUNTIFS($B$5:$B$2004,B338,$D$5:$D$2004,D338)&gt;1,"DUPLICATE",IF(ISNA(MATCH(D338,Players!$B$5:$B$304,0)),"UID not found",IF(INDEX(Players!$H$5:$H$304,MATCH(D338,Players!$B$5:$B$304,0))&lt;0,"LOW BALANCE","OK"))))</f>
        <v/>
      </c>
      <c r="G338" s="1"/>
      <c r="H338" s="1"/>
      <c r="I338" s="1"/>
    </row>
    <row r="339" customFormat="false" ht="21.75" hidden="false" customHeight="true" outlineLevel="0" collapsed="false">
      <c r="A339" s="1"/>
      <c r="B339" s="16"/>
      <c r="C339" s="16"/>
      <c r="D339" s="15"/>
      <c r="E339" s="11" t="str">
        <f aca="false">IF(D339="","",IFERROR(INDEX(Players!$C$5:$C$304,MATCH(D339,Players!$B$5:$B$304,0)),""))</f>
        <v/>
      </c>
      <c r="F339" s="22" t="str">
        <f aca="false">IF(D339="","",IF(COUNTIFS($B$5:$B$2004,B339,$D$5:$D$2004,D339)&gt;1,"DUPLICATE",IF(ISNA(MATCH(D339,Players!$B$5:$B$304,0)),"UID not found",IF(INDEX(Players!$H$5:$H$304,MATCH(D339,Players!$B$5:$B$304,0))&lt;0,"LOW BALANCE","OK"))))</f>
        <v/>
      </c>
      <c r="G339" s="1"/>
      <c r="H339" s="1"/>
      <c r="I339" s="1"/>
    </row>
    <row r="340" customFormat="false" ht="21.75" hidden="false" customHeight="true" outlineLevel="0" collapsed="false">
      <c r="A340" s="1"/>
      <c r="B340" s="16"/>
      <c r="C340" s="16"/>
      <c r="D340" s="15"/>
      <c r="E340" s="11" t="str">
        <f aca="false">IF(D340="","",IFERROR(INDEX(Players!$C$5:$C$304,MATCH(D340,Players!$B$5:$B$304,0)),""))</f>
        <v/>
      </c>
      <c r="F340" s="22" t="str">
        <f aca="false">IF(D340="","",IF(COUNTIFS($B$5:$B$2004,B340,$D$5:$D$2004,D340)&gt;1,"DUPLICATE",IF(ISNA(MATCH(D340,Players!$B$5:$B$304,0)),"UID not found",IF(INDEX(Players!$H$5:$H$304,MATCH(D340,Players!$B$5:$B$304,0))&lt;0,"LOW BALANCE","OK"))))</f>
        <v/>
      </c>
      <c r="G340" s="1"/>
      <c r="H340" s="1"/>
      <c r="I340" s="1"/>
    </row>
    <row r="341" customFormat="false" ht="21.75" hidden="false" customHeight="true" outlineLevel="0" collapsed="false">
      <c r="A341" s="1"/>
      <c r="B341" s="16"/>
      <c r="C341" s="16"/>
      <c r="D341" s="15"/>
      <c r="E341" s="11" t="str">
        <f aca="false">IF(D341="","",IFERROR(INDEX(Players!$C$5:$C$304,MATCH(D341,Players!$B$5:$B$304,0)),""))</f>
        <v/>
      </c>
      <c r="F341" s="22" t="str">
        <f aca="false">IF(D341="","",IF(COUNTIFS($B$5:$B$2004,B341,$D$5:$D$2004,D341)&gt;1,"DUPLICATE",IF(ISNA(MATCH(D341,Players!$B$5:$B$304,0)),"UID not found",IF(INDEX(Players!$H$5:$H$304,MATCH(D341,Players!$B$5:$B$304,0))&lt;0,"LOW BALANCE","OK"))))</f>
        <v/>
      </c>
      <c r="G341" s="1"/>
      <c r="H341" s="1"/>
      <c r="I341" s="1"/>
    </row>
    <row r="342" customFormat="false" ht="21.75" hidden="false" customHeight="true" outlineLevel="0" collapsed="false">
      <c r="A342" s="1"/>
      <c r="B342" s="16"/>
      <c r="C342" s="16"/>
      <c r="D342" s="15"/>
      <c r="E342" s="11" t="str">
        <f aca="false">IF(D342="","",IFERROR(INDEX(Players!$C$5:$C$304,MATCH(D342,Players!$B$5:$B$304,0)),""))</f>
        <v/>
      </c>
      <c r="F342" s="22" t="str">
        <f aca="false">IF(D342="","",IF(COUNTIFS($B$5:$B$2004,B342,$D$5:$D$2004,D342)&gt;1,"DUPLICATE",IF(ISNA(MATCH(D342,Players!$B$5:$B$304,0)),"UID not found",IF(INDEX(Players!$H$5:$H$304,MATCH(D342,Players!$B$5:$B$304,0))&lt;0,"LOW BALANCE","OK"))))</f>
        <v/>
      </c>
      <c r="G342" s="1"/>
      <c r="H342" s="1"/>
      <c r="I342" s="1"/>
    </row>
    <row r="343" customFormat="false" ht="21.75" hidden="false" customHeight="true" outlineLevel="0" collapsed="false">
      <c r="A343" s="1"/>
      <c r="B343" s="16"/>
      <c r="C343" s="16"/>
      <c r="D343" s="15"/>
      <c r="E343" s="11" t="str">
        <f aca="false">IF(D343="","",IFERROR(INDEX(Players!$C$5:$C$304,MATCH(D343,Players!$B$5:$B$304,0)),""))</f>
        <v/>
      </c>
      <c r="F343" s="22" t="str">
        <f aca="false">IF(D343="","",IF(COUNTIFS($B$5:$B$2004,B343,$D$5:$D$2004,D343)&gt;1,"DUPLICATE",IF(ISNA(MATCH(D343,Players!$B$5:$B$304,0)),"UID not found",IF(INDEX(Players!$H$5:$H$304,MATCH(D343,Players!$B$5:$B$304,0))&lt;0,"LOW BALANCE","OK"))))</f>
        <v/>
      </c>
      <c r="G343" s="1"/>
      <c r="H343" s="1"/>
      <c r="I343" s="1"/>
    </row>
    <row r="344" customFormat="false" ht="21.75" hidden="false" customHeight="true" outlineLevel="0" collapsed="false">
      <c r="A344" s="1"/>
      <c r="B344" s="16"/>
      <c r="C344" s="16"/>
      <c r="D344" s="15"/>
      <c r="E344" s="11" t="str">
        <f aca="false">IF(D344="","",IFERROR(INDEX(Players!$C$5:$C$304,MATCH(D344,Players!$B$5:$B$304,0)),""))</f>
        <v/>
      </c>
      <c r="F344" s="22" t="str">
        <f aca="false">IF(D344="","",IF(COUNTIFS($B$5:$B$2004,B344,$D$5:$D$2004,D344)&gt;1,"DUPLICATE",IF(ISNA(MATCH(D344,Players!$B$5:$B$304,0)),"UID not found",IF(INDEX(Players!$H$5:$H$304,MATCH(D344,Players!$B$5:$B$304,0))&lt;0,"LOW BALANCE","OK"))))</f>
        <v/>
      </c>
      <c r="G344" s="1"/>
      <c r="H344" s="1"/>
      <c r="I344" s="1"/>
    </row>
    <row r="345" customFormat="false" ht="21.75" hidden="false" customHeight="true" outlineLevel="0" collapsed="false">
      <c r="A345" s="1"/>
      <c r="B345" s="16"/>
      <c r="C345" s="16"/>
      <c r="D345" s="15"/>
      <c r="E345" s="11" t="str">
        <f aca="false">IF(D345="","",IFERROR(INDEX(Players!$C$5:$C$304,MATCH(D345,Players!$B$5:$B$304,0)),""))</f>
        <v/>
      </c>
      <c r="F345" s="22" t="str">
        <f aca="false">IF(D345="","",IF(COUNTIFS($B$5:$B$2004,B345,$D$5:$D$2004,D345)&gt;1,"DUPLICATE",IF(ISNA(MATCH(D345,Players!$B$5:$B$304,0)),"UID not found",IF(INDEX(Players!$H$5:$H$304,MATCH(D345,Players!$B$5:$B$304,0))&lt;0,"LOW BALANCE","OK"))))</f>
        <v/>
      </c>
      <c r="G345" s="1"/>
      <c r="H345" s="1"/>
      <c r="I345" s="1"/>
    </row>
    <row r="346" customFormat="false" ht="21.75" hidden="false" customHeight="true" outlineLevel="0" collapsed="false">
      <c r="A346" s="1"/>
      <c r="B346" s="16"/>
      <c r="C346" s="16"/>
      <c r="D346" s="15"/>
      <c r="E346" s="11" t="str">
        <f aca="false">IF(D346="","",IFERROR(INDEX(Players!$C$5:$C$304,MATCH(D346,Players!$B$5:$B$304,0)),""))</f>
        <v/>
      </c>
      <c r="F346" s="22" t="str">
        <f aca="false">IF(D346="","",IF(COUNTIFS($B$5:$B$2004,B346,$D$5:$D$2004,D346)&gt;1,"DUPLICATE",IF(ISNA(MATCH(D346,Players!$B$5:$B$304,0)),"UID not found",IF(INDEX(Players!$H$5:$H$304,MATCH(D346,Players!$B$5:$B$304,0))&lt;0,"LOW BALANCE","OK"))))</f>
        <v/>
      </c>
      <c r="G346" s="1"/>
      <c r="H346" s="1"/>
      <c r="I346" s="1"/>
    </row>
    <row r="347" customFormat="false" ht="21.75" hidden="false" customHeight="true" outlineLevel="0" collapsed="false">
      <c r="A347" s="1"/>
      <c r="B347" s="16"/>
      <c r="C347" s="16"/>
      <c r="D347" s="15"/>
      <c r="E347" s="11" t="str">
        <f aca="false">IF(D347="","",IFERROR(INDEX(Players!$C$5:$C$304,MATCH(D347,Players!$B$5:$B$304,0)),""))</f>
        <v/>
      </c>
      <c r="F347" s="22" t="str">
        <f aca="false">IF(D347="","",IF(COUNTIFS($B$5:$B$2004,B347,$D$5:$D$2004,D347)&gt;1,"DUPLICATE",IF(ISNA(MATCH(D347,Players!$B$5:$B$304,0)),"UID not found",IF(INDEX(Players!$H$5:$H$304,MATCH(D347,Players!$B$5:$B$304,0))&lt;0,"LOW BALANCE","OK"))))</f>
        <v/>
      </c>
      <c r="G347" s="1"/>
      <c r="H347" s="1"/>
      <c r="I347" s="1"/>
    </row>
    <row r="348" customFormat="false" ht="21.75" hidden="false" customHeight="true" outlineLevel="0" collapsed="false">
      <c r="A348" s="1"/>
      <c r="B348" s="16"/>
      <c r="C348" s="16"/>
      <c r="D348" s="15"/>
      <c r="E348" s="11" t="str">
        <f aca="false">IF(D348="","",IFERROR(INDEX(Players!$C$5:$C$304,MATCH(D348,Players!$B$5:$B$304,0)),""))</f>
        <v/>
      </c>
      <c r="F348" s="22" t="str">
        <f aca="false">IF(D348="","",IF(COUNTIFS($B$5:$B$2004,B348,$D$5:$D$2004,D348)&gt;1,"DUPLICATE",IF(ISNA(MATCH(D348,Players!$B$5:$B$304,0)),"UID not found",IF(INDEX(Players!$H$5:$H$304,MATCH(D348,Players!$B$5:$B$304,0))&lt;0,"LOW BALANCE","OK"))))</f>
        <v/>
      </c>
      <c r="G348" s="1"/>
      <c r="H348" s="1"/>
      <c r="I348" s="1"/>
    </row>
    <row r="349" customFormat="false" ht="21.75" hidden="false" customHeight="true" outlineLevel="0" collapsed="false">
      <c r="A349" s="1"/>
      <c r="B349" s="16"/>
      <c r="C349" s="16"/>
      <c r="D349" s="15"/>
      <c r="E349" s="11" t="str">
        <f aca="false">IF(D349="","",IFERROR(INDEX(Players!$C$5:$C$304,MATCH(D349,Players!$B$5:$B$304,0)),""))</f>
        <v/>
      </c>
      <c r="F349" s="22" t="str">
        <f aca="false">IF(D349="","",IF(COUNTIFS($B$5:$B$2004,B349,$D$5:$D$2004,D349)&gt;1,"DUPLICATE",IF(ISNA(MATCH(D349,Players!$B$5:$B$304,0)),"UID not found",IF(INDEX(Players!$H$5:$H$304,MATCH(D349,Players!$B$5:$B$304,0))&lt;0,"LOW BALANCE","OK"))))</f>
        <v/>
      </c>
      <c r="G349" s="1"/>
      <c r="H349" s="1"/>
      <c r="I349" s="1"/>
    </row>
    <row r="350" customFormat="false" ht="21.75" hidden="false" customHeight="true" outlineLevel="0" collapsed="false">
      <c r="A350" s="1"/>
      <c r="B350" s="16"/>
      <c r="C350" s="16"/>
      <c r="D350" s="15"/>
      <c r="E350" s="11" t="str">
        <f aca="false">IF(D350="","",IFERROR(INDEX(Players!$C$5:$C$304,MATCH(D350,Players!$B$5:$B$304,0)),""))</f>
        <v/>
      </c>
      <c r="F350" s="22" t="str">
        <f aca="false">IF(D350="","",IF(COUNTIFS($B$5:$B$2004,B350,$D$5:$D$2004,D350)&gt;1,"DUPLICATE",IF(ISNA(MATCH(D350,Players!$B$5:$B$304,0)),"UID not found",IF(INDEX(Players!$H$5:$H$304,MATCH(D350,Players!$B$5:$B$304,0))&lt;0,"LOW BALANCE","OK"))))</f>
        <v/>
      </c>
      <c r="G350" s="1"/>
      <c r="H350" s="1"/>
      <c r="I350" s="1"/>
    </row>
    <row r="351" customFormat="false" ht="21.75" hidden="false" customHeight="true" outlineLevel="0" collapsed="false">
      <c r="A351" s="1"/>
      <c r="B351" s="16"/>
      <c r="C351" s="16"/>
      <c r="D351" s="15"/>
      <c r="E351" s="11" t="str">
        <f aca="false">IF(D351="","",IFERROR(INDEX(Players!$C$5:$C$304,MATCH(D351,Players!$B$5:$B$304,0)),""))</f>
        <v/>
      </c>
      <c r="F351" s="22" t="str">
        <f aca="false">IF(D351="","",IF(COUNTIFS($B$5:$B$2004,B351,$D$5:$D$2004,D351)&gt;1,"DUPLICATE",IF(ISNA(MATCH(D351,Players!$B$5:$B$304,0)),"UID not found",IF(INDEX(Players!$H$5:$H$304,MATCH(D351,Players!$B$5:$B$304,0))&lt;0,"LOW BALANCE","OK"))))</f>
        <v/>
      </c>
      <c r="G351" s="1"/>
      <c r="H351" s="1"/>
      <c r="I351" s="1"/>
    </row>
    <row r="352" customFormat="false" ht="21.75" hidden="false" customHeight="true" outlineLevel="0" collapsed="false">
      <c r="A352" s="1"/>
      <c r="B352" s="16"/>
      <c r="C352" s="16"/>
      <c r="D352" s="15"/>
      <c r="E352" s="11" t="str">
        <f aca="false">IF(D352="","",IFERROR(INDEX(Players!$C$5:$C$304,MATCH(D352,Players!$B$5:$B$304,0)),""))</f>
        <v/>
      </c>
      <c r="F352" s="22" t="str">
        <f aca="false">IF(D352="","",IF(COUNTIFS($B$5:$B$2004,B352,$D$5:$D$2004,D352)&gt;1,"DUPLICATE",IF(ISNA(MATCH(D352,Players!$B$5:$B$304,0)),"UID not found",IF(INDEX(Players!$H$5:$H$304,MATCH(D352,Players!$B$5:$B$304,0))&lt;0,"LOW BALANCE","OK"))))</f>
        <v/>
      </c>
      <c r="G352" s="1"/>
      <c r="H352" s="1"/>
      <c r="I352" s="1"/>
    </row>
    <row r="353" customFormat="false" ht="21.75" hidden="false" customHeight="true" outlineLevel="0" collapsed="false">
      <c r="A353" s="1"/>
      <c r="B353" s="16"/>
      <c r="C353" s="16"/>
      <c r="D353" s="15"/>
      <c r="E353" s="11" t="str">
        <f aca="false">IF(D353="","",IFERROR(INDEX(Players!$C$5:$C$304,MATCH(D353,Players!$B$5:$B$304,0)),""))</f>
        <v/>
      </c>
      <c r="F353" s="22" t="str">
        <f aca="false">IF(D353="","",IF(COUNTIFS($B$5:$B$2004,B353,$D$5:$D$2004,D353)&gt;1,"DUPLICATE",IF(ISNA(MATCH(D353,Players!$B$5:$B$304,0)),"UID not found",IF(INDEX(Players!$H$5:$H$304,MATCH(D353,Players!$B$5:$B$304,0))&lt;0,"LOW BALANCE","OK"))))</f>
        <v/>
      </c>
      <c r="G353" s="1"/>
      <c r="H353" s="1"/>
      <c r="I353" s="1"/>
    </row>
    <row r="354" customFormat="false" ht="21.75" hidden="false" customHeight="true" outlineLevel="0" collapsed="false">
      <c r="A354" s="1"/>
      <c r="B354" s="16"/>
      <c r="C354" s="16"/>
      <c r="D354" s="15"/>
      <c r="E354" s="11" t="str">
        <f aca="false">IF(D354="","",IFERROR(INDEX(Players!$C$5:$C$304,MATCH(D354,Players!$B$5:$B$304,0)),""))</f>
        <v/>
      </c>
      <c r="F354" s="22" t="str">
        <f aca="false">IF(D354="","",IF(COUNTIFS($B$5:$B$2004,B354,$D$5:$D$2004,D354)&gt;1,"DUPLICATE",IF(ISNA(MATCH(D354,Players!$B$5:$B$304,0)),"UID not found",IF(INDEX(Players!$H$5:$H$304,MATCH(D354,Players!$B$5:$B$304,0))&lt;0,"LOW BALANCE","OK"))))</f>
        <v/>
      </c>
      <c r="G354" s="1"/>
      <c r="H354" s="1"/>
      <c r="I354" s="1"/>
    </row>
    <row r="355" customFormat="false" ht="21.75" hidden="false" customHeight="true" outlineLevel="0" collapsed="false">
      <c r="A355" s="1"/>
      <c r="B355" s="16"/>
      <c r="C355" s="16"/>
      <c r="D355" s="15"/>
      <c r="E355" s="11" t="str">
        <f aca="false">IF(D355="","",IFERROR(INDEX(Players!$C$5:$C$304,MATCH(D355,Players!$B$5:$B$304,0)),""))</f>
        <v/>
      </c>
      <c r="F355" s="22" t="str">
        <f aca="false">IF(D355="","",IF(COUNTIFS($B$5:$B$2004,B355,$D$5:$D$2004,D355)&gt;1,"DUPLICATE",IF(ISNA(MATCH(D355,Players!$B$5:$B$304,0)),"UID not found",IF(INDEX(Players!$H$5:$H$304,MATCH(D355,Players!$B$5:$B$304,0))&lt;0,"LOW BALANCE","OK"))))</f>
        <v/>
      </c>
      <c r="G355" s="1"/>
      <c r="H355" s="1"/>
      <c r="I355" s="1"/>
    </row>
    <row r="356" customFormat="false" ht="21.75" hidden="false" customHeight="true" outlineLevel="0" collapsed="false">
      <c r="A356" s="1"/>
      <c r="B356" s="16"/>
      <c r="C356" s="16"/>
      <c r="D356" s="15"/>
      <c r="E356" s="11" t="str">
        <f aca="false">IF(D356="","",IFERROR(INDEX(Players!$C$5:$C$304,MATCH(D356,Players!$B$5:$B$304,0)),""))</f>
        <v/>
      </c>
      <c r="F356" s="22" t="str">
        <f aca="false">IF(D356="","",IF(COUNTIFS($B$5:$B$2004,B356,$D$5:$D$2004,D356)&gt;1,"DUPLICATE",IF(ISNA(MATCH(D356,Players!$B$5:$B$304,0)),"UID not found",IF(INDEX(Players!$H$5:$H$304,MATCH(D356,Players!$B$5:$B$304,0))&lt;0,"LOW BALANCE","OK"))))</f>
        <v/>
      </c>
      <c r="G356" s="1"/>
      <c r="H356" s="1"/>
      <c r="I356" s="1"/>
    </row>
    <row r="357" customFormat="false" ht="21.75" hidden="false" customHeight="true" outlineLevel="0" collapsed="false">
      <c r="A357" s="1"/>
      <c r="B357" s="16"/>
      <c r="C357" s="16"/>
      <c r="D357" s="15"/>
      <c r="E357" s="11" t="str">
        <f aca="false">IF(D357="","",IFERROR(INDEX(Players!$C$5:$C$304,MATCH(D357,Players!$B$5:$B$304,0)),""))</f>
        <v/>
      </c>
      <c r="F357" s="22" t="str">
        <f aca="false">IF(D357="","",IF(COUNTIFS($B$5:$B$2004,B357,$D$5:$D$2004,D357)&gt;1,"DUPLICATE",IF(ISNA(MATCH(D357,Players!$B$5:$B$304,0)),"UID not found",IF(INDEX(Players!$H$5:$H$304,MATCH(D357,Players!$B$5:$B$304,0))&lt;0,"LOW BALANCE","OK"))))</f>
        <v/>
      </c>
      <c r="G357" s="1"/>
      <c r="H357" s="1"/>
      <c r="I357" s="1"/>
    </row>
    <row r="358" customFormat="false" ht="21.75" hidden="false" customHeight="true" outlineLevel="0" collapsed="false">
      <c r="A358" s="1"/>
      <c r="B358" s="16"/>
      <c r="C358" s="16"/>
      <c r="D358" s="15"/>
      <c r="E358" s="11" t="str">
        <f aca="false">IF(D358="","",IFERROR(INDEX(Players!$C$5:$C$304,MATCH(D358,Players!$B$5:$B$304,0)),""))</f>
        <v/>
      </c>
      <c r="F358" s="22" t="str">
        <f aca="false">IF(D358="","",IF(COUNTIFS($B$5:$B$2004,B358,$D$5:$D$2004,D358)&gt;1,"DUPLICATE",IF(ISNA(MATCH(D358,Players!$B$5:$B$304,0)),"UID not found",IF(INDEX(Players!$H$5:$H$304,MATCH(D358,Players!$B$5:$B$304,0))&lt;0,"LOW BALANCE","OK"))))</f>
        <v/>
      </c>
      <c r="G358" s="1"/>
      <c r="H358" s="1"/>
      <c r="I358" s="1"/>
    </row>
    <row r="359" customFormat="false" ht="21.75" hidden="false" customHeight="true" outlineLevel="0" collapsed="false">
      <c r="A359" s="1"/>
      <c r="B359" s="16"/>
      <c r="C359" s="16"/>
      <c r="D359" s="15"/>
      <c r="E359" s="11" t="str">
        <f aca="false">IF(D359="","",IFERROR(INDEX(Players!$C$5:$C$304,MATCH(D359,Players!$B$5:$B$304,0)),""))</f>
        <v/>
      </c>
      <c r="F359" s="22" t="str">
        <f aca="false">IF(D359="","",IF(COUNTIFS($B$5:$B$2004,B359,$D$5:$D$2004,D359)&gt;1,"DUPLICATE",IF(ISNA(MATCH(D359,Players!$B$5:$B$304,0)),"UID not found",IF(INDEX(Players!$H$5:$H$304,MATCH(D359,Players!$B$5:$B$304,0))&lt;0,"LOW BALANCE","OK"))))</f>
        <v/>
      </c>
      <c r="G359" s="1"/>
      <c r="H359" s="1"/>
      <c r="I359" s="1"/>
    </row>
    <row r="360" customFormat="false" ht="21.75" hidden="false" customHeight="true" outlineLevel="0" collapsed="false">
      <c r="A360" s="1"/>
      <c r="B360" s="16"/>
      <c r="C360" s="16"/>
      <c r="D360" s="15"/>
      <c r="E360" s="11" t="str">
        <f aca="false">IF(D360="","",IFERROR(INDEX(Players!$C$5:$C$304,MATCH(D360,Players!$B$5:$B$304,0)),""))</f>
        <v/>
      </c>
      <c r="F360" s="22" t="str">
        <f aca="false">IF(D360="","",IF(COUNTIFS($B$5:$B$2004,B360,$D$5:$D$2004,D360)&gt;1,"DUPLICATE",IF(ISNA(MATCH(D360,Players!$B$5:$B$304,0)),"UID not found",IF(INDEX(Players!$H$5:$H$304,MATCH(D360,Players!$B$5:$B$304,0))&lt;0,"LOW BALANCE","OK"))))</f>
        <v/>
      </c>
      <c r="G360" s="1"/>
      <c r="H360" s="1"/>
      <c r="I360" s="1"/>
    </row>
    <row r="361" customFormat="false" ht="21.75" hidden="false" customHeight="true" outlineLevel="0" collapsed="false">
      <c r="A361" s="1"/>
      <c r="B361" s="16"/>
      <c r="C361" s="16"/>
      <c r="D361" s="15"/>
      <c r="E361" s="11" t="str">
        <f aca="false">IF(D361="","",IFERROR(INDEX(Players!$C$5:$C$304,MATCH(D361,Players!$B$5:$B$304,0)),""))</f>
        <v/>
      </c>
      <c r="F361" s="22" t="str">
        <f aca="false">IF(D361="","",IF(COUNTIFS($B$5:$B$2004,B361,$D$5:$D$2004,D361)&gt;1,"DUPLICATE",IF(ISNA(MATCH(D361,Players!$B$5:$B$304,0)),"UID not found",IF(INDEX(Players!$H$5:$H$304,MATCH(D361,Players!$B$5:$B$304,0))&lt;0,"LOW BALANCE","OK"))))</f>
        <v/>
      </c>
      <c r="G361" s="1"/>
      <c r="H361" s="1"/>
      <c r="I361" s="1"/>
    </row>
    <row r="362" customFormat="false" ht="21.75" hidden="false" customHeight="true" outlineLevel="0" collapsed="false">
      <c r="A362" s="1"/>
      <c r="B362" s="16"/>
      <c r="C362" s="16"/>
      <c r="D362" s="15"/>
      <c r="E362" s="11" t="str">
        <f aca="false">IF(D362="","",IFERROR(INDEX(Players!$C$5:$C$304,MATCH(D362,Players!$B$5:$B$304,0)),""))</f>
        <v/>
      </c>
      <c r="F362" s="22" t="str">
        <f aca="false">IF(D362="","",IF(COUNTIFS($B$5:$B$2004,B362,$D$5:$D$2004,D362)&gt;1,"DUPLICATE",IF(ISNA(MATCH(D362,Players!$B$5:$B$304,0)),"UID not found",IF(INDEX(Players!$H$5:$H$304,MATCH(D362,Players!$B$5:$B$304,0))&lt;0,"LOW BALANCE","OK"))))</f>
        <v/>
      </c>
      <c r="G362" s="1"/>
      <c r="H362" s="1"/>
      <c r="I362" s="1"/>
    </row>
    <row r="363" customFormat="false" ht="21.75" hidden="false" customHeight="true" outlineLevel="0" collapsed="false">
      <c r="A363" s="1"/>
      <c r="B363" s="16"/>
      <c r="C363" s="16"/>
      <c r="D363" s="15"/>
      <c r="E363" s="11" t="str">
        <f aca="false">IF(D363="","",IFERROR(INDEX(Players!$C$5:$C$304,MATCH(D363,Players!$B$5:$B$304,0)),""))</f>
        <v/>
      </c>
      <c r="F363" s="22" t="str">
        <f aca="false">IF(D363="","",IF(COUNTIFS($B$5:$B$2004,B363,$D$5:$D$2004,D363)&gt;1,"DUPLICATE",IF(ISNA(MATCH(D363,Players!$B$5:$B$304,0)),"UID not found",IF(INDEX(Players!$H$5:$H$304,MATCH(D363,Players!$B$5:$B$304,0))&lt;0,"LOW BALANCE","OK"))))</f>
        <v/>
      </c>
      <c r="G363" s="1"/>
      <c r="H363" s="1"/>
      <c r="I363" s="1"/>
    </row>
    <row r="364" customFormat="false" ht="21.75" hidden="false" customHeight="true" outlineLevel="0" collapsed="false">
      <c r="A364" s="1"/>
      <c r="B364" s="16"/>
      <c r="C364" s="16"/>
      <c r="D364" s="15"/>
      <c r="E364" s="11" t="str">
        <f aca="false">IF(D364="","",IFERROR(INDEX(Players!$C$5:$C$304,MATCH(D364,Players!$B$5:$B$304,0)),""))</f>
        <v/>
      </c>
      <c r="F364" s="22" t="str">
        <f aca="false">IF(D364="","",IF(COUNTIFS($B$5:$B$2004,B364,$D$5:$D$2004,D364)&gt;1,"DUPLICATE",IF(ISNA(MATCH(D364,Players!$B$5:$B$304,0)),"UID not found",IF(INDEX(Players!$H$5:$H$304,MATCH(D364,Players!$B$5:$B$304,0))&lt;0,"LOW BALANCE","OK"))))</f>
        <v/>
      </c>
      <c r="G364" s="1"/>
      <c r="H364" s="1"/>
      <c r="I364" s="1"/>
    </row>
    <row r="365" customFormat="false" ht="21.75" hidden="false" customHeight="true" outlineLevel="0" collapsed="false">
      <c r="A365" s="1"/>
      <c r="B365" s="16"/>
      <c r="C365" s="16"/>
      <c r="D365" s="15"/>
      <c r="E365" s="11" t="str">
        <f aca="false">IF(D365="","",IFERROR(INDEX(Players!$C$5:$C$304,MATCH(D365,Players!$B$5:$B$304,0)),""))</f>
        <v/>
      </c>
      <c r="F365" s="22" t="str">
        <f aca="false">IF(D365="","",IF(COUNTIFS($B$5:$B$2004,B365,$D$5:$D$2004,D365)&gt;1,"DUPLICATE",IF(ISNA(MATCH(D365,Players!$B$5:$B$304,0)),"UID not found",IF(INDEX(Players!$H$5:$H$304,MATCH(D365,Players!$B$5:$B$304,0))&lt;0,"LOW BALANCE","OK"))))</f>
        <v/>
      </c>
      <c r="G365" s="1"/>
      <c r="H365" s="1"/>
      <c r="I365" s="1"/>
    </row>
    <row r="366" customFormat="false" ht="21.75" hidden="false" customHeight="true" outlineLevel="0" collapsed="false">
      <c r="A366" s="1"/>
      <c r="B366" s="16"/>
      <c r="C366" s="16"/>
      <c r="D366" s="15"/>
      <c r="E366" s="11" t="str">
        <f aca="false">IF(D366="","",IFERROR(INDEX(Players!$C$5:$C$304,MATCH(D366,Players!$B$5:$B$304,0)),""))</f>
        <v/>
      </c>
      <c r="F366" s="22" t="str">
        <f aca="false">IF(D366="","",IF(COUNTIFS($B$5:$B$2004,B366,$D$5:$D$2004,D366)&gt;1,"DUPLICATE",IF(ISNA(MATCH(D366,Players!$B$5:$B$304,0)),"UID not found",IF(INDEX(Players!$H$5:$H$304,MATCH(D366,Players!$B$5:$B$304,0))&lt;0,"LOW BALANCE","OK"))))</f>
        <v/>
      </c>
      <c r="G366" s="1"/>
      <c r="H366" s="1"/>
      <c r="I366" s="1"/>
    </row>
    <row r="367" customFormat="false" ht="21.75" hidden="false" customHeight="true" outlineLevel="0" collapsed="false">
      <c r="A367" s="1"/>
      <c r="B367" s="16"/>
      <c r="C367" s="16"/>
      <c r="D367" s="15"/>
      <c r="E367" s="11" t="str">
        <f aca="false">IF(D367="","",IFERROR(INDEX(Players!$C$5:$C$304,MATCH(D367,Players!$B$5:$B$304,0)),""))</f>
        <v/>
      </c>
      <c r="F367" s="22" t="str">
        <f aca="false">IF(D367="","",IF(COUNTIFS($B$5:$B$2004,B367,$D$5:$D$2004,D367)&gt;1,"DUPLICATE",IF(ISNA(MATCH(D367,Players!$B$5:$B$304,0)),"UID not found",IF(INDEX(Players!$H$5:$H$304,MATCH(D367,Players!$B$5:$B$304,0))&lt;0,"LOW BALANCE","OK"))))</f>
        <v/>
      </c>
      <c r="G367" s="1"/>
      <c r="H367" s="1"/>
      <c r="I367" s="1"/>
    </row>
    <row r="368" customFormat="false" ht="21.75" hidden="false" customHeight="true" outlineLevel="0" collapsed="false">
      <c r="A368" s="1"/>
      <c r="B368" s="16"/>
      <c r="C368" s="16"/>
      <c r="D368" s="15"/>
      <c r="E368" s="11" t="str">
        <f aca="false">IF(D368="","",IFERROR(INDEX(Players!$C$5:$C$304,MATCH(D368,Players!$B$5:$B$304,0)),""))</f>
        <v/>
      </c>
      <c r="F368" s="22" t="str">
        <f aca="false">IF(D368="","",IF(COUNTIFS($B$5:$B$2004,B368,$D$5:$D$2004,D368)&gt;1,"DUPLICATE",IF(ISNA(MATCH(D368,Players!$B$5:$B$304,0)),"UID not found",IF(INDEX(Players!$H$5:$H$304,MATCH(D368,Players!$B$5:$B$304,0))&lt;0,"LOW BALANCE","OK"))))</f>
        <v/>
      </c>
      <c r="G368" s="1"/>
      <c r="H368" s="1"/>
      <c r="I368" s="1"/>
    </row>
    <row r="369" customFormat="false" ht="21.75" hidden="false" customHeight="true" outlineLevel="0" collapsed="false">
      <c r="A369" s="1"/>
      <c r="B369" s="16"/>
      <c r="C369" s="16"/>
      <c r="D369" s="15"/>
      <c r="E369" s="11" t="str">
        <f aca="false">IF(D369="","",IFERROR(INDEX(Players!$C$5:$C$304,MATCH(D369,Players!$B$5:$B$304,0)),""))</f>
        <v/>
      </c>
      <c r="F369" s="22" t="str">
        <f aca="false">IF(D369="","",IF(COUNTIFS($B$5:$B$2004,B369,$D$5:$D$2004,D369)&gt;1,"DUPLICATE",IF(ISNA(MATCH(D369,Players!$B$5:$B$304,0)),"UID not found",IF(INDEX(Players!$H$5:$H$304,MATCH(D369,Players!$B$5:$B$304,0))&lt;0,"LOW BALANCE","OK"))))</f>
        <v/>
      </c>
      <c r="G369" s="1"/>
      <c r="H369" s="1"/>
      <c r="I369" s="1"/>
    </row>
    <row r="370" customFormat="false" ht="21.75" hidden="false" customHeight="true" outlineLevel="0" collapsed="false">
      <c r="A370" s="1"/>
      <c r="B370" s="16"/>
      <c r="C370" s="16"/>
      <c r="D370" s="15"/>
      <c r="E370" s="11" t="str">
        <f aca="false">IF(D370="","",IFERROR(INDEX(Players!$C$5:$C$304,MATCH(D370,Players!$B$5:$B$304,0)),""))</f>
        <v/>
      </c>
      <c r="F370" s="22" t="str">
        <f aca="false">IF(D370="","",IF(COUNTIFS($B$5:$B$2004,B370,$D$5:$D$2004,D370)&gt;1,"DUPLICATE",IF(ISNA(MATCH(D370,Players!$B$5:$B$304,0)),"UID not found",IF(INDEX(Players!$H$5:$H$304,MATCH(D370,Players!$B$5:$B$304,0))&lt;0,"LOW BALANCE","OK"))))</f>
        <v/>
      </c>
      <c r="G370" s="1"/>
      <c r="H370" s="1"/>
      <c r="I370" s="1"/>
    </row>
    <row r="371" customFormat="false" ht="21.75" hidden="false" customHeight="true" outlineLevel="0" collapsed="false">
      <c r="A371" s="1"/>
      <c r="B371" s="16"/>
      <c r="C371" s="16"/>
      <c r="D371" s="15"/>
      <c r="E371" s="11" t="str">
        <f aca="false">IF(D371="","",IFERROR(INDEX(Players!$C$5:$C$304,MATCH(D371,Players!$B$5:$B$304,0)),""))</f>
        <v/>
      </c>
      <c r="F371" s="22" t="str">
        <f aca="false">IF(D371="","",IF(COUNTIFS($B$5:$B$2004,B371,$D$5:$D$2004,D371)&gt;1,"DUPLICATE",IF(ISNA(MATCH(D371,Players!$B$5:$B$304,0)),"UID not found",IF(INDEX(Players!$H$5:$H$304,MATCH(D371,Players!$B$5:$B$304,0))&lt;0,"LOW BALANCE","OK"))))</f>
        <v/>
      </c>
      <c r="G371" s="1"/>
      <c r="H371" s="1"/>
      <c r="I371" s="1"/>
    </row>
    <row r="372" customFormat="false" ht="21.75" hidden="false" customHeight="true" outlineLevel="0" collapsed="false">
      <c r="A372" s="1"/>
      <c r="B372" s="16"/>
      <c r="C372" s="16"/>
      <c r="D372" s="15"/>
      <c r="E372" s="11" t="str">
        <f aca="false">IF(D372="","",IFERROR(INDEX(Players!$C$5:$C$304,MATCH(D372,Players!$B$5:$B$304,0)),""))</f>
        <v/>
      </c>
      <c r="F372" s="22" t="str">
        <f aca="false">IF(D372="","",IF(COUNTIFS($B$5:$B$2004,B372,$D$5:$D$2004,D372)&gt;1,"DUPLICATE",IF(ISNA(MATCH(D372,Players!$B$5:$B$304,0)),"UID not found",IF(INDEX(Players!$H$5:$H$304,MATCH(D372,Players!$B$5:$B$304,0))&lt;0,"LOW BALANCE","OK"))))</f>
        <v/>
      </c>
      <c r="G372" s="1"/>
      <c r="H372" s="1"/>
      <c r="I372" s="1"/>
    </row>
    <row r="373" customFormat="false" ht="21.75" hidden="false" customHeight="true" outlineLevel="0" collapsed="false">
      <c r="A373" s="1"/>
      <c r="B373" s="16"/>
      <c r="C373" s="16"/>
      <c r="D373" s="15"/>
      <c r="E373" s="11" t="str">
        <f aca="false">IF(D373="","",IFERROR(INDEX(Players!$C$5:$C$304,MATCH(D373,Players!$B$5:$B$304,0)),""))</f>
        <v/>
      </c>
      <c r="F373" s="22" t="str">
        <f aca="false">IF(D373="","",IF(COUNTIFS($B$5:$B$2004,B373,$D$5:$D$2004,D373)&gt;1,"DUPLICATE",IF(ISNA(MATCH(D373,Players!$B$5:$B$304,0)),"UID not found",IF(INDEX(Players!$H$5:$H$304,MATCH(D373,Players!$B$5:$B$304,0))&lt;0,"LOW BALANCE","OK"))))</f>
        <v/>
      </c>
      <c r="G373" s="1"/>
      <c r="H373" s="1"/>
      <c r="I373" s="1"/>
    </row>
    <row r="374" customFormat="false" ht="21.75" hidden="false" customHeight="true" outlineLevel="0" collapsed="false">
      <c r="A374" s="1"/>
      <c r="B374" s="16"/>
      <c r="C374" s="16"/>
      <c r="D374" s="15"/>
      <c r="E374" s="11" t="str">
        <f aca="false">IF(D374="","",IFERROR(INDEX(Players!$C$5:$C$304,MATCH(D374,Players!$B$5:$B$304,0)),""))</f>
        <v/>
      </c>
      <c r="F374" s="22" t="str">
        <f aca="false">IF(D374="","",IF(COUNTIFS($B$5:$B$2004,B374,$D$5:$D$2004,D374)&gt;1,"DUPLICATE",IF(ISNA(MATCH(D374,Players!$B$5:$B$304,0)),"UID not found",IF(INDEX(Players!$H$5:$H$304,MATCH(D374,Players!$B$5:$B$304,0))&lt;0,"LOW BALANCE","OK"))))</f>
        <v/>
      </c>
      <c r="G374" s="1"/>
      <c r="H374" s="1"/>
      <c r="I374" s="1"/>
    </row>
    <row r="375" customFormat="false" ht="21.75" hidden="false" customHeight="true" outlineLevel="0" collapsed="false">
      <c r="A375" s="1"/>
      <c r="B375" s="16"/>
      <c r="C375" s="16"/>
      <c r="D375" s="15"/>
      <c r="E375" s="11" t="str">
        <f aca="false">IF(D375="","",IFERROR(INDEX(Players!$C$5:$C$304,MATCH(D375,Players!$B$5:$B$304,0)),""))</f>
        <v/>
      </c>
      <c r="F375" s="22" t="str">
        <f aca="false">IF(D375="","",IF(COUNTIFS($B$5:$B$2004,B375,$D$5:$D$2004,D375)&gt;1,"DUPLICATE",IF(ISNA(MATCH(D375,Players!$B$5:$B$304,0)),"UID not found",IF(INDEX(Players!$H$5:$H$304,MATCH(D375,Players!$B$5:$B$304,0))&lt;0,"LOW BALANCE","OK"))))</f>
        <v/>
      </c>
      <c r="G375" s="1"/>
      <c r="H375" s="1"/>
      <c r="I375" s="1"/>
    </row>
    <row r="376" customFormat="false" ht="21.75" hidden="false" customHeight="true" outlineLevel="0" collapsed="false">
      <c r="A376" s="1"/>
      <c r="B376" s="16"/>
      <c r="C376" s="16"/>
      <c r="D376" s="15"/>
      <c r="E376" s="11" t="str">
        <f aca="false">IF(D376="","",IFERROR(INDEX(Players!$C$5:$C$304,MATCH(D376,Players!$B$5:$B$304,0)),""))</f>
        <v/>
      </c>
      <c r="F376" s="22" t="str">
        <f aca="false">IF(D376="","",IF(COUNTIFS($B$5:$B$2004,B376,$D$5:$D$2004,D376)&gt;1,"DUPLICATE",IF(ISNA(MATCH(D376,Players!$B$5:$B$304,0)),"UID not found",IF(INDEX(Players!$H$5:$H$304,MATCH(D376,Players!$B$5:$B$304,0))&lt;0,"LOW BALANCE","OK"))))</f>
        <v/>
      </c>
      <c r="G376" s="1"/>
      <c r="H376" s="1"/>
      <c r="I376" s="1"/>
    </row>
    <row r="377" customFormat="false" ht="21.75" hidden="false" customHeight="true" outlineLevel="0" collapsed="false">
      <c r="A377" s="1"/>
      <c r="B377" s="16"/>
      <c r="C377" s="16"/>
      <c r="D377" s="15"/>
      <c r="E377" s="11" t="str">
        <f aca="false">IF(D377="","",IFERROR(INDEX(Players!$C$5:$C$304,MATCH(D377,Players!$B$5:$B$304,0)),""))</f>
        <v/>
      </c>
      <c r="F377" s="22" t="str">
        <f aca="false">IF(D377="","",IF(COUNTIFS($B$5:$B$2004,B377,$D$5:$D$2004,D377)&gt;1,"DUPLICATE",IF(ISNA(MATCH(D377,Players!$B$5:$B$304,0)),"UID not found",IF(INDEX(Players!$H$5:$H$304,MATCH(D377,Players!$B$5:$B$304,0))&lt;0,"LOW BALANCE","OK"))))</f>
        <v/>
      </c>
      <c r="G377" s="1"/>
      <c r="H377" s="1"/>
      <c r="I377" s="1"/>
    </row>
    <row r="378" customFormat="false" ht="21.75" hidden="false" customHeight="true" outlineLevel="0" collapsed="false">
      <c r="A378" s="1"/>
      <c r="B378" s="16"/>
      <c r="C378" s="16"/>
      <c r="D378" s="15"/>
      <c r="E378" s="11" t="str">
        <f aca="false">IF(D378="","",IFERROR(INDEX(Players!$C$5:$C$304,MATCH(D378,Players!$B$5:$B$304,0)),""))</f>
        <v/>
      </c>
      <c r="F378" s="22" t="str">
        <f aca="false">IF(D378="","",IF(COUNTIFS($B$5:$B$2004,B378,$D$5:$D$2004,D378)&gt;1,"DUPLICATE",IF(ISNA(MATCH(D378,Players!$B$5:$B$304,0)),"UID not found",IF(INDEX(Players!$H$5:$H$304,MATCH(D378,Players!$B$5:$B$304,0))&lt;0,"LOW BALANCE","OK"))))</f>
        <v/>
      </c>
      <c r="G378" s="1"/>
      <c r="H378" s="1"/>
      <c r="I378" s="1"/>
    </row>
    <row r="379" customFormat="false" ht="21.75" hidden="false" customHeight="true" outlineLevel="0" collapsed="false">
      <c r="A379" s="1"/>
      <c r="B379" s="16"/>
      <c r="C379" s="16"/>
      <c r="D379" s="15"/>
      <c r="E379" s="11" t="str">
        <f aca="false">IF(D379="","",IFERROR(INDEX(Players!$C$5:$C$304,MATCH(D379,Players!$B$5:$B$304,0)),""))</f>
        <v/>
      </c>
      <c r="F379" s="22" t="str">
        <f aca="false">IF(D379="","",IF(COUNTIFS($B$5:$B$2004,B379,$D$5:$D$2004,D379)&gt;1,"DUPLICATE",IF(ISNA(MATCH(D379,Players!$B$5:$B$304,0)),"UID not found",IF(INDEX(Players!$H$5:$H$304,MATCH(D379,Players!$B$5:$B$304,0))&lt;0,"LOW BALANCE","OK"))))</f>
        <v/>
      </c>
      <c r="G379" s="1"/>
      <c r="H379" s="1"/>
      <c r="I379" s="1"/>
    </row>
    <row r="380" customFormat="false" ht="21.75" hidden="false" customHeight="true" outlineLevel="0" collapsed="false">
      <c r="A380" s="1"/>
      <c r="B380" s="16"/>
      <c r="C380" s="16"/>
      <c r="D380" s="15"/>
      <c r="E380" s="11" t="str">
        <f aca="false">IF(D380="","",IFERROR(INDEX(Players!$C$5:$C$304,MATCH(D380,Players!$B$5:$B$304,0)),""))</f>
        <v/>
      </c>
      <c r="F380" s="22" t="str">
        <f aca="false">IF(D380="","",IF(COUNTIFS($B$5:$B$2004,B380,$D$5:$D$2004,D380)&gt;1,"DUPLICATE",IF(ISNA(MATCH(D380,Players!$B$5:$B$304,0)),"UID not found",IF(INDEX(Players!$H$5:$H$304,MATCH(D380,Players!$B$5:$B$304,0))&lt;0,"LOW BALANCE","OK"))))</f>
        <v/>
      </c>
      <c r="G380" s="1"/>
      <c r="H380" s="1"/>
      <c r="I380" s="1"/>
    </row>
    <row r="381" customFormat="false" ht="21.75" hidden="false" customHeight="true" outlineLevel="0" collapsed="false">
      <c r="A381" s="1"/>
      <c r="B381" s="16"/>
      <c r="C381" s="16"/>
      <c r="D381" s="15"/>
      <c r="E381" s="11" t="str">
        <f aca="false">IF(D381="","",IFERROR(INDEX(Players!$C$5:$C$304,MATCH(D381,Players!$B$5:$B$304,0)),""))</f>
        <v/>
      </c>
      <c r="F381" s="22" t="str">
        <f aca="false">IF(D381="","",IF(COUNTIFS($B$5:$B$2004,B381,$D$5:$D$2004,D381)&gt;1,"DUPLICATE",IF(ISNA(MATCH(D381,Players!$B$5:$B$304,0)),"UID not found",IF(INDEX(Players!$H$5:$H$304,MATCH(D381,Players!$B$5:$B$304,0))&lt;0,"LOW BALANCE","OK"))))</f>
        <v/>
      </c>
      <c r="G381" s="1"/>
      <c r="H381" s="1"/>
      <c r="I381" s="1"/>
    </row>
    <row r="382" customFormat="false" ht="21.75" hidden="false" customHeight="true" outlineLevel="0" collapsed="false">
      <c r="A382" s="1"/>
      <c r="B382" s="16"/>
      <c r="C382" s="16"/>
      <c r="D382" s="15"/>
      <c r="E382" s="11" t="str">
        <f aca="false">IF(D382="","",IFERROR(INDEX(Players!$C$5:$C$304,MATCH(D382,Players!$B$5:$B$304,0)),""))</f>
        <v/>
      </c>
      <c r="F382" s="22" t="str">
        <f aca="false">IF(D382="","",IF(COUNTIFS($B$5:$B$2004,B382,$D$5:$D$2004,D382)&gt;1,"DUPLICATE",IF(ISNA(MATCH(D382,Players!$B$5:$B$304,0)),"UID not found",IF(INDEX(Players!$H$5:$H$304,MATCH(D382,Players!$B$5:$B$304,0))&lt;0,"LOW BALANCE","OK"))))</f>
        <v/>
      </c>
      <c r="G382" s="1"/>
      <c r="H382" s="1"/>
      <c r="I382" s="1"/>
    </row>
    <row r="383" customFormat="false" ht="21.75" hidden="false" customHeight="true" outlineLevel="0" collapsed="false">
      <c r="A383" s="1"/>
      <c r="B383" s="16"/>
      <c r="C383" s="16"/>
      <c r="D383" s="15"/>
      <c r="E383" s="11" t="str">
        <f aca="false">IF(D383="","",IFERROR(INDEX(Players!$C$5:$C$304,MATCH(D383,Players!$B$5:$B$304,0)),""))</f>
        <v/>
      </c>
      <c r="F383" s="22" t="str">
        <f aca="false">IF(D383="","",IF(COUNTIFS($B$5:$B$2004,B383,$D$5:$D$2004,D383)&gt;1,"DUPLICATE",IF(ISNA(MATCH(D383,Players!$B$5:$B$304,0)),"UID not found",IF(INDEX(Players!$H$5:$H$304,MATCH(D383,Players!$B$5:$B$304,0))&lt;0,"LOW BALANCE","OK"))))</f>
        <v/>
      </c>
      <c r="G383" s="1"/>
      <c r="H383" s="1"/>
      <c r="I383" s="1"/>
    </row>
    <row r="384" customFormat="false" ht="21.75" hidden="false" customHeight="true" outlineLevel="0" collapsed="false">
      <c r="A384" s="1"/>
      <c r="B384" s="16"/>
      <c r="C384" s="16"/>
      <c r="D384" s="15"/>
      <c r="E384" s="11" t="str">
        <f aca="false">IF(D384="","",IFERROR(INDEX(Players!$C$5:$C$304,MATCH(D384,Players!$B$5:$B$304,0)),""))</f>
        <v/>
      </c>
      <c r="F384" s="22" t="str">
        <f aca="false">IF(D384="","",IF(COUNTIFS($B$5:$B$2004,B384,$D$5:$D$2004,D384)&gt;1,"DUPLICATE",IF(ISNA(MATCH(D384,Players!$B$5:$B$304,0)),"UID not found",IF(INDEX(Players!$H$5:$H$304,MATCH(D384,Players!$B$5:$B$304,0))&lt;0,"LOW BALANCE","OK"))))</f>
        <v/>
      </c>
      <c r="G384" s="1"/>
      <c r="H384" s="1"/>
      <c r="I384" s="1"/>
    </row>
    <row r="385" customFormat="false" ht="21.75" hidden="false" customHeight="true" outlineLevel="0" collapsed="false">
      <c r="A385" s="1"/>
      <c r="B385" s="16"/>
      <c r="C385" s="16"/>
      <c r="D385" s="15"/>
      <c r="E385" s="11" t="str">
        <f aca="false">IF(D385="","",IFERROR(INDEX(Players!$C$5:$C$304,MATCH(D385,Players!$B$5:$B$304,0)),""))</f>
        <v/>
      </c>
      <c r="F385" s="22" t="str">
        <f aca="false">IF(D385="","",IF(COUNTIFS($B$5:$B$2004,B385,$D$5:$D$2004,D385)&gt;1,"DUPLICATE",IF(ISNA(MATCH(D385,Players!$B$5:$B$304,0)),"UID not found",IF(INDEX(Players!$H$5:$H$304,MATCH(D385,Players!$B$5:$B$304,0))&lt;0,"LOW BALANCE","OK"))))</f>
        <v/>
      </c>
      <c r="G385" s="1"/>
      <c r="H385" s="1"/>
      <c r="I385" s="1"/>
    </row>
    <row r="386" customFormat="false" ht="21.75" hidden="false" customHeight="true" outlineLevel="0" collapsed="false">
      <c r="A386" s="1"/>
      <c r="B386" s="16"/>
      <c r="C386" s="16"/>
      <c r="D386" s="15"/>
      <c r="E386" s="11" t="str">
        <f aca="false">IF(D386="","",IFERROR(INDEX(Players!$C$5:$C$304,MATCH(D386,Players!$B$5:$B$304,0)),""))</f>
        <v/>
      </c>
      <c r="F386" s="22" t="str">
        <f aca="false">IF(D386="","",IF(COUNTIFS($B$5:$B$2004,B386,$D$5:$D$2004,D386)&gt;1,"DUPLICATE",IF(ISNA(MATCH(D386,Players!$B$5:$B$304,0)),"UID not found",IF(INDEX(Players!$H$5:$H$304,MATCH(D386,Players!$B$5:$B$304,0))&lt;0,"LOW BALANCE","OK"))))</f>
        <v/>
      </c>
      <c r="G386" s="1"/>
      <c r="H386" s="1"/>
      <c r="I386" s="1"/>
    </row>
    <row r="387" customFormat="false" ht="21.75" hidden="false" customHeight="true" outlineLevel="0" collapsed="false">
      <c r="A387" s="1"/>
      <c r="B387" s="16"/>
      <c r="C387" s="16"/>
      <c r="D387" s="15"/>
      <c r="E387" s="11" t="str">
        <f aca="false">IF(D387="","",IFERROR(INDEX(Players!$C$5:$C$304,MATCH(D387,Players!$B$5:$B$304,0)),""))</f>
        <v/>
      </c>
      <c r="F387" s="22" t="str">
        <f aca="false">IF(D387="","",IF(COUNTIFS($B$5:$B$2004,B387,$D$5:$D$2004,D387)&gt;1,"DUPLICATE",IF(ISNA(MATCH(D387,Players!$B$5:$B$304,0)),"UID not found",IF(INDEX(Players!$H$5:$H$304,MATCH(D387,Players!$B$5:$B$304,0))&lt;0,"LOW BALANCE","OK"))))</f>
        <v/>
      </c>
      <c r="G387" s="1"/>
      <c r="H387" s="1"/>
      <c r="I387" s="1"/>
    </row>
    <row r="388" customFormat="false" ht="21.75" hidden="false" customHeight="true" outlineLevel="0" collapsed="false">
      <c r="A388" s="1"/>
      <c r="B388" s="16"/>
      <c r="C388" s="16"/>
      <c r="D388" s="15"/>
      <c r="E388" s="11" t="str">
        <f aca="false">IF(D388="","",IFERROR(INDEX(Players!$C$5:$C$304,MATCH(D388,Players!$B$5:$B$304,0)),""))</f>
        <v/>
      </c>
      <c r="F388" s="22" t="str">
        <f aca="false">IF(D388="","",IF(COUNTIFS($B$5:$B$2004,B388,$D$5:$D$2004,D388)&gt;1,"DUPLICATE",IF(ISNA(MATCH(D388,Players!$B$5:$B$304,0)),"UID not found",IF(INDEX(Players!$H$5:$H$304,MATCH(D388,Players!$B$5:$B$304,0))&lt;0,"LOW BALANCE","OK"))))</f>
        <v/>
      </c>
      <c r="G388" s="1"/>
      <c r="H388" s="1"/>
      <c r="I388" s="1"/>
    </row>
    <row r="389" customFormat="false" ht="21.75" hidden="false" customHeight="true" outlineLevel="0" collapsed="false">
      <c r="A389" s="1"/>
      <c r="B389" s="16"/>
      <c r="C389" s="16"/>
      <c r="D389" s="15"/>
      <c r="E389" s="11" t="str">
        <f aca="false">IF(D389="","",IFERROR(INDEX(Players!$C$5:$C$304,MATCH(D389,Players!$B$5:$B$304,0)),""))</f>
        <v/>
      </c>
      <c r="F389" s="22" t="str">
        <f aca="false">IF(D389="","",IF(COUNTIFS($B$5:$B$2004,B389,$D$5:$D$2004,D389)&gt;1,"DUPLICATE",IF(ISNA(MATCH(D389,Players!$B$5:$B$304,0)),"UID not found",IF(INDEX(Players!$H$5:$H$304,MATCH(D389,Players!$B$5:$B$304,0))&lt;0,"LOW BALANCE","OK"))))</f>
        <v/>
      </c>
      <c r="G389" s="1"/>
      <c r="H389" s="1"/>
      <c r="I389" s="1"/>
    </row>
    <row r="390" customFormat="false" ht="21.75" hidden="false" customHeight="true" outlineLevel="0" collapsed="false">
      <c r="A390" s="1"/>
      <c r="B390" s="16"/>
      <c r="C390" s="16"/>
      <c r="D390" s="15"/>
      <c r="E390" s="11" t="str">
        <f aca="false">IF(D390="","",IFERROR(INDEX(Players!$C$5:$C$304,MATCH(D390,Players!$B$5:$B$304,0)),""))</f>
        <v/>
      </c>
      <c r="F390" s="22" t="str">
        <f aca="false">IF(D390="","",IF(COUNTIFS($B$5:$B$2004,B390,$D$5:$D$2004,D390)&gt;1,"DUPLICATE",IF(ISNA(MATCH(D390,Players!$B$5:$B$304,0)),"UID not found",IF(INDEX(Players!$H$5:$H$304,MATCH(D390,Players!$B$5:$B$304,0))&lt;0,"LOW BALANCE","OK"))))</f>
        <v/>
      </c>
      <c r="G390" s="1"/>
      <c r="H390" s="1"/>
      <c r="I390" s="1"/>
    </row>
    <row r="391" customFormat="false" ht="21.75" hidden="false" customHeight="true" outlineLevel="0" collapsed="false">
      <c r="A391" s="1"/>
      <c r="B391" s="16"/>
      <c r="C391" s="16"/>
      <c r="D391" s="15"/>
      <c r="E391" s="11" t="str">
        <f aca="false">IF(D391="","",IFERROR(INDEX(Players!$C$5:$C$304,MATCH(D391,Players!$B$5:$B$304,0)),""))</f>
        <v/>
      </c>
      <c r="F391" s="22" t="str">
        <f aca="false">IF(D391="","",IF(COUNTIFS($B$5:$B$2004,B391,$D$5:$D$2004,D391)&gt;1,"DUPLICATE",IF(ISNA(MATCH(D391,Players!$B$5:$B$304,0)),"UID not found",IF(INDEX(Players!$H$5:$H$304,MATCH(D391,Players!$B$5:$B$304,0))&lt;0,"LOW BALANCE","OK"))))</f>
        <v/>
      </c>
      <c r="G391" s="1"/>
      <c r="H391" s="1"/>
      <c r="I391" s="1"/>
    </row>
    <row r="392" customFormat="false" ht="21.75" hidden="false" customHeight="true" outlineLevel="0" collapsed="false">
      <c r="A392" s="1"/>
      <c r="B392" s="16"/>
      <c r="C392" s="16"/>
      <c r="D392" s="15"/>
      <c r="E392" s="11" t="str">
        <f aca="false">IF(D392="","",IFERROR(INDEX(Players!$C$5:$C$304,MATCH(D392,Players!$B$5:$B$304,0)),""))</f>
        <v/>
      </c>
      <c r="F392" s="22" t="str">
        <f aca="false">IF(D392="","",IF(COUNTIFS($B$5:$B$2004,B392,$D$5:$D$2004,D392)&gt;1,"DUPLICATE",IF(ISNA(MATCH(D392,Players!$B$5:$B$304,0)),"UID not found",IF(INDEX(Players!$H$5:$H$304,MATCH(D392,Players!$B$5:$B$304,0))&lt;0,"LOW BALANCE","OK"))))</f>
        <v/>
      </c>
      <c r="G392" s="1"/>
      <c r="H392" s="1"/>
      <c r="I392" s="1"/>
    </row>
    <row r="393" customFormat="false" ht="21.75" hidden="false" customHeight="true" outlineLevel="0" collapsed="false">
      <c r="A393" s="1"/>
      <c r="B393" s="16"/>
      <c r="C393" s="16"/>
      <c r="D393" s="15"/>
      <c r="E393" s="11" t="str">
        <f aca="false">IF(D393="","",IFERROR(INDEX(Players!$C$5:$C$304,MATCH(D393,Players!$B$5:$B$304,0)),""))</f>
        <v/>
      </c>
      <c r="F393" s="22" t="str">
        <f aca="false">IF(D393="","",IF(COUNTIFS($B$5:$B$2004,B393,$D$5:$D$2004,D393)&gt;1,"DUPLICATE",IF(ISNA(MATCH(D393,Players!$B$5:$B$304,0)),"UID not found",IF(INDEX(Players!$H$5:$H$304,MATCH(D393,Players!$B$5:$B$304,0))&lt;0,"LOW BALANCE","OK"))))</f>
        <v/>
      </c>
      <c r="G393" s="1"/>
      <c r="H393" s="1"/>
      <c r="I393" s="1"/>
    </row>
    <row r="394" customFormat="false" ht="21.75" hidden="false" customHeight="true" outlineLevel="0" collapsed="false">
      <c r="A394" s="1"/>
      <c r="B394" s="16"/>
      <c r="C394" s="16"/>
      <c r="D394" s="15"/>
      <c r="E394" s="11" t="str">
        <f aca="false">IF(D394="","",IFERROR(INDEX(Players!$C$5:$C$304,MATCH(D394,Players!$B$5:$B$304,0)),""))</f>
        <v/>
      </c>
      <c r="F394" s="22" t="str">
        <f aca="false">IF(D394="","",IF(COUNTIFS($B$5:$B$2004,B394,$D$5:$D$2004,D394)&gt;1,"DUPLICATE",IF(ISNA(MATCH(D394,Players!$B$5:$B$304,0)),"UID not found",IF(INDEX(Players!$H$5:$H$304,MATCH(D394,Players!$B$5:$B$304,0))&lt;0,"LOW BALANCE","OK"))))</f>
        <v/>
      </c>
      <c r="G394" s="1"/>
      <c r="H394" s="1"/>
      <c r="I394" s="1"/>
    </row>
    <row r="395" customFormat="false" ht="21.75" hidden="false" customHeight="true" outlineLevel="0" collapsed="false">
      <c r="A395" s="1"/>
      <c r="B395" s="16"/>
      <c r="C395" s="16"/>
      <c r="D395" s="15"/>
      <c r="E395" s="11" t="str">
        <f aca="false">IF(D395="","",IFERROR(INDEX(Players!$C$5:$C$304,MATCH(D395,Players!$B$5:$B$304,0)),""))</f>
        <v/>
      </c>
      <c r="F395" s="22" t="str">
        <f aca="false">IF(D395="","",IF(COUNTIFS($B$5:$B$2004,B395,$D$5:$D$2004,D395)&gt;1,"DUPLICATE",IF(ISNA(MATCH(D395,Players!$B$5:$B$304,0)),"UID not found",IF(INDEX(Players!$H$5:$H$304,MATCH(D395,Players!$B$5:$B$304,0))&lt;0,"LOW BALANCE","OK"))))</f>
        <v/>
      </c>
      <c r="G395" s="1"/>
      <c r="H395" s="1"/>
      <c r="I395" s="1"/>
    </row>
    <row r="396" customFormat="false" ht="21.75" hidden="false" customHeight="true" outlineLevel="0" collapsed="false">
      <c r="A396" s="1"/>
      <c r="B396" s="16"/>
      <c r="C396" s="16"/>
      <c r="D396" s="15"/>
      <c r="E396" s="11" t="str">
        <f aca="false">IF(D396="","",IFERROR(INDEX(Players!$C$5:$C$304,MATCH(D396,Players!$B$5:$B$304,0)),""))</f>
        <v/>
      </c>
      <c r="F396" s="22" t="str">
        <f aca="false">IF(D396="","",IF(COUNTIFS($B$5:$B$2004,B396,$D$5:$D$2004,D396)&gt;1,"DUPLICATE",IF(ISNA(MATCH(D396,Players!$B$5:$B$304,0)),"UID not found",IF(INDEX(Players!$H$5:$H$304,MATCH(D396,Players!$B$5:$B$304,0))&lt;0,"LOW BALANCE","OK"))))</f>
        <v/>
      </c>
      <c r="G396" s="1"/>
      <c r="H396" s="1"/>
      <c r="I396" s="1"/>
    </row>
    <row r="397" customFormat="false" ht="21.75" hidden="false" customHeight="true" outlineLevel="0" collapsed="false">
      <c r="A397" s="1"/>
      <c r="B397" s="16"/>
      <c r="C397" s="16"/>
      <c r="D397" s="15"/>
      <c r="E397" s="11" t="str">
        <f aca="false">IF(D397="","",IFERROR(INDEX(Players!$C$5:$C$304,MATCH(D397,Players!$B$5:$B$304,0)),""))</f>
        <v/>
      </c>
      <c r="F397" s="22" t="str">
        <f aca="false">IF(D397="","",IF(COUNTIFS($B$5:$B$2004,B397,$D$5:$D$2004,D397)&gt;1,"DUPLICATE",IF(ISNA(MATCH(D397,Players!$B$5:$B$304,0)),"UID not found",IF(INDEX(Players!$H$5:$H$304,MATCH(D397,Players!$B$5:$B$304,0))&lt;0,"LOW BALANCE","OK"))))</f>
        <v/>
      </c>
      <c r="G397" s="1"/>
      <c r="H397" s="1"/>
      <c r="I397" s="1"/>
    </row>
    <row r="398" customFormat="false" ht="21.75" hidden="false" customHeight="true" outlineLevel="0" collapsed="false">
      <c r="A398" s="1"/>
      <c r="B398" s="16"/>
      <c r="C398" s="16"/>
      <c r="D398" s="15"/>
      <c r="E398" s="11" t="str">
        <f aca="false">IF(D398="","",IFERROR(INDEX(Players!$C$5:$C$304,MATCH(D398,Players!$B$5:$B$304,0)),""))</f>
        <v/>
      </c>
      <c r="F398" s="22" t="str">
        <f aca="false">IF(D398="","",IF(COUNTIFS($B$5:$B$2004,B398,$D$5:$D$2004,D398)&gt;1,"DUPLICATE",IF(ISNA(MATCH(D398,Players!$B$5:$B$304,0)),"UID not found",IF(INDEX(Players!$H$5:$H$304,MATCH(D398,Players!$B$5:$B$304,0))&lt;0,"LOW BALANCE","OK"))))</f>
        <v/>
      </c>
      <c r="G398" s="1"/>
      <c r="H398" s="1"/>
      <c r="I398" s="1"/>
    </row>
    <row r="399" customFormat="false" ht="21.75" hidden="false" customHeight="true" outlineLevel="0" collapsed="false">
      <c r="A399" s="1"/>
      <c r="B399" s="16"/>
      <c r="C399" s="16"/>
      <c r="D399" s="15"/>
      <c r="E399" s="11" t="str">
        <f aca="false">IF(D399="","",IFERROR(INDEX(Players!$C$5:$C$304,MATCH(D399,Players!$B$5:$B$304,0)),""))</f>
        <v/>
      </c>
      <c r="F399" s="22" t="str">
        <f aca="false">IF(D399="","",IF(COUNTIFS($B$5:$B$2004,B399,$D$5:$D$2004,D399)&gt;1,"DUPLICATE",IF(ISNA(MATCH(D399,Players!$B$5:$B$304,0)),"UID not found",IF(INDEX(Players!$H$5:$H$304,MATCH(D399,Players!$B$5:$B$304,0))&lt;0,"LOW BALANCE","OK"))))</f>
        <v/>
      </c>
      <c r="G399" s="1"/>
      <c r="H399" s="1"/>
      <c r="I399" s="1"/>
    </row>
    <row r="400" customFormat="false" ht="21.75" hidden="false" customHeight="true" outlineLevel="0" collapsed="false">
      <c r="A400" s="1"/>
      <c r="B400" s="16"/>
      <c r="C400" s="16"/>
      <c r="D400" s="15"/>
      <c r="E400" s="11" t="str">
        <f aca="false">IF(D400="","",IFERROR(INDEX(Players!$C$5:$C$304,MATCH(D400,Players!$B$5:$B$304,0)),""))</f>
        <v/>
      </c>
      <c r="F400" s="22" t="str">
        <f aca="false">IF(D400="","",IF(COUNTIFS($B$5:$B$2004,B400,$D$5:$D$2004,D400)&gt;1,"DUPLICATE",IF(ISNA(MATCH(D400,Players!$B$5:$B$304,0)),"UID not found",IF(INDEX(Players!$H$5:$H$304,MATCH(D400,Players!$B$5:$B$304,0))&lt;0,"LOW BALANCE","OK"))))</f>
        <v/>
      </c>
      <c r="G400" s="1"/>
      <c r="H400" s="1"/>
      <c r="I400" s="1"/>
    </row>
    <row r="401" customFormat="false" ht="21.75" hidden="false" customHeight="true" outlineLevel="0" collapsed="false">
      <c r="A401" s="1"/>
      <c r="B401" s="16"/>
      <c r="C401" s="16"/>
      <c r="D401" s="15"/>
      <c r="E401" s="11" t="str">
        <f aca="false">IF(D401="","",IFERROR(INDEX(Players!$C$5:$C$304,MATCH(D401,Players!$B$5:$B$304,0)),""))</f>
        <v/>
      </c>
      <c r="F401" s="22" t="str">
        <f aca="false">IF(D401="","",IF(COUNTIFS($B$5:$B$2004,B401,$D$5:$D$2004,D401)&gt;1,"DUPLICATE",IF(ISNA(MATCH(D401,Players!$B$5:$B$304,0)),"UID not found",IF(INDEX(Players!$H$5:$H$304,MATCH(D401,Players!$B$5:$B$304,0))&lt;0,"LOW BALANCE","OK"))))</f>
        <v/>
      </c>
      <c r="G401" s="1"/>
      <c r="H401" s="1"/>
      <c r="I401" s="1"/>
    </row>
    <row r="402" customFormat="false" ht="21.75" hidden="false" customHeight="true" outlineLevel="0" collapsed="false">
      <c r="A402" s="1"/>
      <c r="B402" s="16"/>
      <c r="C402" s="16"/>
      <c r="D402" s="15"/>
      <c r="E402" s="11" t="str">
        <f aca="false">IF(D402="","",IFERROR(INDEX(Players!$C$5:$C$304,MATCH(D402,Players!$B$5:$B$304,0)),""))</f>
        <v/>
      </c>
      <c r="F402" s="22" t="str">
        <f aca="false">IF(D402="","",IF(COUNTIFS($B$5:$B$2004,B402,$D$5:$D$2004,D402)&gt;1,"DUPLICATE",IF(ISNA(MATCH(D402,Players!$B$5:$B$304,0)),"UID not found",IF(INDEX(Players!$H$5:$H$304,MATCH(D402,Players!$B$5:$B$304,0))&lt;0,"LOW BALANCE","OK"))))</f>
        <v/>
      </c>
      <c r="G402" s="1"/>
      <c r="H402" s="1"/>
      <c r="I402" s="1"/>
    </row>
    <row r="403" customFormat="false" ht="21.75" hidden="false" customHeight="true" outlineLevel="0" collapsed="false">
      <c r="A403" s="1"/>
      <c r="B403" s="16"/>
      <c r="C403" s="16"/>
      <c r="D403" s="15"/>
      <c r="E403" s="11" t="str">
        <f aca="false">IF(D403="","",IFERROR(INDEX(Players!$C$5:$C$304,MATCH(D403,Players!$B$5:$B$304,0)),""))</f>
        <v/>
      </c>
      <c r="F403" s="22" t="str">
        <f aca="false">IF(D403="","",IF(COUNTIFS($B$5:$B$2004,B403,$D$5:$D$2004,D403)&gt;1,"DUPLICATE",IF(ISNA(MATCH(D403,Players!$B$5:$B$304,0)),"UID not found",IF(INDEX(Players!$H$5:$H$304,MATCH(D403,Players!$B$5:$B$304,0))&lt;0,"LOW BALANCE","OK"))))</f>
        <v/>
      </c>
      <c r="G403" s="1"/>
      <c r="H403" s="1"/>
      <c r="I403" s="1"/>
    </row>
    <row r="404" customFormat="false" ht="21.75" hidden="false" customHeight="true" outlineLevel="0" collapsed="false">
      <c r="A404" s="1"/>
      <c r="B404" s="16"/>
      <c r="C404" s="16"/>
      <c r="D404" s="15"/>
      <c r="E404" s="11" t="str">
        <f aca="false">IF(D404="","",IFERROR(INDEX(Players!$C$5:$C$304,MATCH(D404,Players!$B$5:$B$304,0)),""))</f>
        <v/>
      </c>
      <c r="F404" s="22" t="str">
        <f aca="false">IF(D404="","",IF(COUNTIFS($B$5:$B$2004,B404,$D$5:$D$2004,D404)&gt;1,"DUPLICATE",IF(ISNA(MATCH(D404,Players!$B$5:$B$304,0)),"UID not found",IF(INDEX(Players!$H$5:$H$304,MATCH(D404,Players!$B$5:$B$304,0))&lt;0,"LOW BALANCE","OK"))))</f>
        <v/>
      </c>
      <c r="G404" s="1"/>
      <c r="H404" s="1"/>
      <c r="I404" s="1"/>
    </row>
    <row r="405" customFormat="false" ht="21.75" hidden="false" customHeight="true" outlineLevel="0" collapsed="false">
      <c r="A405" s="1"/>
      <c r="B405" s="16"/>
      <c r="C405" s="16"/>
      <c r="D405" s="15"/>
      <c r="E405" s="11" t="str">
        <f aca="false">IF(D405="","",IFERROR(INDEX(Players!$C$5:$C$304,MATCH(D405,Players!$B$5:$B$304,0)),""))</f>
        <v/>
      </c>
      <c r="F405" s="22" t="str">
        <f aca="false">IF(D405="","",IF(COUNTIFS($B$5:$B$2004,B405,$D$5:$D$2004,D405)&gt;1,"DUPLICATE",IF(ISNA(MATCH(D405,Players!$B$5:$B$304,0)),"UID not found",IF(INDEX(Players!$H$5:$H$304,MATCH(D405,Players!$B$5:$B$304,0))&lt;0,"LOW BALANCE","OK"))))</f>
        <v/>
      </c>
      <c r="G405" s="1"/>
      <c r="H405" s="1"/>
      <c r="I405" s="1"/>
    </row>
    <row r="406" customFormat="false" ht="21.75" hidden="false" customHeight="true" outlineLevel="0" collapsed="false">
      <c r="A406" s="1"/>
      <c r="B406" s="16"/>
      <c r="C406" s="16"/>
      <c r="D406" s="15"/>
      <c r="E406" s="11" t="str">
        <f aca="false">IF(D406="","",IFERROR(INDEX(Players!$C$5:$C$304,MATCH(D406,Players!$B$5:$B$304,0)),""))</f>
        <v/>
      </c>
      <c r="F406" s="22" t="str">
        <f aca="false">IF(D406="","",IF(COUNTIFS($B$5:$B$2004,B406,$D$5:$D$2004,D406)&gt;1,"DUPLICATE",IF(ISNA(MATCH(D406,Players!$B$5:$B$304,0)),"UID not found",IF(INDEX(Players!$H$5:$H$304,MATCH(D406,Players!$B$5:$B$304,0))&lt;0,"LOW BALANCE","OK"))))</f>
        <v/>
      </c>
      <c r="G406" s="1"/>
      <c r="H406" s="1"/>
      <c r="I406" s="1"/>
    </row>
    <row r="407" customFormat="false" ht="21.75" hidden="false" customHeight="true" outlineLevel="0" collapsed="false">
      <c r="A407" s="1"/>
      <c r="B407" s="16"/>
      <c r="C407" s="16"/>
      <c r="D407" s="15"/>
      <c r="E407" s="11" t="str">
        <f aca="false">IF(D407="","",IFERROR(INDEX(Players!$C$5:$C$304,MATCH(D407,Players!$B$5:$B$304,0)),""))</f>
        <v/>
      </c>
      <c r="F407" s="22" t="str">
        <f aca="false">IF(D407="","",IF(COUNTIFS($B$5:$B$2004,B407,$D$5:$D$2004,D407)&gt;1,"DUPLICATE",IF(ISNA(MATCH(D407,Players!$B$5:$B$304,0)),"UID not found",IF(INDEX(Players!$H$5:$H$304,MATCH(D407,Players!$B$5:$B$304,0))&lt;0,"LOW BALANCE","OK"))))</f>
        <v/>
      </c>
      <c r="G407" s="1"/>
      <c r="H407" s="1"/>
      <c r="I407" s="1"/>
    </row>
    <row r="408" customFormat="false" ht="21.75" hidden="false" customHeight="true" outlineLevel="0" collapsed="false">
      <c r="A408" s="1"/>
      <c r="B408" s="16"/>
      <c r="C408" s="16"/>
      <c r="D408" s="15"/>
      <c r="E408" s="11" t="str">
        <f aca="false">IF(D408="","",IFERROR(INDEX(Players!$C$5:$C$304,MATCH(D408,Players!$B$5:$B$304,0)),""))</f>
        <v/>
      </c>
      <c r="F408" s="22" t="str">
        <f aca="false">IF(D408="","",IF(COUNTIFS($B$5:$B$2004,B408,$D$5:$D$2004,D408)&gt;1,"DUPLICATE",IF(ISNA(MATCH(D408,Players!$B$5:$B$304,0)),"UID not found",IF(INDEX(Players!$H$5:$H$304,MATCH(D408,Players!$B$5:$B$304,0))&lt;0,"LOW BALANCE","OK"))))</f>
        <v/>
      </c>
      <c r="G408" s="1"/>
      <c r="H408" s="1"/>
      <c r="I408" s="1"/>
    </row>
    <row r="409" customFormat="false" ht="21.75" hidden="false" customHeight="true" outlineLevel="0" collapsed="false">
      <c r="A409" s="1"/>
      <c r="B409" s="16"/>
      <c r="C409" s="16"/>
      <c r="D409" s="15"/>
      <c r="E409" s="11" t="str">
        <f aca="false">IF(D409="","",IFERROR(INDEX(Players!$C$5:$C$304,MATCH(D409,Players!$B$5:$B$304,0)),""))</f>
        <v/>
      </c>
      <c r="F409" s="22" t="str">
        <f aca="false">IF(D409="","",IF(COUNTIFS($B$5:$B$2004,B409,$D$5:$D$2004,D409)&gt;1,"DUPLICATE",IF(ISNA(MATCH(D409,Players!$B$5:$B$304,0)),"UID not found",IF(INDEX(Players!$H$5:$H$304,MATCH(D409,Players!$B$5:$B$304,0))&lt;0,"LOW BALANCE","OK"))))</f>
        <v/>
      </c>
      <c r="G409" s="1"/>
      <c r="H409" s="1"/>
      <c r="I409" s="1"/>
    </row>
    <row r="410" customFormat="false" ht="21.75" hidden="false" customHeight="true" outlineLevel="0" collapsed="false">
      <c r="A410" s="1"/>
      <c r="B410" s="16"/>
      <c r="C410" s="16"/>
      <c r="D410" s="15"/>
      <c r="E410" s="11" t="str">
        <f aca="false">IF(D410="","",IFERROR(INDEX(Players!$C$5:$C$304,MATCH(D410,Players!$B$5:$B$304,0)),""))</f>
        <v/>
      </c>
      <c r="F410" s="22" t="str">
        <f aca="false">IF(D410="","",IF(COUNTIFS($B$5:$B$2004,B410,$D$5:$D$2004,D410)&gt;1,"DUPLICATE",IF(ISNA(MATCH(D410,Players!$B$5:$B$304,0)),"UID not found",IF(INDEX(Players!$H$5:$H$304,MATCH(D410,Players!$B$5:$B$304,0))&lt;0,"LOW BALANCE","OK"))))</f>
        <v/>
      </c>
      <c r="G410" s="1"/>
      <c r="H410" s="1"/>
      <c r="I410" s="1"/>
    </row>
    <row r="411" customFormat="false" ht="21.75" hidden="false" customHeight="true" outlineLevel="0" collapsed="false">
      <c r="A411" s="1"/>
      <c r="B411" s="16"/>
      <c r="C411" s="16"/>
      <c r="D411" s="15"/>
      <c r="E411" s="11" t="str">
        <f aca="false">IF(D411="","",IFERROR(INDEX(Players!$C$5:$C$304,MATCH(D411,Players!$B$5:$B$304,0)),""))</f>
        <v/>
      </c>
      <c r="F411" s="22" t="str">
        <f aca="false">IF(D411="","",IF(COUNTIFS($B$5:$B$2004,B411,$D$5:$D$2004,D411)&gt;1,"DUPLICATE",IF(ISNA(MATCH(D411,Players!$B$5:$B$304,0)),"UID not found",IF(INDEX(Players!$H$5:$H$304,MATCH(D411,Players!$B$5:$B$304,0))&lt;0,"LOW BALANCE","OK"))))</f>
        <v/>
      </c>
      <c r="G411" s="1"/>
      <c r="H411" s="1"/>
      <c r="I411" s="1"/>
    </row>
    <row r="412" customFormat="false" ht="21.75" hidden="false" customHeight="true" outlineLevel="0" collapsed="false">
      <c r="A412" s="1"/>
      <c r="B412" s="16"/>
      <c r="C412" s="16"/>
      <c r="D412" s="15"/>
      <c r="E412" s="11" t="str">
        <f aca="false">IF(D412="","",IFERROR(INDEX(Players!$C$5:$C$304,MATCH(D412,Players!$B$5:$B$304,0)),""))</f>
        <v/>
      </c>
      <c r="F412" s="22" t="str">
        <f aca="false">IF(D412="","",IF(COUNTIFS($B$5:$B$2004,B412,$D$5:$D$2004,D412)&gt;1,"DUPLICATE",IF(ISNA(MATCH(D412,Players!$B$5:$B$304,0)),"UID not found",IF(INDEX(Players!$H$5:$H$304,MATCH(D412,Players!$B$5:$B$304,0))&lt;0,"LOW BALANCE","OK"))))</f>
        <v/>
      </c>
      <c r="G412" s="1"/>
      <c r="H412" s="1"/>
      <c r="I412" s="1"/>
    </row>
    <row r="413" customFormat="false" ht="21.75" hidden="false" customHeight="true" outlineLevel="0" collapsed="false">
      <c r="A413" s="1"/>
      <c r="B413" s="16"/>
      <c r="C413" s="16"/>
      <c r="D413" s="15"/>
      <c r="E413" s="11" t="str">
        <f aca="false">IF(D413="","",IFERROR(INDEX(Players!$C$5:$C$304,MATCH(D413,Players!$B$5:$B$304,0)),""))</f>
        <v/>
      </c>
      <c r="F413" s="22" t="str">
        <f aca="false">IF(D413="","",IF(COUNTIFS($B$5:$B$2004,B413,$D$5:$D$2004,D413)&gt;1,"DUPLICATE",IF(ISNA(MATCH(D413,Players!$B$5:$B$304,0)),"UID not found",IF(INDEX(Players!$H$5:$H$304,MATCH(D413,Players!$B$5:$B$304,0))&lt;0,"LOW BALANCE","OK"))))</f>
        <v/>
      </c>
      <c r="G413" s="1"/>
      <c r="H413" s="1"/>
      <c r="I413" s="1"/>
    </row>
    <row r="414" customFormat="false" ht="21.75" hidden="false" customHeight="true" outlineLevel="0" collapsed="false">
      <c r="A414" s="1"/>
      <c r="B414" s="16"/>
      <c r="C414" s="16"/>
      <c r="D414" s="15"/>
      <c r="E414" s="11" t="str">
        <f aca="false">IF(D414="","",IFERROR(INDEX(Players!$C$5:$C$304,MATCH(D414,Players!$B$5:$B$304,0)),""))</f>
        <v/>
      </c>
      <c r="F414" s="22" t="str">
        <f aca="false">IF(D414="","",IF(COUNTIFS($B$5:$B$2004,B414,$D$5:$D$2004,D414)&gt;1,"DUPLICATE",IF(ISNA(MATCH(D414,Players!$B$5:$B$304,0)),"UID not found",IF(INDEX(Players!$H$5:$H$304,MATCH(D414,Players!$B$5:$B$304,0))&lt;0,"LOW BALANCE","OK"))))</f>
        <v/>
      </c>
      <c r="G414" s="1"/>
      <c r="H414" s="1"/>
      <c r="I414" s="1"/>
    </row>
    <row r="415" customFormat="false" ht="21.75" hidden="false" customHeight="true" outlineLevel="0" collapsed="false">
      <c r="A415" s="1"/>
      <c r="B415" s="16"/>
      <c r="C415" s="16"/>
      <c r="D415" s="15"/>
      <c r="E415" s="11" t="str">
        <f aca="false">IF(D415="","",IFERROR(INDEX(Players!$C$5:$C$304,MATCH(D415,Players!$B$5:$B$304,0)),""))</f>
        <v/>
      </c>
      <c r="F415" s="22" t="str">
        <f aca="false">IF(D415="","",IF(COUNTIFS($B$5:$B$2004,B415,$D$5:$D$2004,D415)&gt;1,"DUPLICATE",IF(ISNA(MATCH(D415,Players!$B$5:$B$304,0)),"UID not found",IF(INDEX(Players!$H$5:$H$304,MATCH(D415,Players!$B$5:$B$304,0))&lt;0,"LOW BALANCE","OK"))))</f>
        <v/>
      </c>
      <c r="G415" s="1"/>
      <c r="H415" s="1"/>
      <c r="I415" s="1"/>
    </row>
    <row r="416" customFormat="false" ht="21.75" hidden="false" customHeight="true" outlineLevel="0" collapsed="false">
      <c r="A416" s="1"/>
      <c r="B416" s="16"/>
      <c r="C416" s="16"/>
      <c r="D416" s="15"/>
      <c r="E416" s="11" t="str">
        <f aca="false">IF(D416="","",IFERROR(INDEX(Players!$C$5:$C$304,MATCH(D416,Players!$B$5:$B$304,0)),""))</f>
        <v/>
      </c>
      <c r="F416" s="22" t="str">
        <f aca="false">IF(D416="","",IF(COUNTIFS($B$5:$B$2004,B416,$D$5:$D$2004,D416)&gt;1,"DUPLICATE",IF(ISNA(MATCH(D416,Players!$B$5:$B$304,0)),"UID not found",IF(INDEX(Players!$H$5:$H$304,MATCH(D416,Players!$B$5:$B$304,0))&lt;0,"LOW BALANCE","OK"))))</f>
        <v/>
      </c>
      <c r="G416" s="1"/>
      <c r="H416" s="1"/>
      <c r="I416" s="1"/>
    </row>
    <row r="417" customFormat="false" ht="21.75" hidden="false" customHeight="true" outlineLevel="0" collapsed="false">
      <c r="A417" s="1"/>
      <c r="B417" s="16"/>
      <c r="C417" s="16"/>
      <c r="D417" s="15"/>
      <c r="E417" s="11" t="str">
        <f aca="false">IF(D417="","",IFERROR(INDEX(Players!$C$5:$C$304,MATCH(D417,Players!$B$5:$B$304,0)),""))</f>
        <v/>
      </c>
      <c r="F417" s="22" t="str">
        <f aca="false">IF(D417="","",IF(COUNTIFS($B$5:$B$2004,B417,$D$5:$D$2004,D417)&gt;1,"DUPLICATE",IF(ISNA(MATCH(D417,Players!$B$5:$B$304,0)),"UID not found",IF(INDEX(Players!$H$5:$H$304,MATCH(D417,Players!$B$5:$B$304,0))&lt;0,"LOW BALANCE","OK"))))</f>
        <v/>
      </c>
      <c r="G417" s="1"/>
      <c r="H417" s="1"/>
      <c r="I417" s="1"/>
    </row>
    <row r="418" customFormat="false" ht="21.75" hidden="false" customHeight="true" outlineLevel="0" collapsed="false">
      <c r="A418" s="1"/>
      <c r="B418" s="16"/>
      <c r="C418" s="16"/>
      <c r="D418" s="15"/>
      <c r="E418" s="11" t="str">
        <f aca="false">IF(D418="","",IFERROR(INDEX(Players!$C$5:$C$304,MATCH(D418,Players!$B$5:$B$304,0)),""))</f>
        <v/>
      </c>
      <c r="F418" s="22" t="str">
        <f aca="false">IF(D418="","",IF(COUNTIFS($B$5:$B$2004,B418,$D$5:$D$2004,D418)&gt;1,"DUPLICATE",IF(ISNA(MATCH(D418,Players!$B$5:$B$304,0)),"UID not found",IF(INDEX(Players!$H$5:$H$304,MATCH(D418,Players!$B$5:$B$304,0))&lt;0,"LOW BALANCE","OK"))))</f>
        <v/>
      </c>
      <c r="G418" s="1"/>
      <c r="H418" s="1"/>
      <c r="I418" s="1"/>
    </row>
    <row r="419" customFormat="false" ht="21.75" hidden="false" customHeight="true" outlineLevel="0" collapsed="false">
      <c r="A419" s="1"/>
      <c r="B419" s="16"/>
      <c r="C419" s="16"/>
      <c r="D419" s="15"/>
      <c r="E419" s="11" t="str">
        <f aca="false">IF(D419="","",IFERROR(INDEX(Players!$C$5:$C$304,MATCH(D419,Players!$B$5:$B$304,0)),""))</f>
        <v/>
      </c>
      <c r="F419" s="22" t="str">
        <f aca="false">IF(D419="","",IF(COUNTIFS($B$5:$B$2004,B419,$D$5:$D$2004,D419)&gt;1,"DUPLICATE",IF(ISNA(MATCH(D419,Players!$B$5:$B$304,0)),"UID not found",IF(INDEX(Players!$H$5:$H$304,MATCH(D419,Players!$B$5:$B$304,0))&lt;0,"LOW BALANCE","OK"))))</f>
        <v/>
      </c>
      <c r="G419" s="1"/>
      <c r="H419" s="1"/>
      <c r="I419" s="1"/>
    </row>
    <row r="420" customFormat="false" ht="21.75" hidden="false" customHeight="true" outlineLevel="0" collapsed="false">
      <c r="A420" s="1"/>
      <c r="B420" s="16"/>
      <c r="C420" s="16"/>
      <c r="D420" s="15"/>
      <c r="E420" s="11" t="str">
        <f aca="false">IF(D420="","",IFERROR(INDEX(Players!$C$5:$C$304,MATCH(D420,Players!$B$5:$B$304,0)),""))</f>
        <v/>
      </c>
      <c r="F420" s="22" t="str">
        <f aca="false">IF(D420="","",IF(COUNTIFS($B$5:$B$2004,B420,$D$5:$D$2004,D420)&gt;1,"DUPLICATE",IF(ISNA(MATCH(D420,Players!$B$5:$B$304,0)),"UID not found",IF(INDEX(Players!$H$5:$H$304,MATCH(D420,Players!$B$5:$B$304,0))&lt;0,"LOW BALANCE","OK"))))</f>
        <v/>
      </c>
      <c r="G420" s="1"/>
      <c r="H420" s="1"/>
      <c r="I420" s="1"/>
    </row>
    <row r="421" customFormat="false" ht="21.75" hidden="false" customHeight="true" outlineLevel="0" collapsed="false">
      <c r="A421" s="1"/>
      <c r="B421" s="16"/>
      <c r="C421" s="16"/>
      <c r="D421" s="15"/>
      <c r="E421" s="11" t="str">
        <f aca="false">IF(D421="","",IFERROR(INDEX(Players!$C$5:$C$304,MATCH(D421,Players!$B$5:$B$304,0)),""))</f>
        <v/>
      </c>
      <c r="F421" s="22" t="str">
        <f aca="false">IF(D421="","",IF(COUNTIFS($B$5:$B$2004,B421,$D$5:$D$2004,D421)&gt;1,"DUPLICATE",IF(ISNA(MATCH(D421,Players!$B$5:$B$304,0)),"UID not found",IF(INDEX(Players!$H$5:$H$304,MATCH(D421,Players!$B$5:$B$304,0))&lt;0,"LOW BALANCE","OK"))))</f>
        <v/>
      </c>
      <c r="G421" s="1"/>
      <c r="H421" s="1"/>
      <c r="I421" s="1"/>
    </row>
    <row r="422" customFormat="false" ht="21.75" hidden="false" customHeight="true" outlineLevel="0" collapsed="false">
      <c r="A422" s="1"/>
      <c r="B422" s="16"/>
      <c r="C422" s="16"/>
      <c r="D422" s="15"/>
      <c r="E422" s="11" t="str">
        <f aca="false">IF(D422="","",IFERROR(INDEX(Players!$C$5:$C$304,MATCH(D422,Players!$B$5:$B$304,0)),""))</f>
        <v/>
      </c>
      <c r="F422" s="22" t="str">
        <f aca="false">IF(D422="","",IF(COUNTIFS($B$5:$B$2004,B422,$D$5:$D$2004,D422)&gt;1,"DUPLICATE",IF(ISNA(MATCH(D422,Players!$B$5:$B$304,0)),"UID not found",IF(INDEX(Players!$H$5:$H$304,MATCH(D422,Players!$B$5:$B$304,0))&lt;0,"LOW BALANCE","OK"))))</f>
        <v/>
      </c>
      <c r="G422" s="1"/>
      <c r="H422" s="1"/>
      <c r="I422" s="1"/>
    </row>
    <row r="423" customFormat="false" ht="21.75" hidden="false" customHeight="true" outlineLevel="0" collapsed="false">
      <c r="A423" s="1"/>
      <c r="B423" s="16"/>
      <c r="C423" s="16"/>
      <c r="D423" s="15"/>
      <c r="E423" s="11" t="str">
        <f aca="false">IF(D423="","",IFERROR(INDEX(Players!$C$5:$C$304,MATCH(D423,Players!$B$5:$B$304,0)),""))</f>
        <v/>
      </c>
      <c r="F423" s="22" t="str">
        <f aca="false">IF(D423="","",IF(COUNTIFS($B$5:$B$2004,B423,$D$5:$D$2004,D423)&gt;1,"DUPLICATE",IF(ISNA(MATCH(D423,Players!$B$5:$B$304,0)),"UID not found",IF(INDEX(Players!$H$5:$H$304,MATCH(D423,Players!$B$5:$B$304,0))&lt;0,"LOW BALANCE","OK"))))</f>
        <v/>
      </c>
      <c r="G423" s="1"/>
      <c r="H423" s="1"/>
      <c r="I423" s="1"/>
    </row>
    <row r="424" customFormat="false" ht="21.75" hidden="false" customHeight="true" outlineLevel="0" collapsed="false">
      <c r="A424" s="1"/>
      <c r="B424" s="16"/>
      <c r="C424" s="16"/>
      <c r="D424" s="15"/>
      <c r="E424" s="11" t="str">
        <f aca="false">IF(D424="","",IFERROR(INDEX(Players!$C$5:$C$304,MATCH(D424,Players!$B$5:$B$304,0)),""))</f>
        <v/>
      </c>
      <c r="F424" s="22" t="str">
        <f aca="false">IF(D424="","",IF(COUNTIFS($B$5:$B$2004,B424,$D$5:$D$2004,D424)&gt;1,"DUPLICATE",IF(ISNA(MATCH(D424,Players!$B$5:$B$304,0)),"UID not found",IF(INDEX(Players!$H$5:$H$304,MATCH(D424,Players!$B$5:$B$304,0))&lt;0,"LOW BALANCE","OK"))))</f>
        <v/>
      </c>
      <c r="G424" s="1"/>
      <c r="H424" s="1"/>
      <c r="I424" s="1"/>
    </row>
    <row r="425" customFormat="false" ht="21.75" hidden="false" customHeight="true" outlineLevel="0" collapsed="false">
      <c r="A425" s="1"/>
      <c r="B425" s="16"/>
      <c r="C425" s="16"/>
      <c r="D425" s="15"/>
      <c r="E425" s="11" t="str">
        <f aca="false">IF(D425="","",IFERROR(INDEX(Players!$C$5:$C$304,MATCH(D425,Players!$B$5:$B$304,0)),""))</f>
        <v/>
      </c>
      <c r="F425" s="22" t="str">
        <f aca="false">IF(D425="","",IF(COUNTIFS($B$5:$B$2004,B425,$D$5:$D$2004,D425)&gt;1,"DUPLICATE",IF(ISNA(MATCH(D425,Players!$B$5:$B$304,0)),"UID not found",IF(INDEX(Players!$H$5:$H$304,MATCH(D425,Players!$B$5:$B$304,0))&lt;0,"LOW BALANCE","OK"))))</f>
        <v/>
      </c>
      <c r="G425" s="1"/>
      <c r="H425" s="1"/>
      <c r="I425" s="1"/>
    </row>
    <row r="426" customFormat="false" ht="21.75" hidden="false" customHeight="true" outlineLevel="0" collapsed="false">
      <c r="A426" s="1"/>
      <c r="B426" s="16"/>
      <c r="C426" s="16"/>
      <c r="D426" s="15"/>
      <c r="E426" s="11" t="str">
        <f aca="false">IF(D426="","",IFERROR(INDEX(Players!$C$5:$C$304,MATCH(D426,Players!$B$5:$B$304,0)),""))</f>
        <v/>
      </c>
      <c r="F426" s="22" t="str">
        <f aca="false">IF(D426="","",IF(COUNTIFS($B$5:$B$2004,B426,$D$5:$D$2004,D426)&gt;1,"DUPLICATE",IF(ISNA(MATCH(D426,Players!$B$5:$B$304,0)),"UID not found",IF(INDEX(Players!$H$5:$H$304,MATCH(D426,Players!$B$5:$B$304,0))&lt;0,"LOW BALANCE","OK"))))</f>
        <v/>
      </c>
      <c r="G426" s="1"/>
      <c r="H426" s="1"/>
      <c r="I426" s="1"/>
    </row>
    <row r="427" customFormat="false" ht="21.75" hidden="false" customHeight="true" outlineLevel="0" collapsed="false">
      <c r="A427" s="1"/>
      <c r="B427" s="16"/>
      <c r="C427" s="16"/>
      <c r="D427" s="15"/>
      <c r="E427" s="11" t="str">
        <f aca="false">IF(D427="","",IFERROR(INDEX(Players!$C$5:$C$304,MATCH(D427,Players!$B$5:$B$304,0)),""))</f>
        <v/>
      </c>
      <c r="F427" s="22" t="str">
        <f aca="false">IF(D427="","",IF(COUNTIFS($B$5:$B$2004,B427,$D$5:$D$2004,D427)&gt;1,"DUPLICATE",IF(ISNA(MATCH(D427,Players!$B$5:$B$304,0)),"UID not found",IF(INDEX(Players!$H$5:$H$304,MATCH(D427,Players!$B$5:$B$304,0))&lt;0,"LOW BALANCE","OK"))))</f>
        <v/>
      </c>
      <c r="G427" s="1"/>
      <c r="H427" s="1"/>
      <c r="I427" s="1"/>
    </row>
    <row r="428" customFormat="false" ht="21.75" hidden="false" customHeight="true" outlineLevel="0" collapsed="false">
      <c r="A428" s="1"/>
      <c r="B428" s="16"/>
      <c r="C428" s="16"/>
      <c r="D428" s="15"/>
      <c r="E428" s="11" t="str">
        <f aca="false">IF(D428="","",IFERROR(INDEX(Players!$C$5:$C$304,MATCH(D428,Players!$B$5:$B$304,0)),""))</f>
        <v/>
      </c>
      <c r="F428" s="22" t="str">
        <f aca="false">IF(D428="","",IF(COUNTIFS($B$5:$B$2004,B428,$D$5:$D$2004,D428)&gt;1,"DUPLICATE",IF(ISNA(MATCH(D428,Players!$B$5:$B$304,0)),"UID not found",IF(INDEX(Players!$H$5:$H$304,MATCH(D428,Players!$B$5:$B$304,0))&lt;0,"LOW BALANCE","OK"))))</f>
        <v/>
      </c>
      <c r="G428" s="1"/>
      <c r="H428" s="1"/>
      <c r="I428" s="1"/>
    </row>
    <row r="429" customFormat="false" ht="21.75" hidden="false" customHeight="true" outlineLevel="0" collapsed="false">
      <c r="A429" s="1"/>
      <c r="B429" s="16"/>
      <c r="C429" s="16"/>
      <c r="D429" s="15"/>
      <c r="E429" s="11" t="str">
        <f aca="false">IF(D429="","",IFERROR(INDEX(Players!$C$5:$C$304,MATCH(D429,Players!$B$5:$B$304,0)),""))</f>
        <v/>
      </c>
      <c r="F429" s="22" t="str">
        <f aca="false">IF(D429="","",IF(COUNTIFS($B$5:$B$2004,B429,$D$5:$D$2004,D429)&gt;1,"DUPLICATE",IF(ISNA(MATCH(D429,Players!$B$5:$B$304,0)),"UID not found",IF(INDEX(Players!$H$5:$H$304,MATCH(D429,Players!$B$5:$B$304,0))&lt;0,"LOW BALANCE","OK"))))</f>
        <v/>
      </c>
      <c r="G429" s="1"/>
      <c r="H429" s="1"/>
      <c r="I429" s="1"/>
    </row>
    <row r="430" customFormat="false" ht="21.75" hidden="false" customHeight="true" outlineLevel="0" collapsed="false">
      <c r="A430" s="1"/>
      <c r="B430" s="16"/>
      <c r="C430" s="16"/>
      <c r="D430" s="15"/>
      <c r="E430" s="11" t="str">
        <f aca="false">IF(D430="","",IFERROR(INDEX(Players!$C$5:$C$304,MATCH(D430,Players!$B$5:$B$304,0)),""))</f>
        <v/>
      </c>
      <c r="F430" s="22" t="str">
        <f aca="false">IF(D430="","",IF(COUNTIFS($B$5:$B$2004,B430,$D$5:$D$2004,D430)&gt;1,"DUPLICATE",IF(ISNA(MATCH(D430,Players!$B$5:$B$304,0)),"UID not found",IF(INDEX(Players!$H$5:$H$304,MATCH(D430,Players!$B$5:$B$304,0))&lt;0,"LOW BALANCE","OK"))))</f>
        <v/>
      </c>
      <c r="G430" s="1"/>
      <c r="H430" s="1"/>
      <c r="I430" s="1"/>
    </row>
    <row r="431" customFormat="false" ht="21.75" hidden="false" customHeight="true" outlineLevel="0" collapsed="false">
      <c r="A431" s="1"/>
      <c r="B431" s="16"/>
      <c r="C431" s="16"/>
      <c r="D431" s="15"/>
      <c r="E431" s="11" t="str">
        <f aca="false">IF(D431="","",IFERROR(INDEX(Players!$C$5:$C$304,MATCH(D431,Players!$B$5:$B$304,0)),""))</f>
        <v/>
      </c>
      <c r="F431" s="22" t="str">
        <f aca="false">IF(D431="","",IF(COUNTIFS($B$5:$B$2004,B431,$D$5:$D$2004,D431)&gt;1,"DUPLICATE",IF(ISNA(MATCH(D431,Players!$B$5:$B$304,0)),"UID not found",IF(INDEX(Players!$H$5:$H$304,MATCH(D431,Players!$B$5:$B$304,0))&lt;0,"LOW BALANCE","OK"))))</f>
        <v/>
      </c>
      <c r="G431" s="1"/>
      <c r="H431" s="1"/>
      <c r="I431" s="1"/>
    </row>
    <row r="432" customFormat="false" ht="21.75" hidden="false" customHeight="true" outlineLevel="0" collapsed="false">
      <c r="A432" s="1"/>
      <c r="B432" s="16"/>
      <c r="C432" s="16"/>
      <c r="D432" s="15"/>
      <c r="E432" s="11" t="str">
        <f aca="false">IF(D432="","",IFERROR(INDEX(Players!$C$5:$C$304,MATCH(D432,Players!$B$5:$B$304,0)),""))</f>
        <v/>
      </c>
      <c r="F432" s="22" t="str">
        <f aca="false">IF(D432="","",IF(COUNTIFS($B$5:$B$2004,B432,$D$5:$D$2004,D432)&gt;1,"DUPLICATE",IF(ISNA(MATCH(D432,Players!$B$5:$B$304,0)),"UID not found",IF(INDEX(Players!$H$5:$H$304,MATCH(D432,Players!$B$5:$B$304,0))&lt;0,"LOW BALANCE","OK"))))</f>
        <v/>
      </c>
      <c r="G432" s="1"/>
      <c r="H432" s="1"/>
      <c r="I432" s="1"/>
    </row>
    <row r="433" customFormat="false" ht="21.75" hidden="false" customHeight="true" outlineLevel="0" collapsed="false">
      <c r="A433" s="1"/>
      <c r="B433" s="16"/>
      <c r="C433" s="16"/>
      <c r="D433" s="15"/>
      <c r="E433" s="11" t="str">
        <f aca="false">IF(D433="","",IFERROR(INDEX(Players!$C$5:$C$304,MATCH(D433,Players!$B$5:$B$304,0)),""))</f>
        <v/>
      </c>
      <c r="F433" s="22" t="str">
        <f aca="false">IF(D433="","",IF(COUNTIFS($B$5:$B$2004,B433,$D$5:$D$2004,D433)&gt;1,"DUPLICATE",IF(ISNA(MATCH(D433,Players!$B$5:$B$304,0)),"UID not found",IF(INDEX(Players!$H$5:$H$304,MATCH(D433,Players!$B$5:$B$304,0))&lt;0,"LOW BALANCE","OK"))))</f>
        <v/>
      </c>
      <c r="G433" s="1"/>
      <c r="H433" s="1"/>
      <c r="I433" s="1"/>
    </row>
    <row r="434" customFormat="false" ht="21.75" hidden="false" customHeight="true" outlineLevel="0" collapsed="false">
      <c r="A434" s="1"/>
      <c r="B434" s="16"/>
      <c r="C434" s="16"/>
      <c r="D434" s="15"/>
      <c r="E434" s="11" t="str">
        <f aca="false">IF(D434="","",IFERROR(INDEX(Players!$C$5:$C$304,MATCH(D434,Players!$B$5:$B$304,0)),""))</f>
        <v/>
      </c>
      <c r="F434" s="22" t="str">
        <f aca="false">IF(D434="","",IF(COUNTIFS($B$5:$B$2004,B434,$D$5:$D$2004,D434)&gt;1,"DUPLICATE",IF(ISNA(MATCH(D434,Players!$B$5:$B$304,0)),"UID not found",IF(INDEX(Players!$H$5:$H$304,MATCH(D434,Players!$B$5:$B$304,0))&lt;0,"LOW BALANCE","OK"))))</f>
        <v/>
      </c>
      <c r="G434" s="1"/>
      <c r="H434" s="1"/>
      <c r="I434" s="1"/>
    </row>
    <row r="435" customFormat="false" ht="21.75" hidden="false" customHeight="true" outlineLevel="0" collapsed="false">
      <c r="A435" s="1"/>
      <c r="B435" s="16"/>
      <c r="C435" s="16"/>
      <c r="D435" s="15"/>
      <c r="E435" s="11" t="str">
        <f aca="false">IF(D435="","",IFERROR(INDEX(Players!$C$5:$C$304,MATCH(D435,Players!$B$5:$B$304,0)),""))</f>
        <v/>
      </c>
      <c r="F435" s="22" t="str">
        <f aca="false">IF(D435="","",IF(COUNTIFS($B$5:$B$2004,B435,$D$5:$D$2004,D435)&gt;1,"DUPLICATE",IF(ISNA(MATCH(D435,Players!$B$5:$B$304,0)),"UID not found",IF(INDEX(Players!$H$5:$H$304,MATCH(D435,Players!$B$5:$B$304,0))&lt;0,"LOW BALANCE","OK"))))</f>
        <v/>
      </c>
      <c r="G435" s="1"/>
      <c r="H435" s="1"/>
      <c r="I435" s="1"/>
    </row>
    <row r="436" customFormat="false" ht="21.75" hidden="false" customHeight="true" outlineLevel="0" collapsed="false">
      <c r="A436" s="1"/>
      <c r="B436" s="16"/>
      <c r="C436" s="16"/>
      <c r="D436" s="15"/>
      <c r="E436" s="11" t="str">
        <f aca="false">IF(D436="","",IFERROR(INDEX(Players!$C$5:$C$304,MATCH(D436,Players!$B$5:$B$304,0)),""))</f>
        <v/>
      </c>
      <c r="F436" s="22" t="str">
        <f aca="false">IF(D436="","",IF(COUNTIFS($B$5:$B$2004,B436,$D$5:$D$2004,D436)&gt;1,"DUPLICATE",IF(ISNA(MATCH(D436,Players!$B$5:$B$304,0)),"UID not found",IF(INDEX(Players!$H$5:$H$304,MATCH(D436,Players!$B$5:$B$304,0))&lt;0,"LOW BALANCE","OK"))))</f>
        <v/>
      </c>
      <c r="G436" s="1"/>
      <c r="H436" s="1"/>
      <c r="I436" s="1"/>
    </row>
    <row r="437" customFormat="false" ht="21.75" hidden="false" customHeight="true" outlineLevel="0" collapsed="false">
      <c r="A437" s="1"/>
      <c r="B437" s="16"/>
      <c r="C437" s="16"/>
      <c r="D437" s="15"/>
      <c r="E437" s="11" t="str">
        <f aca="false">IF(D437="","",IFERROR(INDEX(Players!$C$5:$C$304,MATCH(D437,Players!$B$5:$B$304,0)),""))</f>
        <v/>
      </c>
      <c r="F437" s="22" t="str">
        <f aca="false">IF(D437="","",IF(COUNTIFS($B$5:$B$2004,B437,$D$5:$D$2004,D437)&gt;1,"DUPLICATE",IF(ISNA(MATCH(D437,Players!$B$5:$B$304,0)),"UID not found",IF(INDEX(Players!$H$5:$H$304,MATCH(D437,Players!$B$5:$B$304,0))&lt;0,"LOW BALANCE","OK"))))</f>
        <v/>
      </c>
      <c r="G437" s="1"/>
      <c r="H437" s="1"/>
      <c r="I437" s="1"/>
    </row>
    <row r="438" customFormat="false" ht="21.75" hidden="false" customHeight="true" outlineLevel="0" collapsed="false">
      <c r="A438" s="1"/>
      <c r="B438" s="16"/>
      <c r="C438" s="16"/>
      <c r="D438" s="15"/>
      <c r="E438" s="11" t="str">
        <f aca="false">IF(D438="","",IFERROR(INDEX(Players!$C$5:$C$304,MATCH(D438,Players!$B$5:$B$304,0)),""))</f>
        <v/>
      </c>
      <c r="F438" s="22" t="str">
        <f aca="false">IF(D438="","",IF(COUNTIFS($B$5:$B$2004,B438,$D$5:$D$2004,D438)&gt;1,"DUPLICATE",IF(ISNA(MATCH(D438,Players!$B$5:$B$304,0)),"UID not found",IF(INDEX(Players!$H$5:$H$304,MATCH(D438,Players!$B$5:$B$304,0))&lt;0,"LOW BALANCE","OK"))))</f>
        <v/>
      </c>
      <c r="G438" s="1"/>
      <c r="H438" s="1"/>
      <c r="I438" s="1"/>
    </row>
    <row r="439" customFormat="false" ht="21.75" hidden="false" customHeight="true" outlineLevel="0" collapsed="false">
      <c r="A439" s="1"/>
      <c r="B439" s="16"/>
      <c r="C439" s="16"/>
      <c r="D439" s="15"/>
      <c r="E439" s="11" t="str">
        <f aca="false">IF(D439="","",IFERROR(INDEX(Players!$C$5:$C$304,MATCH(D439,Players!$B$5:$B$304,0)),""))</f>
        <v/>
      </c>
      <c r="F439" s="22" t="str">
        <f aca="false">IF(D439="","",IF(COUNTIFS($B$5:$B$2004,B439,$D$5:$D$2004,D439)&gt;1,"DUPLICATE",IF(ISNA(MATCH(D439,Players!$B$5:$B$304,0)),"UID not found",IF(INDEX(Players!$H$5:$H$304,MATCH(D439,Players!$B$5:$B$304,0))&lt;0,"LOW BALANCE","OK"))))</f>
        <v/>
      </c>
      <c r="G439" s="1"/>
      <c r="H439" s="1"/>
      <c r="I439" s="1"/>
    </row>
    <row r="440" customFormat="false" ht="21.75" hidden="false" customHeight="true" outlineLevel="0" collapsed="false">
      <c r="A440" s="1"/>
      <c r="B440" s="16"/>
      <c r="C440" s="16"/>
      <c r="D440" s="15"/>
      <c r="E440" s="11" t="str">
        <f aca="false">IF(D440="","",IFERROR(INDEX(Players!$C$5:$C$304,MATCH(D440,Players!$B$5:$B$304,0)),""))</f>
        <v/>
      </c>
      <c r="F440" s="22" t="str">
        <f aca="false">IF(D440="","",IF(COUNTIFS($B$5:$B$2004,B440,$D$5:$D$2004,D440)&gt;1,"DUPLICATE",IF(ISNA(MATCH(D440,Players!$B$5:$B$304,0)),"UID not found",IF(INDEX(Players!$H$5:$H$304,MATCH(D440,Players!$B$5:$B$304,0))&lt;0,"LOW BALANCE","OK"))))</f>
        <v/>
      </c>
      <c r="G440" s="1"/>
      <c r="H440" s="1"/>
      <c r="I440" s="1"/>
    </row>
    <row r="441" customFormat="false" ht="21.75" hidden="false" customHeight="true" outlineLevel="0" collapsed="false">
      <c r="A441" s="1"/>
      <c r="B441" s="16"/>
      <c r="C441" s="16"/>
      <c r="D441" s="15"/>
      <c r="E441" s="11" t="str">
        <f aca="false">IF(D441="","",IFERROR(INDEX(Players!$C$5:$C$304,MATCH(D441,Players!$B$5:$B$304,0)),""))</f>
        <v/>
      </c>
      <c r="F441" s="22" t="str">
        <f aca="false">IF(D441="","",IF(COUNTIFS($B$5:$B$2004,B441,$D$5:$D$2004,D441)&gt;1,"DUPLICATE",IF(ISNA(MATCH(D441,Players!$B$5:$B$304,0)),"UID not found",IF(INDEX(Players!$H$5:$H$304,MATCH(D441,Players!$B$5:$B$304,0))&lt;0,"LOW BALANCE","OK"))))</f>
        <v/>
      </c>
      <c r="G441" s="1"/>
      <c r="H441" s="1"/>
      <c r="I441" s="1"/>
    </row>
    <row r="442" customFormat="false" ht="21.75" hidden="false" customHeight="true" outlineLevel="0" collapsed="false">
      <c r="A442" s="1"/>
      <c r="B442" s="16"/>
      <c r="C442" s="16"/>
      <c r="D442" s="15"/>
      <c r="E442" s="11" t="str">
        <f aca="false">IF(D442="","",IFERROR(INDEX(Players!$C$5:$C$304,MATCH(D442,Players!$B$5:$B$304,0)),""))</f>
        <v/>
      </c>
      <c r="F442" s="22" t="str">
        <f aca="false">IF(D442="","",IF(COUNTIFS($B$5:$B$2004,B442,$D$5:$D$2004,D442)&gt;1,"DUPLICATE",IF(ISNA(MATCH(D442,Players!$B$5:$B$304,0)),"UID not found",IF(INDEX(Players!$H$5:$H$304,MATCH(D442,Players!$B$5:$B$304,0))&lt;0,"LOW BALANCE","OK"))))</f>
        <v/>
      </c>
      <c r="G442" s="1"/>
      <c r="H442" s="1"/>
      <c r="I442" s="1"/>
    </row>
    <row r="443" customFormat="false" ht="21.75" hidden="false" customHeight="true" outlineLevel="0" collapsed="false">
      <c r="A443" s="1"/>
      <c r="B443" s="16"/>
      <c r="C443" s="16"/>
      <c r="D443" s="15"/>
      <c r="E443" s="11" t="str">
        <f aca="false">IF(D443="","",IFERROR(INDEX(Players!$C$5:$C$304,MATCH(D443,Players!$B$5:$B$304,0)),""))</f>
        <v/>
      </c>
      <c r="F443" s="22" t="str">
        <f aca="false">IF(D443="","",IF(COUNTIFS($B$5:$B$2004,B443,$D$5:$D$2004,D443)&gt;1,"DUPLICATE",IF(ISNA(MATCH(D443,Players!$B$5:$B$304,0)),"UID not found",IF(INDEX(Players!$H$5:$H$304,MATCH(D443,Players!$B$5:$B$304,0))&lt;0,"LOW BALANCE","OK"))))</f>
        <v/>
      </c>
      <c r="G443" s="1"/>
      <c r="H443" s="1"/>
      <c r="I443" s="1"/>
    </row>
    <row r="444" customFormat="false" ht="21.75" hidden="false" customHeight="true" outlineLevel="0" collapsed="false">
      <c r="A444" s="1"/>
      <c r="B444" s="16"/>
      <c r="C444" s="16"/>
      <c r="D444" s="15"/>
      <c r="E444" s="11" t="str">
        <f aca="false">IF(D444="","",IFERROR(INDEX(Players!$C$5:$C$304,MATCH(D444,Players!$B$5:$B$304,0)),""))</f>
        <v/>
      </c>
      <c r="F444" s="22" t="str">
        <f aca="false">IF(D444="","",IF(COUNTIFS($B$5:$B$2004,B444,$D$5:$D$2004,D444)&gt;1,"DUPLICATE",IF(ISNA(MATCH(D444,Players!$B$5:$B$304,0)),"UID not found",IF(INDEX(Players!$H$5:$H$304,MATCH(D444,Players!$B$5:$B$304,0))&lt;0,"LOW BALANCE","OK"))))</f>
        <v/>
      </c>
      <c r="G444" s="1"/>
      <c r="H444" s="1"/>
      <c r="I444" s="1"/>
    </row>
    <row r="445" customFormat="false" ht="21.75" hidden="false" customHeight="true" outlineLevel="0" collapsed="false">
      <c r="A445" s="1"/>
      <c r="B445" s="16"/>
      <c r="C445" s="16"/>
      <c r="D445" s="15"/>
      <c r="E445" s="11" t="str">
        <f aca="false">IF(D445="","",IFERROR(INDEX(Players!$C$5:$C$304,MATCH(D445,Players!$B$5:$B$304,0)),""))</f>
        <v/>
      </c>
      <c r="F445" s="22" t="str">
        <f aca="false">IF(D445="","",IF(COUNTIFS($B$5:$B$2004,B445,$D$5:$D$2004,D445)&gt;1,"DUPLICATE",IF(ISNA(MATCH(D445,Players!$B$5:$B$304,0)),"UID not found",IF(INDEX(Players!$H$5:$H$304,MATCH(D445,Players!$B$5:$B$304,0))&lt;0,"LOW BALANCE","OK"))))</f>
        <v/>
      </c>
      <c r="G445" s="1"/>
      <c r="H445" s="1"/>
      <c r="I445" s="1"/>
    </row>
    <row r="446" customFormat="false" ht="21.75" hidden="false" customHeight="true" outlineLevel="0" collapsed="false">
      <c r="A446" s="1"/>
      <c r="B446" s="16"/>
      <c r="C446" s="16"/>
      <c r="D446" s="15"/>
      <c r="E446" s="11" t="str">
        <f aca="false">IF(D446="","",IFERROR(INDEX(Players!$C$5:$C$304,MATCH(D446,Players!$B$5:$B$304,0)),""))</f>
        <v/>
      </c>
      <c r="F446" s="22" t="str">
        <f aca="false">IF(D446="","",IF(COUNTIFS($B$5:$B$2004,B446,$D$5:$D$2004,D446)&gt;1,"DUPLICATE",IF(ISNA(MATCH(D446,Players!$B$5:$B$304,0)),"UID not found",IF(INDEX(Players!$H$5:$H$304,MATCH(D446,Players!$B$5:$B$304,0))&lt;0,"LOW BALANCE","OK"))))</f>
        <v/>
      </c>
      <c r="G446" s="1"/>
      <c r="H446" s="1"/>
      <c r="I446" s="1"/>
    </row>
    <row r="447" customFormat="false" ht="21.75" hidden="false" customHeight="true" outlineLevel="0" collapsed="false">
      <c r="A447" s="1"/>
      <c r="B447" s="16"/>
      <c r="C447" s="16"/>
      <c r="D447" s="15"/>
      <c r="E447" s="11" t="str">
        <f aca="false">IF(D447="","",IFERROR(INDEX(Players!$C$5:$C$304,MATCH(D447,Players!$B$5:$B$304,0)),""))</f>
        <v/>
      </c>
      <c r="F447" s="22" t="str">
        <f aca="false">IF(D447="","",IF(COUNTIFS($B$5:$B$2004,B447,$D$5:$D$2004,D447)&gt;1,"DUPLICATE",IF(ISNA(MATCH(D447,Players!$B$5:$B$304,0)),"UID not found",IF(INDEX(Players!$H$5:$H$304,MATCH(D447,Players!$B$5:$B$304,0))&lt;0,"LOW BALANCE","OK"))))</f>
        <v/>
      </c>
      <c r="G447" s="1"/>
      <c r="H447" s="1"/>
      <c r="I447" s="1"/>
    </row>
    <row r="448" customFormat="false" ht="21.75" hidden="false" customHeight="true" outlineLevel="0" collapsed="false">
      <c r="A448" s="1"/>
      <c r="B448" s="16"/>
      <c r="C448" s="16"/>
      <c r="D448" s="15"/>
      <c r="E448" s="11" t="str">
        <f aca="false">IF(D448="","",IFERROR(INDEX(Players!$C$5:$C$304,MATCH(D448,Players!$B$5:$B$304,0)),""))</f>
        <v/>
      </c>
      <c r="F448" s="22" t="str">
        <f aca="false">IF(D448="","",IF(COUNTIFS($B$5:$B$2004,B448,$D$5:$D$2004,D448)&gt;1,"DUPLICATE",IF(ISNA(MATCH(D448,Players!$B$5:$B$304,0)),"UID not found",IF(INDEX(Players!$H$5:$H$304,MATCH(D448,Players!$B$5:$B$304,0))&lt;0,"LOW BALANCE","OK"))))</f>
        <v/>
      </c>
      <c r="G448" s="1"/>
      <c r="H448" s="1"/>
      <c r="I448" s="1"/>
    </row>
    <row r="449" customFormat="false" ht="21.75" hidden="false" customHeight="true" outlineLevel="0" collapsed="false">
      <c r="A449" s="1"/>
      <c r="B449" s="16"/>
      <c r="C449" s="16"/>
      <c r="D449" s="15"/>
      <c r="E449" s="11" t="str">
        <f aca="false">IF(D449="","",IFERROR(INDEX(Players!$C$5:$C$304,MATCH(D449,Players!$B$5:$B$304,0)),""))</f>
        <v/>
      </c>
      <c r="F449" s="22" t="str">
        <f aca="false">IF(D449="","",IF(COUNTIFS($B$5:$B$2004,B449,$D$5:$D$2004,D449)&gt;1,"DUPLICATE",IF(ISNA(MATCH(D449,Players!$B$5:$B$304,0)),"UID not found",IF(INDEX(Players!$H$5:$H$304,MATCH(D449,Players!$B$5:$B$304,0))&lt;0,"LOW BALANCE","OK"))))</f>
        <v/>
      </c>
      <c r="G449" s="1"/>
      <c r="H449" s="1"/>
      <c r="I449" s="1"/>
    </row>
    <row r="450" customFormat="false" ht="21.75" hidden="false" customHeight="true" outlineLevel="0" collapsed="false">
      <c r="A450" s="1"/>
      <c r="B450" s="16"/>
      <c r="C450" s="16"/>
      <c r="D450" s="15"/>
      <c r="E450" s="11" t="str">
        <f aca="false">IF(D450="","",IFERROR(INDEX(Players!$C$5:$C$304,MATCH(D450,Players!$B$5:$B$304,0)),""))</f>
        <v/>
      </c>
      <c r="F450" s="22" t="str">
        <f aca="false">IF(D450="","",IF(COUNTIFS($B$5:$B$2004,B450,$D$5:$D$2004,D450)&gt;1,"DUPLICATE",IF(ISNA(MATCH(D450,Players!$B$5:$B$304,0)),"UID not found",IF(INDEX(Players!$H$5:$H$304,MATCH(D450,Players!$B$5:$B$304,0))&lt;0,"LOW BALANCE","OK"))))</f>
        <v/>
      </c>
      <c r="G450" s="1"/>
      <c r="H450" s="1"/>
      <c r="I450" s="1"/>
    </row>
    <row r="451" customFormat="false" ht="21.75" hidden="false" customHeight="true" outlineLevel="0" collapsed="false">
      <c r="A451" s="1"/>
      <c r="B451" s="16"/>
      <c r="C451" s="16"/>
      <c r="D451" s="15"/>
      <c r="E451" s="11" t="str">
        <f aca="false">IF(D451="","",IFERROR(INDEX(Players!$C$5:$C$304,MATCH(D451,Players!$B$5:$B$304,0)),""))</f>
        <v/>
      </c>
      <c r="F451" s="22" t="str">
        <f aca="false">IF(D451="","",IF(COUNTIFS($B$5:$B$2004,B451,$D$5:$D$2004,D451)&gt;1,"DUPLICATE",IF(ISNA(MATCH(D451,Players!$B$5:$B$304,0)),"UID not found",IF(INDEX(Players!$H$5:$H$304,MATCH(D451,Players!$B$5:$B$304,0))&lt;0,"LOW BALANCE","OK"))))</f>
        <v/>
      </c>
      <c r="G451" s="1"/>
      <c r="H451" s="1"/>
      <c r="I451" s="1"/>
    </row>
    <row r="452" customFormat="false" ht="21.75" hidden="false" customHeight="true" outlineLevel="0" collapsed="false">
      <c r="A452" s="1"/>
      <c r="B452" s="16"/>
      <c r="C452" s="16"/>
      <c r="D452" s="15"/>
      <c r="E452" s="11" t="str">
        <f aca="false">IF(D452="","",IFERROR(INDEX(Players!$C$5:$C$304,MATCH(D452,Players!$B$5:$B$304,0)),""))</f>
        <v/>
      </c>
      <c r="F452" s="22" t="str">
        <f aca="false">IF(D452="","",IF(COUNTIFS($B$5:$B$2004,B452,$D$5:$D$2004,D452)&gt;1,"DUPLICATE",IF(ISNA(MATCH(D452,Players!$B$5:$B$304,0)),"UID not found",IF(INDEX(Players!$H$5:$H$304,MATCH(D452,Players!$B$5:$B$304,0))&lt;0,"LOW BALANCE","OK"))))</f>
        <v/>
      </c>
      <c r="G452" s="1"/>
      <c r="H452" s="1"/>
      <c r="I452" s="1"/>
    </row>
    <row r="453" customFormat="false" ht="21.75" hidden="false" customHeight="true" outlineLevel="0" collapsed="false">
      <c r="A453" s="1"/>
      <c r="B453" s="16"/>
      <c r="C453" s="16"/>
      <c r="D453" s="15"/>
      <c r="E453" s="11" t="str">
        <f aca="false">IF(D453="","",IFERROR(INDEX(Players!$C$5:$C$304,MATCH(D453,Players!$B$5:$B$304,0)),""))</f>
        <v/>
      </c>
      <c r="F453" s="22" t="str">
        <f aca="false">IF(D453="","",IF(COUNTIFS($B$5:$B$2004,B453,$D$5:$D$2004,D453)&gt;1,"DUPLICATE",IF(ISNA(MATCH(D453,Players!$B$5:$B$304,0)),"UID not found",IF(INDEX(Players!$H$5:$H$304,MATCH(D453,Players!$B$5:$B$304,0))&lt;0,"LOW BALANCE","OK"))))</f>
        <v/>
      </c>
      <c r="G453" s="1"/>
      <c r="H453" s="1"/>
      <c r="I453" s="1"/>
    </row>
    <row r="454" customFormat="false" ht="21.75" hidden="false" customHeight="true" outlineLevel="0" collapsed="false">
      <c r="A454" s="1"/>
      <c r="B454" s="16"/>
      <c r="C454" s="16"/>
      <c r="D454" s="15"/>
      <c r="E454" s="11" t="str">
        <f aca="false">IF(D454="","",IFERROR(INDEX(Players!$C$5:$C$304,MATCH(D454,Players!$B$5:$B$304,0)),""))</f>
        <v/>
      </c>
      <c r="F454" s="22" t="str">
        <f aca="false">IF(D454="","",IF(COUNTIFS($B$5:$B$2004,B454,$D$5:$D$2004,D454)&gt;1,"DUPLICATE",IF(ISNA(MATCH(D454,Players!$B$5:$B$304,0)),"UID not found",IF(INDEX(Players!$H$5:$H$304,MATCH(D454,Players!$B$5:$B$304,0))&lt;0,"LOW BALANCE","OK"))))</f>
        <v/>
      </c>
      <c r="G454" s="1"/>
      <c r="H454" s="1"/>
      <c r="I454" s="1"/>
    </row>
    <row r="455" customFormat="false" ht="21.75" hidden="false" customHeight="true" outlineLevel="0" collapsed="false">
      <c r="A455" s="1"/>
      <c r="B455" s="16"/>
      <c r="C455" s="16"/>
      <c r="D455" s="15"/>
      <c r="E455" s="11" t="str">
        <f aca="false">IF(D455="","",IFERROR(INDEX(Players!$C$5:$C$304,MATCH(D455,Players!$B$5:$B$304,0)),""))</f>
        <v/>
      </c>
      <c r="F455" s="22" t="str">
        <f aca="false">IF(D455="","",IF(COUNTIFS($B$5:$B$2004,B455,$D$5:$D$2004,D455)&gt;1,"DUPLICATE",IF(ISNA(MATCH(D455,Players!$B$5:$B$304,0)),"UID not found",IF(INDEX(Players!$H$5:$H$304,MATCH(D455,Players!$B$5:$B$304,0))&lt;0,"LOW BALANCE","OK"))))</f>
        <v/>
      </c>
      <c r="G455" s="1"/>
      <c r="H455" s="1"/>
      <c r="I455" s="1"/>
    </row>
    <row r="456" customFormat="false" ht="21.75" hidden="false" customHeight="true" outlineLevel="0" collapsed="false">
      <c r="A456" s="1"/>
      <c r="B456" s="16"/>
      <c r="C456" s="16"/>
      <c r="D456" s="15"/>
      <c r="E456" s="11" t="str">
        <f aca="false">IF(D456="","",IFERROR(INDEX(Players!$C$5:$C$304,MATCH(D456,Players!$B$5:$B$304,0)),""))</f>
        <v/>
      </c>
      <c r="F456" s="22" t="str">
        <f aca="false">IF(D456="","",IF(COUNTIFS($B$5:$B$2004,B456,$D$5:$D$2004,D456)&gt;1,"DUPLICATE",IF(ISNA(MATCH(D456,Players!$B$5:$B$304,0)),"UID not found",IF(INDEX(Players!$H$5:$H$304,MATCH(D456,Players!$B$5:$B$304,0))&lt;0,"LOW BALANCE","OK"))))</f>
        <v/>
      </c>
      <c r="G456" s="1"/>
      <c r="H456" s="1"/>
      <c r="I456" s="1"/>
    </row>
    <row r="457" customFormat="false" ht="21.75" hidden="false" customHeight="true" outlineLevel="0" collapsed="false">
      <c r="A457" s="1"/>
      <c r="B457" s="16"/>
      <c r="C457" s="16"/>
      <c r="D457" s="15"/>
      <c r="E457" s="11" t="str">
        <f aca="false">IF(D457="","",IFERROR(INDEX(Players!$C$5:$C$304,MATCH(D457,Players!$B$5:$B$304,0)),""))</f>
        <v/>
      </c>
      <c r="F457" s="22" t="str">
        <f aca="false">IF(D457="","",IF(COUNTIFS($B$5:$B$2004,B457,$D$5:$D$2004,D457)&gt;1,"DUPLICATE",IF(ISNA(MATCH(D457,Players!$B$5:$B$304,0)),"UID not found",IF(INDEX(Players!$H$5:$H$304,MATCH(D457,Players!$B$5:$B$304,0))&lt;0,"LOW BALANCE","OK"))))</f>
        <v/>
      </c>
      <c r="G457" s="1"/>
      <c r="H457" s="1"/>
      <c r="I457" s="1"/>
    </row>
    <row r="458" customFormat="false" ht="21.75" hidden="false" customHeight="true" outlineLevel="0" collapsed="false">
      <c r="A458" s="1"/>
      <c r="B458" s="16"/>
      <c r="C458" s="16"/>
      <c r="D458" s="15"/>
      <c r="E458" s="11" t="str">
        <f aca="false">IF(D458="","",IFERROR(INDEX(Players!$C$5:$C$304,MATCH(D458,Players!$B$5:$B$304,0)),""))</f>
        <v/>
      </c>
      <c r="F458" s="22" t="str">
        <f aca="false">IF(D458="","",IF(COUNTIFS($B$5:$B$2004,B458,$D$5:$D$2004,D458)&gt;1,"DUPLICATE",IF(ISNA(MATCH(D458,Players!$B$5:$B$304,0)),"UID not found",IF(INDEX(Players!$H$5:$H$304,MATCH(D458,Players!$B$5:$B$304,0))&lt;0,"LOW BALANCE","OK"))))</f>
        <v/>
      </c>
      <c r="G458" s="1"/>
      <c r="H458" s="1"/>
      <c r="I458" s="1"/>
    </row>
    <row r="459" customFormat="false" ht="21.75" hidden="false" customHeight="true" outlineLevel="0" collapsed="false">
      <c r="A459" s="1"/>
      <c r="B459" s="16"/>
      <c r="C459" s="16"/>
      <c r="D459" s="15"/>
      <c r="E459" s="11" t="str">
        <f aca="false">IF(D459="","",IFERROR(INDEX(Players!$C$5:$C$304,MATCH(D459,Players!$B$5:$B$304,0)),""))</f>
        <v/>
      </c>
      <c r="F459" s="22" t="str">
        <f aca="false">IF(D459="","",IF(COUNTIFS($B$5:$B$2004,B459,$D$5:$D$2004,D459)&gt;1,"DUPLICATE",IF(ISNA(MATCH(D459,Players!$B$5:$B$304,0)),"UID not found",IF(INDEX(Players!$H$5:$H$304,MATCH(D459,Players!$B$5:$B$304,0))&lt;0,"LOW BALANCE","OK"))))</f>
        <v/>
      </c>
      <c r="G459" s="1"/>
      <c r="H459" s="1"/>
      <c r="I459" s="1"/>
    </row>
    <row r="460" customFormat="false" ht="21.75" hidden="false" customHeight="true" outlineLevel="0" collapsed="false">
      <c r="A460" s="1"/>
      <c r="B460" s="16"/>
      <c r="C460" s="16"/>
      <c r="D460" s="15"/>
      <c r="E460" s="11" t="str">
        <f aca="false">IF(D460="","",IFERROR(INDEX(Players!$C$5:$C$304,MATCH(D460,Players!$B$5:$B$304,0)),""))</f>
        <v/>
      </c>
      <c r="F460" s="22" t="str">
        <f aca="false">IF(D460="","",IF(COUNTIFS($B$5:$B$2004,B460,$D$5:$D$2004,D460)&gt;1,"DUPLICATE",IF(ISNA(MATCH(D460,Players!$B$5:$B$304,0)),"UID not found",IF(INDEX(Players!$H$5:$H$304,MATCH(D460,Players!$B$5:$B$304,0))&lt;0,"LOW BALANCE","OK"))))</f>
        <v/>
      </c>
      <c r="G460" s="1"/>
      <c r="H460" s="1"/>
      <c r="I460" s="1"/>
    </row>
    <row r="461" customFormat="false" ht="21.75" hidden="false" customHeight="true" outlineLevel="0" collapsed="false">
      <c r="A461" s="1"/>
      <c r="B461" s="16"/>
      <c r="C461" s="16"/>
      <c r="D461" s="15"/>
      <c r="E461" s="11" t="str">
        <f aca="false">IF(D461="","",IFERROR(INDEX(Players!$C$5:$C$304,MATCH(D461,Players!$B$5:$B$304,0)),""))</f>
        <v/>
      </c>
      <c r="F461" s="22" t="str">
        <f aca="false">IF(D461="","",IF(COUNTIFS($B$5:$B$2004,B461,$D$5:$D$2004,D461)&gt;1,"DUPLICATE",IF(ISNA(MATCH(D461,Players!$B$5:$B$304,0)),"UID not found",IF(INDEX(Players!$H$5:$H$304,MATCH(D461,Players!$B$5:$B$304,0))&lt;0,"LOW BALANCE","OK"))))</f>
        <v/>
      </c>
      <c r="G461" s="1"/>
      <c r="H461" s="1"/>
      <c r="I461" s="1"/>
    </row>
    <row r="462" customFormat="false" ht="21.75" hidden="false" customHeight="true" outlineLevel="0" collapsed="false">
      <c r="A462" s="1"/>
      <c r="B462" s="16"/>
      <c r="C462" s="16"/>
      <c r="D462" s="15"/>
      <c r="E462" s="11" t="str">
        <f aca="false">IF(D462="","",IFERROR(INDEX(Players!$C$5:$C$304,MATCH(D462,Players!$B$5:$B$304,0)),""))</f>
        <v/>
      </c>
      <c r="F462" s="22" t="str">
        <f aca="false">IF(D462="","",IF(COUNTIFS($B$5:$B$2004,B462,$D$5:$D$2004,D462)&gt;1,"DUPLICATE",IF(ISNA(MATCH(D462,Players!$B$5:$B$304,0)),"UID not found",IF(INDEX(Players!$H$5:$H$304,MATCH(D462,Players!$B$5:$B$304,0))&lt;0,"LOW BALANCE","OK"))))</f>
        <v/>
      </c>
      <c r="G462" s="1"/>
      <c r="H462" s="1"/>
      <c r="I462" s="1"/>
    </row>
    <row r="463" customFormat="false" ht="21.75" hidden="false" customHeight="true" outlineLevel="0" collapsed="false">
      <c r="A463" s="1"/>
      <c r="B463" s="16"/>
      <c r="C463" s="16"/>
      <c r="D463" s="15"/>
      <c r="E463" s="11" t="str">
        <f aca="false">IF(D463="","",IFERROR(INDEX(Players!$C$5:$C$304,MATCH(D463,Players!$B$5:$B$304,0)),""))</f>
        <v/>
      </c>
      <c r="F463" s="22" t="str">
        <f aca="false">IF(D463="","",IF(COUNTIFS($B$5:$B$2004,B463,$D$5:$D$2004,D463)&gt;1,"DUPLICATE",IF(ISNA(MATCH(D463,Players!$B$5:$B$304,0)),"UID not found",IF(INDEX(Players!$H$5:$H$304,MATCH(D463,Players!$B$5:$B$304,0))&lt;0,"LOW BALANCE","OK"))))</f>
        <v/>
      </c>
      <c r="G463" s="1"/>
      <c r="H463" s="1"/>
      <c r="I463" s="1"/>
    </row>
    <row r="464" customFormat="false" ht="21.75" hidden="false" customHeight="true" outlineLevel="0" collapsed="false">
      <c r="A464" s="1"/>
      <c r="B464" s="16"/>
      <c r="C464" s="16"/>
      <c r="D464" s="15"/>
      <c r="E464" s="11" t="str">
        <f aca="false">IF(D464="","",IFERROR(INDEX(Players!$C$5:$C$304,MATCH(D464,Players!$B$5:$B$304,0)),""))</f>
        <v/>
      </c>
      <c r="F464" s="22" t="str">
        <f aca="false">IF(D464="","",IF(COUNTIFS($B$5:$B$2004,B464,$D$5:$D$2004,D464)&gt;1,"DUPLICATE",IF(ISNA(MATCH(D464,Players!$B$5:$B$304,0)),"UID not found",IF(INDEX(Players!$H$5:$H$304,MATCH(D464,Players!$B$5:$B$304,0))&lt;0,"LOW BALANCE","OK"))))</f>
        <v/>
      </c>
      <c r="G464" s="1"/>
      <c r="H464" s="1"/>
      <c r="I464" s="1"/>
    </row>
    <row r="465" customFormat="false" ht="21.75" hidden="false" customHeight="true" outlineLevel="0" collapsed="false">
      <c r="A465" s="1"/>
      <c r="B465" s="16"/>
      <c r="C465" s="16"/>
      <c r="D465" s="15"/>
      <c r="E465" s="11" t="str">
        <f aca="false">IF(D465="","",IFERROR(INDEX(Players!$C$5:$C$304,MATCH(D465,Players!$B$5:$B$304,0)),""))</f>
        <v/>
      </c>
      <c r="F465" s="22" t="str">
        <f aca="false">IF(D465="","",IF(COUNTIFS($B$5:$B$2004,B465,$D$5:$D$2004,D465)&gt;1,"DUPLICATE",IF(ISNA(MATCH(D465,Players!$B$5:$B$304,0)),"UID not found",IF(INDEX(Players!$H$5:$H$304,MATCH(D465,Players!$B$5:$B$304,0))&lt;0,"LOW BALANCE","OK"))))</f>
        <v/>
      </c>
      <c r="G465" s="1"/>
      <c r="H465" s="1"/>
      <c r="I465" s="1"/>
    </row>
    <row r="466" customFormat="false" ht="21.75" hidden="false" customHeight="true" outlineLevel="0" collapsed="false">
      <c r="A466" s="1"/>
      <c r="B466" s="16"/>
      <c r="C466" s="16"/>
      <c r="D466" s="15"/>
      <c r="E466" s="11" t="str">
        <f aca="false">IF(D466="","",IFERROR(INDEX(Players!$C$5:$C$304,MATCH(D466,Players!$B$5:$B$304,0)),""))</f>
        <v/>
      </c>
      <c r="F466" s="22" t="str">
        <f aca="false">IF(D466="","",IF(COUNTIFS($B$5:$B$2004,B466,$D$5:$D$2004,D466)&gt;1,"DUPLICATE",IF(ISNA(MATCH(D466,Players!$B$5:$B$304,0)),"UID not found",IF(INDEX(Players!$H$5:$H$304,MATCH(D466,Players!$B$5:$B$304,0))&lt;0,"LOW BALANCE","OK"))))</f>
        <v/>
      </c>
      <c r="G466" s="1"/>
      <c r="H466" s="1"/>
      <c r="I466" s="1"/>
    </row>
    <row r="467" customFormat="false" ht="21.75" hidden="false" customHeight="true" outlineLevel="0" collapsed="false">
      <c r="A467" s="1"/>
      <c r="B467" s="16"/>
      <c r="C467" s="16"/>
      <c r="D467" s="15"/>
      <c r="E467" s="11" t="str">
        <f aca="false">IF(D467="","",IFERROR(INDEX(Players!$C$5:$C$304,MATCH(D467,Players!$B$5:$B$304,0)),""))</f>
        <v/>
      </c>
      <c r="F467" s="22" t="str">
        <f aca="false">IF(D467="","",IF(COUNTIFS($B$5:$B$2004,B467,$D$5:$D$2004,D467)&gt;1,"DUPLICATE",IF(ISNA(MATCH(D467,Players!$B$5:$B$304,0)),"UID not found",IF(INDEX(Players!$H$5:$H$304,MATCH(D467,Players!$B$5:$B$304,0))&lt;0,"LOW BALANCE","OK"))))</f>
        <v/>
      </c>
      <c r="G467" s="1"/>
      <c r="H467" s="1"/>
      <c r="I467" s="1"/>
    </row>
    <row r="468" customFormat="false" ht="21.75" hidden="false" customHeight="true" outlineLevel="0" collapsed="false">
      <c r="A468" s="1"/>
      <c r="B468" s="16"/>
      <c r="C468" s="16"/>
      <c r="D468" s="15"/>
      <c r="E468" s="11" t="str">
        <f aca="false">IF(D468="","",IFERROR(INDEX(Players!$C$5:$C$304,MATCH(D468,Players!$B$5:$B$304,0)),""))</f>
        <v/>
      </c>
      <c r="F468" s="22" t="str">
        <f aca="false">IF(D468="","",IF(COUNTIFS($B$5:$B$2004,B468,$D$5:$D$2004,D468)&gt;1,"DUPLICATE",IF(ISNA(MATCH(D468,Players!$B$5:$B$304,0)),"UID not found",IF(INDEX(Players!$H$5:$H$304,MATCH(D468,Players!$B$5:$B$304,0))&lt;0,"LOW BALANCE","OK"))))</f>
        <v/>
      </c>
      <c r="G468" s="1"/>
      <c r="H468" s="1"/>
      <c r="I468" s="1"/>
    </row>
    <row r="469" customFormat="false" ht="21.75" hidden="false" customHeight="true" outlineLevel="0" collapsed="false">
      <c r="A469" s="1"/>
      <c r="B469" s="16"/>
      <c r="C469" s="16"/>
      <c r="D469" s="15"/>
      <c r="E469" s="11" t="str">
        <f aca="false">IF(D469="","",IFERROR(INDEX(Players!$C$5:$C$304,MATCH(D469,Players!$B$5:$B$304,0)),""))</f>
        <v/>
      </c>
      <c r="F469" s="22" t="str">
        <f aca="false">IF(D469="","",IF(COUNTIFS($B$5:$B$2004,B469,$D$5:$D$2004,D469)&gt;1,"DUPLICATE",IF(ISNA(MATCH(D469,Players!$B$5:$B$304,0)),"UID not found",IF(INDEX(Players!$H$5:$H$304,MATCH(D469,Players!$B$5:$B$304,0))&lt;0,"LOW BALANCE","OK"))))</f>
        <v/>
      </c>
      <c r="G469" s="1"/>
      <c r="H469" s="1"/>
      <c r="I469" s="1"/>
    </row>
    <row r="470" customFormat="false" ht="21.75" hidden="false" customHeight="true" outlineLevel="0" collapsed="false">
      <c r="A470" s="1"/>
      <c r="B470" s="16"/>
      <c r="C470" s="16"/>
      <c r="D470" s="15"/>
      <c r="E470" s="11" t="str">
        <f aca="false">IF(D470="","",IFERROR(INDEX(Players!$C$5:$C$304,MATCH(D470,Players!$B$5:$B$304,0)),""))</f>
        <v/>
      </c>
      <c r="F470" s="22" t="str">
        <f aca="false">IF(D470="","",IF(COUNTIFS($B$5:$B$2004,B470,$D$5:$D$2004,D470)&gt;1,"DUPLICATE",IF(ISNA(MATCH(D470,Players!$B$5:$B$304,0)),"UID not found",IF(INDEX(Players!$H$5:$H$304,MATCH(D470,Players!$B$5:$B$304,0))&lt;0,"LOW BALANCE","OK"))))</f>
        <v/>
      </c>
      <c r="G470" s="1"/>
      <c r="H470" s="1"/>
      <c r="I470" s="1"/>
    </row>
    <row r="471" customFormat="false" ht="21.75" hidden="false" customHeight="true" outlineLevel="0" collapsed="false">
      <c r="A471" s="1"/>
      <c r="B471" s="16"/>
      <c r="C471" s="16"/>
      <c r="D471" s="15"/>
      <c r="E471" s="11" t="str">
        <f aca="false">IF(D471="","",IFERROR(INDEX(Players!$C$5:$C$304,MATCH(D471,Players!$B$5:$B$304,0)),""))</f>
        <v/>
      </c>
      <c r="F471" s="22" t="str">
        <f aca="false">IF(D471="","",IF(COUNTIFS($B$5:$B$2004,B471,$D$5:$D$2004,D471)&gt;1,"DUPLICATE",IF(ISNA(MATCH(D471,Players!$B$5:$B$304,0)),"UID not found",IF(INDEX(Players!$H$5:$H$304,MATCH(D471,Players!$B$5:$B$304,0))&lt;0,"LOW BALANCE","OK"))))</f>
        <v/>
      </c>
      <c r="G471" s="1"/>
      <c r="H471" s="1"/>
      <c r="I471" s="1"/>
    </row>
    <row r="472" customFormat="false" ht="21.75" hidden="false" customHeight="true" outlineLevel="0" collapsed="false">
      <c r="A472" s="1"/>
      <c r="B472" s="16"/>
      <c r="C472" s="16"/>
      <c r="D472" s="15"/>
      <c r="E472" s="11" t="str">
        <f aca="false">IF(D472="","",IFERROR(INDEX(Players!$C$5:$C$304,MATCH(D472,Players!$B$5:$B$304,0)),""))</f>
        <v/>
      </c>
      <c r="F472" s="22" t="str">
        <f aca="false">IF(D472="","",IF(COUNTIFS($B$5:$B$2004,B472,$D$5:$D$2004,D472)&gt;1,"DUPLICATE",IF(ISNA(MATCH(D472,Players!$B$5:$B$304,0)),"UID not found",IF(INDEX(Players!$H$5:$H$304,MATCH(D472,Players!$B$5:$B$304,0))&lt;0,"LOW BALANCE","OK"))))</f>
        <v/>
      </c>
      <c r="G472" s="1"/>
      <c r="H472" s="1"/>
      <c r="I472" s="1"/>
    </row>
    <row r="473" customFormat="false" ht="21.75" hidden="false" customHeight="true" outlineLevel="0" collapsed="false">
      <c r="A473" s="1"/>
      <c r="B473" s="16"/>
      <c r="C473" s="16"/>
      <c r="D473" s="15"/>
      <c r="E473" s="11" t="str">
        <f aca="false">IF(D473="","",IFERROR(INDEX(Players!$C$5:$C$304,MATCH(D473,Players!$B$5:$B$304,0)),""))</f>
        <v/>
      </c>
      <c r="F473" s="22" t="str">
        <f aca="false">IF(D473="","",IF(COUNTIFS($B$5:$B$2004,B473,$D$5:$D$2004,D473)&gt;1,"DUPLICATE",IF(ISNA(MATCH(D473,Players!$B$5:$B$304,0)),"UID not found",IF(INDEX(Players!$H$5:$H$304,MATCH(D473,Players!$B$5:$B$304,0))&lt;0,"LOW BALANCE","OK"))))</f>
        <v/>
      </c>
      <c r="G473" s="1"/>
      <c r="H473" s="1"/>
      <c r="I473" s="1"/>
    </row>
    <row r="474" customFormat="false" ht="21.75" hidden="false" customHeight="true" outlineLevel="0" collapsed="false">
      <c r="A474" s="1"/>
      <c r="B474" s="16"/>
      <c r="C474" s="16"/>
      <c r="D474" s="15"/>
      <c r="E474" s="11" t="str">
        <f aca="false">IF(D474="","",IFERROR(INDEX(Players!$C$5:$C$304,MATCH(D474,Players!$B$5:$B$304,0)),""))</f>
        <v/>
      </c>
      <c r="F474" s="22" t="str">
        <f aca="false">IF(D474="","",IF(COUNTIFS($B$5:$B$2004,B474,$D$5:$D$2004,D474)&gt;1,"DUPLICATE",IF(ISNA(MATCH(D474,Players!$B$5:$B$304,0)),"UID not found",IF(INDEX(Players!$H$5:$H$304,MATCH(D474,Players!$B$5:$B$304,0))&lt;0,"LOW BALANCE","OK"))))</f>
        <v/>
      </c>
      <c r="G474" s="1"/>
      <c r="H474" s="1"/>
      <c r="I474" s="1"/>
    </row>
    <row r="475" customFormat="false" ht="21.75" hidden="false" customHeight="true" outlineLevel="0" collapsed="false">
      <c r="A475" s="1"/>
      <c r="B475" s="16"/>
      <c r="C475" s="16"/>
      <c r="D475" s="15"/>
      <c r="E475" s="11" t="str">
        <f aca="false">IF(D475="","",IFERROR(INDEX(Players!$C$5:$C$304,MATCH(D475,Players!$B$5:$B$304,0)),""))</f>
        <v/>
      </c>
      <c r="F475" s="22" t="str">
        <f aca="false">IF(D475="","",IF(COUNTIFS($B$5:$B$2004,B475,$D$5:$D$2004,D475)&gt;1,"DUPLICATE",IF(ISNA(MATCH(D475,Players!$B$5:$B$304,0)),"UID not found",IF(INDEX(Players!$H$5:$H$304,MATCH(D475,Players!$B$5:$B$304,0))&lt;0,"LOW BALANCE","OK"))))</f>
        <v/>
      </c>
      <c r="G475" s="1"/>
      <c r="H475" s="1"/>
      <c r="I475" s="1"/>
    </row>
    <row r="476" customFormat="false" ht="21.75" hidden="false" customHeight="true" outlineLevel="0" collapsed="false">
      <c r="A476" s="1"/>
      <c r="B476" s="16"/>
      <c r="C476" s="16"/>
      <c r="D476" s="15"/>
      <c r="E476" s="11" t="str">
        <f aca="false">IF(D476="","",IFERROR(INDEX(Players!$C$5:$C$304,MATCH(D476,Players!$B$5:$B$304,0)),""))</f>
        <v/>
      </c>
      <c r="F476" s="22" t="str">
        <f aca="false">IF(D476="","",IF(COUNTIFS($B$5:$B$2004,B476,$D$5:$D$2004,D476)&gt;1,"DUPLICATE",IF(ISNA(MATCH(D476,Players!$B$5:$B$304,0)),"UID not found",IF(INDEX(Players!$H$5:$H$304,MATCH(D476,Players!$B$5:$B$304,0))&lt;0,"LOW BALANCE","OK"))))</f>
        <v/>
      </c>
      <c r="G476" s="1"/>
      <c r="H476" s="1"/>
      <c r="I476" s="1"/>
    </row>
    <row r="477" customFormat="false" ht="21.75" hidden="false" customHeight="true" outlineLevel="0" collapsed="false">
      <c r="A477" s="1"/>
      <c r="B477" s="16"/>
      <c r="C477" s="16"/>
      <c r="D477" s="15"/>
      <c r="E477" s="11" t="str">
        <f aca="false">IF(D477="","",IFERROR(INDEX(Players!$C$5:$C$304,MATCH(D477,Players!$B$5:$B$304,0)),""))</f>
        <v/>
      </c>
      <c r="F477" s="22" t="str">
        <f aca="false">IF(D477="","",IF(COUNTIFS($B$5:$B$2004,B477,$D$5:$D$2004,D477)&gt;1,"DUPLICATE",IF(ISNA(MATCH(D477,Players!$B$5:$B$304,0)),"UID not found",IF(INDEX(Players!$H$5:$H$304,MATCH(D477,Players!$B$5:$B$304,0))&lt;0,"LOW BALANCE","OK"))))</f>
        <v/>
      </c>
      <c r="G477" s="1"/>
      <c r="H477" s="1"/>
      <c r="I477" s="1"/>
    </row>
    <row r="478" customFormat="false" ht="21.75" hidden="false" customHeight="true" outlineLevel="0" collapsed="false">
      <c r="A478" s="1"/>
      <c r="B478" s="16"/>
      <c r="C478" s="16"/>
      <c r="D478" s="15"/>
      <c r="E478" s="11" t="str">
        <f aca="false">IF(D478="","",IFERROR(INDEX(Players!$C$5:$C$304,MATCH(D478,Players!$B$5:$B$304,0)),""))</f>
        <v/>
      </c>
      <c r="F478" s="22" t="str">
        <f aca="false">IF(D478="","",IF(COUNTIFS($B$5:$B$2004,B478,$D$5:$D$2004,D478)&gt;1,"DUPLICATE",IF(ISNA(MATCH(D478,Players!$B$5:$B$304,0)),"UID not found",IF(INDEX(Players!$H$5:$H$304,MATCH(D478,Players!$B$5:$B$304,0))&lt;0,"LOW BALANCE","OK"))))</f>
        <v/>
      </c>
      <c r="G478" s="1"/>
      <c r="H478" s="1"/>
      <c r="I478" s="1"/>
    </row>
    <row r="479" customFormat="false" ht="21.75" hidden="false" customHeight="true" outlineLevel="0" collapsed="false">
      <c r="A479" s="1"/>
      <c r="B479" s="16"/>
      <c r="C479" s="16"/>
      <c r="D479" s="15"/>
      <c r="E479" s="11" t="str">
        <f aca="false">IF(D479="","",IFERROR(INDEX(Players!$C$5:$C$304,MATCH(D479,Players!$B$5:$B$304,0)),""))</f>
        <v/>
      </c>
      <c r="F479" s="22" t="str">
        <f aca="false">IF(D479="","",IF(COUNTIFS($B$5:$B$2004,B479,$D$5:$D$2004,D479)&gt;1,"DUPLICATE",IF(ISNA(MATCH(D479,Players!$B$5:$B$304,0)),"UID not found",IF(INDEX(Players!$H$5:$H$304,MATCH(D479,Players!$B$5:$B$304,0))&lt;0,"LOW BALANCE","OK"))))</f>
        <v/>
      </c>
      <c r="G479" s="1"/>
      <c r="H479" s="1"/>
      <c r="I479" s="1"/>
    </row>
    <row r="480" customFormat="false" ht="21.75" hidden="false" customHeight="true" outlineLevel="0" collapsed="false">
      <c r="A480" s="1"/>
      <c r="B480" s="16"/>
      <c r="C480" s="16"/>
      <c r="D480" s="15"/>
      <c r="E480" s="11" t="str">
        <f aca="false">IF(D480="","",IFERROR(INDEX(Players!$C$5:$C$304,MATCH(D480,Players!$B$5:$B$304,0)),""))</f>
        <v/>
      </c>
      <c r="F480" s="22" t="str">
        <f aca="false">IF(D480="","",IF(COUNTIFS($B$5:$B$2004,B480,$D$5:$D$2004,D480)&gt;1,"DUPLICATE",IF(ISNA(MATCH(D480,Players!$B$5:$B$304,0)),"UID not found",IF(INDEX(Players!$H$5:$H$304,MATCH(D480,Players!$B$5:$B$304,0))&lt;0,"LOW BALANCE","OK"))))</f>
        <v/>
      </c>
      <c r="G480" s="1"/>
      <c r="H480" s="1"/>
      <c r="I480" s="1"/>
    </row>
    <row r="481" customFormat="false" ht="21.75" hidden="false" customHeight="true" outlineLevel="0" collapsed="false">
      <c r="A481" s="1"/>
      <c r="B481" s="16"/>
      <c r="C481" s="16"/>
      <c r="D481" s="15"/>
      <c r="E481" s="11" t="str">
        <f aca="false">IF(D481="","",IFERROR(INDEX(Players!$C$5:$C$304,MATCH(D481,Players!$B$5:$B$304,0)),""))</f>
        <v/>
      </c>
      <c r="F481" s="22" t="str">
        <f aca="false">IF(D481="","",IF(COUNTIFS($B$5:$B$2004,B481,$D$5:$D$2004,D481)&gt;1,"DUPLICATE",IF(ISNA(MATCH(D481,Players!$B$5:$B$304,0)),"UID not found",IF(INDEX(Players!$H$5:$H$304,MATCH(D481,Players!$B$5:$B$304,0))&lt;0,"LOW BALANCE","OK"))))</f>
        <v/>
      </c>
      <c r="G481" s="1"/>
      <c r="H481" s="1"/>
      <c r="I481" s="1"/>
    </row>
    <row r="482" customFormat="false" ht="21.75" hidden="false" customHeight="true" outlineLevel="0" collapsed="false">
      <c r="A482" s="1"/>
      <c r="B482" s="16"/>
      <c r="C482" s="16"/>
      <c r="D482" s="15"/>
      <c r="E482" s="11" t="str">
        <f aca="false">IF(D482="","",IFERROR(INDEX(Players!$C$5:$C$304,MATCH(D482,Players!$B$5:$B$304,0)),""))</f>
        <v/>
      </c>
      <c r="F482" s="22" t="str">
        <f aca="false">IF(D482="","",IF(COUNTIFS($B$5:$B$2004,B482,$D$5:$D$2004,D482)&gt;1,"DUPLICATE",IF(ISNA(MATCH(D482,Players!$B$5:$B$304,0)),"UID not found",IF(INDEX(Players!$H$5:$H$304,MATCH(D482,Players!$B$5:$B$304,0))&lt;0,"LOW BALANCE","OK"))))</f>
        <v/>
      </c>
      <c r="G482" s="1"/>
      <c r="H482" s="1"/>
      <c r="I482" s="1"/>
    </row>
    <row r="483" customFormat="false" ht="21.75" hidden="false" customHeight="true" outlineLevel="0" collapsed="false">
      <c r="A483" s="1"/>
      <c r="B483" s="16"/>
      <c r="C483" s="16"/>
      <c r="D483" s="15"/>
      <c r="E483" s="11" t="str">
        <f aca="false">IF(D483="","",IFERROR(INDEX(Players!$C$5:$C$304,MATCH(D483,Players!$B$5:$B$304,0)),""))</f>
        <v/>
      </c>
      <c r="F483" s="22" t="str">
        <f aca="false">IF(D483="","",IF(COUNTIFS($B$5:$B$2004,B483,$D$5:$D$2004,D483)&gt;1,"DUPLICATE",IF(ISNA(MATCH(D483,Players!$B$5:$B$304,0)),"UID not found",IF(INDEX(Players!$H$5:$H$304,MATCH(D483,Players!$B$5:$B$304,0))&lt;0,"LOW BALANCE","OK"))))</f>
        <v/>
      </c>
      <c r="G483" s="1"/>
      <c r="H483" s="1"/>
      <c r="I483" s="1"/>
    </row>
    <row r="484" customFormat="false" ht="21.75" hidden="false" customHeight="true" outlineLevel="0" collapsed="false">
      <c r="A484" s="1"/>
      <c r="B484" s="16"/>
      <c r="C484" s="16"/>
      <c r="D484" s="15"/>
      <c r="E484" s="11" t="str">
        <f aca="false">IF(D484="","",IFERROR(INDEX(Players!$C$5:$C$304,MATCH(D484,Players!$B$5:$B$304,0)),""))</f>
        <v/>
      </c>
      <c r="F484" s="22" t="str">
        <f aca="false">IF(D484="","",IF(COUNTIFS($B$5:$B$2004,B484,$D$5:$D$2004,D484)&gt;1,"DUPLICATE",IF(ISNA(MATCH(D484,Players!$B$5:$B$304,0)),"UID not found",IF(INDEX(Players!$H$5:$H$304,MATCH(D484,Players!$B$5:$B$304,0))&lt;0,"LOW BALANCE","OK"))))</f>
        <v/>
      </c>
      <c r="G484" s="1"/>
      <c r="H484" s="1"/>
      <c r="I484" s="1"/>
    </row>
    <row r="485" customFormat="false" ht="21.75" hidden="false" customHeight="true" outlineLevel="0" collapsed="false">
      <c r="A485" s="1"/>
      <c r="B485" s="16"/>
      <c r="C485" s="16"/>
      <c r="D485" s="15"/>
      <c r="E485" s="11" t="str">
        <f aca="false">IF(D485="","",IFERROR(INDEX(Players!$C$5:$C$304,MATCH(D485,Players!$B$5:$B$304,0)),""))</f>
        <v/>
      </c>
      <c r="F485" s="22" t="str">
        <f aca="false">IF(D485="","",IF(COUNTIFS($B$5:$B$2004,B485,$D$5:$D$2004,D485)&gt;1,"DUPLICATE",IF(ISNA(MATCH(D485,Players!$B$5:$B$304,0)),"UID not found",IF(INDEX(Players!$H$5:$H$304,MATCH(D485,Players!$B$5:$B$304,0))&lt;0,"LOW BALANCE","OK"))))</f>
        <v/>
      </c>
      <c r="G485" s="1"/>
      <c r="H485" s="1"/>
      <c r="I485" s="1"/>
    </row>
    <row r="486" customFormat="false" ht="21.75" hidden="false" customHeight="true" outlineLevel="0" collapsed="false">
      <c r="A486" s="1"/>
      <c r="B486" s="16"/>
      <c r="C486" s="16"/>
      <c r="D486" s="15"/>
      <c r="E486" s="11" t="str">
        <f aca="false">IF(D486="","",IFERROR(INDEX(Players!$C$5:$C$304,MATCH(D486,Players!$B$5:$B$304,0)),""))</f>
        <v/>
      </c>
      <c r="F486" s="22" t="str">
        <f aca="false">IF(D486="","",IF(COUNTIFS($B$5:$B$2004,B486,$D$5:$D$2004,D486)&gt;1,"DUPLICATE",IF(ISNA(MATCH(D486,Players!$B$5:$B$304,0)),"UID not found",IF(INDEX(Players!$H$5:$H$304,MATCH(D486,Players!$B$5:$B$304,0))&lt;0,"LOW BALANCE","OK"))))</f>
        <v/>
      </c>
      <c r="G486" s="1"/>
      <c r="H486" s="1"/>
      <c r="I486" s="1"/>
    </row>
    <row r="487" customFormat="false" ht="21.75" hidden="false" customHeight="true" outlineLevel="0" collapsed="false">
      <c r="A487" s="1"/>
      <c r="B487" s="16"/>
      <c r="C487" s="16"/>
      <c r="D487" s="15"/>
      <c r="E487" s="11" t="str">
        <f aca="false">IF(D487="","",IFERROR(INDEX(Players!$C$5:$C$304,MATCH(D487,Players!$B$5:$B$304,0)),""))</f>
        <v/>
      </c>
      <c r="F487" s="22" t="str">
        <f aca="false">IF(D487="","",IF(COUNTIFS($B$5:$B$2004,B487,$D$5:$D$2004,D487)&gt;1,"DUPLICATE",IF(ISNA(MATCH(D487,Players!$B$5:$B$304,0)),"UID not found",IF(INDEX(Players!$H$5:$H$304,MATCH(D487,Players!$B$5:$B$304,0))&lt;0,"LOW BALANCE","OK"))))</f>
        <v/>
      </c>
      <c r="G487" s="1"/>
      <c r="H487" s="1"/>
      <c r="I487" s="1"/>
    </row>
    <row r="488" customFormat="false" ht="21.75" hidden="false" customHeight="true" outlineLevel="0" collapsed="false">
      <c r="A488" s="1"/>
      <c r="B488" s="16"/>
      <c r="C488" s="16"/>
      <c r="D488" s="15"/>
      <c r="E488" s="11" t="str">
        <f aca="false">IF(D488="","",IFERROR(INDEX(Players!$C$5:$C$304,MATCH(D488,Players!$B$5:$B$304,0)),""))</f>
        <v/>
      </c>
      <c r="F488" s="22" t="str">
        <f aca="false">IF(D488="","",IF(COUNTIFS($B$5:$B$2004,B488,$D$5:$D$2004,D488)&gt;1,"DUPLICATE",IF(ISNA(MATCH(D488,Players!$B$5:$B$304,0)),"UID not found",IF(INDEX(Players!$H$5:$H$304,MATCH(D488,Players!$B$5:$B$304,0))&lt;0,"LOW BALANCE","OK"))))</f>
        <v/>
      </c>
      <c r="G488" s="1"/>
      <c r="H488" s="1"/>
      <c r="I488" s="1"/>
    </row>
    <row r="489" customFormat="false" ht="21.75" hidden="false" customHeight="true" outlineLevel="0" collapsed="false">
      <c r="A489" s="1"/>
      <c r="B489" s="16"/>
      <c r="C489" s="16"/>
      <c r="D489" s="15"/>
      <c r="E489" s="11" t="str">
        <f aca="false">IF(D489="","",IFERROR(INDEX(Players!$C$5:$C$304,MATCH(D489,Players!$B$5:$B$304,0)),""))</f>
        <v/>
      </c>
      <c r="F489" s="22" t="str">
        <f aca="false">IF(D489="","",IF(COUNTIFS($B$5:$B$2004,B489,$D$5:$D$2004,D489)&gt;1,"DUPLICATE",IF(ISNA(MATCH(D489,Players!$B$5:$B$304,0)),"UID not found",IF(INDEX(Players!$H$5:$H$304,MATCH(D489,Players!$B$5:$B$304,0))&lt;0,"LOW BALANCE","OK"))))</f>
        <v/>
      </c>
      <c r="G489" s="1"/>
      <c r="H489" s="1"/>
      <c r="I489" s="1"/>
    </row>
    <row r="490" customFormat="false" ht="21.75" hidden="false" customHeight="true" outlineLevel="0" collapsed="false">
      <c r="A490" s="1"/>
      <c r="B490" s="16"/>
      <c r="C490" s="16"/>
      <c r="D490" s="15"/>
      <c r="E490" s="11" t="str">
        <f aca="false">IF(D490="","",IFERROR(INDEX(Players!$C$5:$C$304,MATCH(D490,Players!$B$5:$B$304,0)),""))</f>
        <v/>
      </c>
      <c r="F490" s="22" t="str">
        <f aca="false">IF(D490="","",IF(COUNTIFS($B$5:$B$2004,B490,$D$5:$D$2004,D490)&gt;1,"DUPLICATE",IF(ISNA(MATCH(D490,Players!$B$5:$B$304,0)),"UID not found",IF(INDEX(Players!$H$5:$H$304,MATCH(D490,Players!$B$5:$B$304,0))&lt;0,"LOW BALANCE","OK"))))</f>
        <v/>
      </c>
      <c r="G490" s="1"/>
      <c r="H490" s="1"/>
      <c r="I490" s="1"/>
    </row>
    <row r="491" customFormat="false" ht="21.75" hidden="false" customHeight="true" outlineLevel="0" collapsed="false">
      <c r="A491" s="1"/>
      <c r="B491" s="16"/>
      <c r="C491" s="16"/>
      <c r="D491" s="15"/>
      <c r="E491" s="11" t="str">
        <f aca="false">IF(D491="","",IFERROR(INDEX(Players!$C$5:$C$304,MATCH(D491,Players!$B$5:$B$304,0)),""))</f>
        <v/>
      </c>
      <c r="F491" s="22" t="str">
        <f aca="false">IF(D491="","",IF(COUNTIFS($B$5:$B$2004,B491,$D$5:$D$2004,D491)&gt;1,"DUPLICATE",IF(ISNA(MATCH(D491,Players!$B$5:$B$304,0)),"UID not found",IF(INDEX(Players!$H$5:$H$304,MATCH(D491,Players!$B$5:$B$304,0))&lt;0,"LOW BALANCE","OK"))))</f>
        <v/>
      </c>
      <c r="G491" s="1"/>
      <c r="H491" s="1"/>
      <c r="I491" s="1"/>
    </row>
    <row r="492" customFormat="false" ht="21.75" hidden="false" customHeight="true" outlineLevel="0" collapsed="false">
      <c r="A492" s="1"/>
      <c r="B492" s="16"/>
      <c r="C492" s="16"/>
      <c r="D492" s="15"/>
      <c r="E492" s="11" t="str">
        <f aca="false">IF(D492="","",IFERROR(INDEX(Players!$C$5:$C$304,MATCH(D492,Players!$B$5:$B$304,0)),""))</f>
        <v/>
      </c>
      <c r="F492" s="22" t="str">
        <f aca="false">IF(D492="","",IF(COUNTIFS($B$5:$B$2004,B492,$D$5:$D$2004,D492)&gt;1,"DUPLICATE",IF(ISNA(MATCH(D492,Players!$B$5:$B$304,0)),"UID not found",IF(INDEX(Players!$H$5:$H$304,MATCH(D492,Players!$B$5:$B$304,0))&lt;0,"LOW BALANCE","OK"))))</f>
        <v/>
      </c>
      <c r="G492" s="1"/>
      <c r="H492" s="1"/>
      <c r="I492" s="1"/>
    </row>
    <row r="493" customFormat="false" ht="21.75" hidden="false" customHeight="true" outlineLevel="0" collapsed="false">
      <c r="A493" s="1"/>
      <c r="B493" s="16"/>
      <c r="C493" s="16"/>
      <c r="D493" s="15"/>
      <c r="E493" s="11" t="str">
        <f aca="false">IF(D493="","",IFERROR(INDEX(Players!$C$5:$C$304,MATCH(D493,Players!$B$5:$B$304,0)),""))</f>
        <v/>
      </c>
      <c r="F493" s="22" t="str">
        <f aca="false">IF(D493="","",IF(COUNTIFS($B$5:$B$2004,B493,$D$5:$D$2004,D493)&gt;1,"DUPLICATE",IF(ISNA(MATCH(D493,Players!$B$5:$B$304,0)),"UID not found",IF(INDEX(Players!$H$5:$H$304,MATCH(D493,Players!$B$5:$B$304,0))&lt;0,"LOW BALANCE","OK"))))</f>
        <v/>
      </c>
      <c r="G493" s="1"/>
      <c r="H493" s="1"/>
      <c r="I493" s="1"/>
    </row>
    <row r="494" customFormat="false" ht="21.75" hidden="false" customHeight="true" outlineLevel="0" collapsed="false">
      <c r="A494" s="1"/>
      <c r="B494" s="16"/>
      <c r="C494" s="16"/>
      <c r="D494" s="15"/>
      <c r="E494" s="11" t="str">
        <f aca="false">IF(D494="","",IFERROR(INDEX(Players!$C$5:$C$304,MATCH(D494,Players!$B$5:$B$304,0)),""))</f>
        <v/>
      </c>
      <c r="F494" s="22" t="str">
        <f aca="false">IF(D494="","",IF(COUNTIFS($B$5:$B$2004,B494,$D$5:$D$2004,D494)&gt;1,"DUPLICATE",IF(ISNA(MATCH(D494,Players!$B$5:$B$304,0)),"UID not found",IF(INDEX(Players!$H$5:$H$304,MATCH(D494,Players!$B$5:$B$304,0))&lt;0,"LOW BALANCE","OK"))))</f>
        <v/>
      </c>
      <c r="G494" s="1"/>
      <c r="H494" s="1"/>
      <c r="I494" s="1"/>
    </row>
    <row r="495" customFormat="false" ht="21.75" hidden="false" customHeight="true" outlineLevel="0" collapsed="false">
      <c r="A495" s="1"/>
      <c r="B495" s="16"/>
      <c r="C495" s="16"/>
      <c r="D495" s="15"/>
      <c r="E495" s="11" t="str">
        <f aca="false">IF(D495="","",IFERROR(INDEX(Players!$C$5:$C$304,MATCH(D495,Players!$B$5:$B$304,0)),""))</f>
        <v/>
      </c>
      <c r="F495" s="22" t="str">
        <f aca="false">IF(D495="","",IF(COUNTIFS($B$5:$B$2004,B495,$D$5:$D$2004,D495)&gt;1,"DUPLICATE",IF(ISNA(MATCH(D495,Players!$B$5:$B$304,0)),"UID not found",IF(INDEX(Players!$H$5:$H$304,MATCH(D495,Players!$B$5:$B$304,0))&lt;0,"LOW BALANCE","OK"))))</f>
        <v/>
      </c>
      <c r="G495" s="1"/>
      <c r="H495" s="1"/>
      <c r="I495" s="1"/>
    </row>
    <row r="496" customFormat="false" ht="21.75" hidden="false" customHeight="true" outlineLevel="0" collapsed="false">
      <c r="A496" s="1"/>
      <c r="B496" s="16"/>
      <c r="C496" s="16"/>
      <c r="D496" s="15"/>
      <c r="E496" s="11" t="str">
        <f aca="false">IF(D496="","",IFERROR(INDEX(Players!$C$5:$C$304,MATCH(D496,Players!$B$5:$B$304,0)),""))</f>
        <v/>
      </c>
      <c r="F496" s="22" t="str">
        <f aca="false">IF(D496="","",IF(COUNTIFS($B$5:$B$2004,B496,$D$5:$D$2004,D496)&gt;1,"DUPLICATE",IF(ISNA(MATCH(D496,Players!$B$5:$B$304,0)),"UID not found",IF(INDEX(Players!$H$5:$H$304,MATCH(D496,Players!$B$5:$B$304,0))&lt;0,"LOW BALANCE","OK"))))</f>
        <v/>
      </c>
      <c r="G496" s="1"/>
      <c r="H496" s="1"/>
      <c r="I496" s="1"/>
    </row>
    <row r="497" customFormat="false" ht="21.75" hidden="false" customHeight="true" outlineLevel="0" collapsed="false">
      <c r="A497" s="1"/>
      <c r="B497" s="16"/>
      <c r="C497" s="16"/>
      <c r="D497" s="15"/>
      <c r="E497" s="11" t="str">
        <f aca="false">IF(D497="","",IFERROR(INDEX(Players!$C$5:$C$304,MATCH(D497,Players!$B$5:$B$304,0)),""))</f>
        <v/>
      </c>
      <c r="F497" s="22" t="str">
        <f aca="false">IF(D497="","",IF(COUNTIFS($B$5:$B$2004,B497,$D$5:$D$2004,D497)&gt;1,"DUPLICATE",IF(ISNA(MATCH(D497,Players!$B$5:$B$304,0)),"UID not found",IF(INDEX(Players!$H$5:$H$304,MATCH(D497,Players!$B$5:$B$304,0))&lt;0,"LOW BALANCE","OK"))))</f>
        <v/>
      </c>
      <c r="G497" s="1"/>
      <c r="H497" s="1"/>
      <c r="I497" s="1"/>
    </row>
    <row r="498" customFormat="false" ht="21.75" hidden="false" customHeight="true" outlineLevel="0" collapsed="false">
      <c r="A498" s="1"/>
      <c r="B498" s="16"/>
      <c r="C498" s="16"/>
      <c r="D498" s="15"/>
      <c r="E498" s="11" t="str">
        <f aca="false">IF(D498="","",IFERROR(INDEX(Players!$C$5:$C$304,MATCH(D498,Players!$B$5:$B$304,0)),""))</f>
        <v/>
      </c>
      <c r="F498" s="22" t="str">
        <f aca="false">IF(D498="","",IF(COUNTIFS($B$5:$B$2004,B498,$D$5:$D$2004,D498)&gt;1,"DUPLICATE",IF(ISNA(MATCH(D498,Players!$B$5:$B$304,0)),"UID not found",IF(INDEX(Players!$H$5:$H$304,MATCH(D498,Players!$B$5:$B$304,0))&lt;0,"LOW BALANCE","OK"))))</f>
        <v/>
      </c>
      <c r="G498" s="1"/>
      <c r="H498" s="1"/>
      <c r="I498" s="1"/>
    </row>
    <row r="499" customFormat="false" ht="21.75" hidden="false" customHeight="true" outlineLevel="0" collapsed="false">
      <c r="A499" s="1"/>
      <c r="B499" s="16"/>
      <c r="C499" s="16"/>
      <c r="D499" s="15"/>
      <c r="E499" s="11" t="str">
        <f aca="false">IF(D499="","",IFERROR(INDEX(Players!$C$5:$C$304,MATCH(D499,Players!$B$5:$B$304,0)),""))</f>
        <v/>
      </c>
      <c r="F499" s="22" t="str">
        <f aca="false">IF(D499="","",IF(COUNTIFS($B$5:$B$2004,B499,$D$5:$D$2004,D499)&gt;1,"DUPLICATE",IF(ISNA(MATCH(D499,Players!$B$5:$B$304,0)),"UID not found",IF(INDEX(Players!$H$5:$H$304,MATCH(D499,Players!$B$5:$B$304,0))&lt;0,"LOW BALANCE","OK"))))</f>
        <v/>
      </c>
      <c r="G499" s="1"/>
      <c r="H499" s="1"/>
      <c r="I499" s="1"/>
    </row>
    <row r="500" customFormat="false" ht="21.75" hidden="false" customHeight="true" outlineLevel="0" collapsed="false">
      <c r="A500" s="1"/>
      <c r="B500" s="16"/>
      <c r="C500" s="16"/>
      <c r="D500" s="15"/>
      <c r="E500" s="11" t="str">
        <f aca="false">IF(D500="","",IFERROR(INDEX(Players!$C$5:$C$304,MATCH(D500,Players!$B$5:$B$304,0)),""))</f>
        <v/>
      </c>
      <c r="F500" s="22" t="str">
        <f aca="false">IF(D500="","",IF(COUNTIFS($B$5:$B$2004,B500,$D$5:$D$2004,D500)&gt;1,"DUPLICATE",IF(ISNA(MATCH(D500,Players!$B$5:$B$304,0)),"UID not found",IF(INDEX(Players!$H$5:$H$304,MATCH(D500,Players!$B$5:$B$304,0))&lt;0,"LOW BALANCE","OK"))))</f>
        <v/>
      </c>
      <c r="G500" s="1"/>
      <c r="H500" s="1"/>
      <c r="I500" s="1"/>
    </row>
    <row r="501" customFormat="false" ht="21.75" hidden="false" customHeight="true" outlineLevel="0" collapsed="false">
      <c r="A501" s="1"/>
      <c r="B501" s="16"/>
      <c r="C501" s="16"/>
      <c r="D501" s="15"/>
      <c r="E501" s="11" t="str">
        <f aca="false">IF(D501="","",IFERROR(INDEX(Players!$C$5:$C$304,MATCH(D501,Players!$B$5:$B$304,0)),""))</f>
        <v/>
      </c>
      <c r="F501" s="22" t="str">
        <f aca="false">IF(D501="","",IF(COUNTIFS($B$5:$B$2004,B501,$D$5:$D$2004,D501)&gt;1,"DUPLICATE",IF(ISNA(MATCH(D501,Players!$B$5:$B$304,0)),"UID not found",IF(INDEX(Players!$H$5:$H$304,MATCH(D501,Players!$B$5:$B$304,0))&lt;0,"LOW BALANCE","OK"))))</f>
        <v/>
      </c>
      <c r="G501" s="1"/>
      <c r="H501" s="1"/>
      <c r="I501" s="1"/>
    </row>
    <row r="502" customFormat="false" ht="21.75" hidden="false" customHeight="true" outlineLevel="0" collapsed="false">
      <c r="A502" s="1"/>
      <c r="B502" s="16"/>
      <c r="C502" s="16"/>
      <c r="D502" s="15"/>
      <c r="E502" s="11" t="str">
        <f aca="false">IF(D502="","",IFERROR(INDEX(Players!$C$5:$C$304,MATCH(D502,Players!$B$5:$B$304,0)),""))</f>
        <v/>
      </c>
      <c r="F502" s="22" t="str">
        <f aca="false">IF(D502="","",IF(COUNTIFS($B$5:$B$2004,B502,$D$5:$D$2004,D502)&gt;1,"DUPLICATE",IF(ISNA(MATCH(D502,Players!$B$5:$B$304,0)),"UID not found",IF(INDEX(Players!$H$5:$H$304,MATCH(D502,Players!$B$5:$B$304,0))&lt;0,"LOW BALANCE","OK"))))</f>
        <v/>
      </c>
      <c r="G502" s="1"/>
      <c r="H502" s="1"/>
      <c r="I502" s="1"/>
    </row>
    <row r="503" customFormat="false" ht="21.75" hidden="false" customHeight="true" outlineLevel="0" collapsed="false">
      <c r="A503" s="1"/>
      <c r="B503" s="16"/>
      <c r="C503" s="16"/>
      <c r="D503" s="15"/>
      <c r="E503" s="11" t="str">
        <f aca="false">IF(D503="","",IFERROR(INDEX(Players!$C$5:$C$304,MATCH(D503,Players!$B$5:$B$304,0)),""))</f>
        <v/>
      </c>
      <c r="F503" s="22" t="str">
        <f aca="false">IF(D503="","",IF(COUNTIFS($B$5:$B$2004,B503,$D$5:$D$2004,D503)&gt;1,"DUPLICATE",IF(ISNA(MATCH(D503,Players!$B$5:$B$304,0)),"UID not found",IF(INDEX(Players!$H$5:$H$304,MATCH(D503,Players!$B$5:$B$304,0))&lt;0,"LOW BALANCE","OK"))))</f>
        <v/>
      </c>
      <c r="G503" s="1"/>
      <c r="H503" s="1"/>
      <c r="I503" s="1"/>
    </row>
    <row r="504" customFormat="false" ht="21.75" hidden="false" customHeight="true" outlineLevel="0" collapsed="false">
      <c r="A504" s="1"/>
      <c r="B504" s="16"/>
      <c r="C504" s="16"/>
      <c r="D504" s="15"/>
      <c r="E504" s="11" t="str">
        <f aca="false">IF(D504="","",IFERROR(INDEX(Players!$C$5:$C$304,MATCH(D504,Players!$B$5:$B$304,0)),""))</f>
        <v/>
      </c>
      <c r="F504" s="22" t="str">
        <f aca="false">IF(D504="","",IF(COUNTIFS($B$5:$B$2004,B504,$D$5:$D$2004,D504)&gt;1,"DUPLICATE",IF(ISNA(MATCH(D504,Players!$B$5:$B$304,0)),"UID not found",IF(INDEX(Players!$H$5:$H$304,MATCH(D504,Players!$B$5:$B$304,0))&lt;0,"LOW BALANCE","OK"))))</f>
        <v/>
      </c>
      <c r="G504" s="1"/>
      <c r="H504" s="1"/>
      <c r="I504" s="1"/>
    </row>
    <row r="505" customFormat="false" ht="21.75" hidden="false" customHeight="true" outlineLevel="0" collapsed="false">
      <c r="A505" s="1"/>
      <c r="B505" s="16"/>
      <c r="C505" s="16"/>
      <c r="D505" s="15"/>
      <c r="E505" s="11" t="str">
        <f aca="false">IF(D505="","",IFERROR(INDEX(Players!$C$5:$C$304,MATCH(D505,Players!$B$5:$B$304,0)),""))</f>
        <v/>
      </c>
      <c r="F505" s="22" t="str">
        <f aca="false">IF(D505="","",IF(COUNTIFS($B$5:$B$2004,B505,$D$5:$D$2004,D505)&gt;1,"DUPLICATE",IF(ISNA(MATCH(D505,Players!$B$5:$B$304,0)),"UID not found",IF(INDEX(Players!$H$5:$H$304,MATCH(D505,Players!$B$5:$B$304,0))&lt;0,"LOW BALANCE","OK"))))</f>
        <v/>
      </c>
      <c r="G505" s="1"/>
      <c r="H505" s="1"/>
      <c r="I505" s="1"/>
    </row>
    <row r="506" customFormat="false" ht="21.75" hidden="false" customHeight="true" outlineLevel="0" collapsed="false">
      <c r="A506" s="1"/>
      <c r="B506" s="16"/>
      <c r="C506" s="16"/>
      <c r="D506" s="15"/>
      <c r="E506" s="11" t="str">
        <f aca="false">IF(D506="","",IFERROR(INDEX(Players!$C$5:$C$304,MATCH(D506,Players!$B$5:$B$304,0)),""))</f>
        <v/>
      </c>
      <c r="F506" s="22" t="str">
        <f aca="false">IF(D506="","",IF(COUNTIFS($B$5:$B$2004,B506,$D$5:$D$2004,D506)&gt;1,"DUPLICATE",IF(ISNA(MATCH(D506,Players!$B$5:$B$304,0)),"UID not found",IF(INDEX(Players!$H$5:$H$304,MATCH(D506,Players!$B$5:$B$304,0))&lt;0,"LOW BALANCE","OK"))))</f>
        <v/>
      </c>
      <c r="G506" s="1"/>
      <c r="H506" s="1"/>
      <c r="I506" s="1"/>
    </row>
    <row r="507" customFormat="false" ht="21.75" hidden="false" customHeight="true" outlineLevel="0" collapsed="false">
      <c r="A507" s="1"/>
      <c r="B507" s="16"/>
      <c r="C507" s="16"/>
      <c r="D507" s="15"/>
      <c r="E507" s="11" t="str">
        <f aca="false">IF(D507="","",IFERROR(INDEX(Players!$C$5:$C$304,MATCH(D507,Players!$B$5:$B$304,0)),""))</f>
        <v/>
      </c>
      <c r="F507" s="22" t="str">
        <f aca="false">IF(D507="","",IF(COUNTIFS($B$5:$B$2004,B507,$D$5:$D$2004,D507)&gt;1,"DUPLICATE",IF(ISNA(MATCH(D507,Players!$B$5:$B$304,0)),"UID not found",IF(INDEX(Players!$H$5:$H$304,MATCH(D507,Players!$B$5:$B$304,0))&lt;0,"LOW BALANCE","OK"))))</f>
        <v/>
      </c>
      <c r="G507" s="1"/>
      <c r="H507" s="1"/>
      <c r="I507" s="1"/>
    </row>
    <row r="508" customFormat="false" ht="21.75" hidden="false" customHeight="true" outlineLevel="0" collapsed="false">
      <c r="A508" s="1"/>
      <c r="B508" s="16"/>
      <c r="C508" s="16"/>
      <c r="D508" s="15"/>
      <c r="E508" s="11" t="str">
        <f aca="false">IF(D508="","",IFERROR(INDEX(Players!$C$5:$C$304,MATCH(D508,Players!$B$5:$B$304,0)),""))</f>
        <v/>
      </c>
      <c r="F508" s="22" t="str">
        <f aca="false">IF(D508="","",IF(COUNTIFS($B$5:$B$2004,B508,$D$5:$D$2004,D508)&gt;1,"DUPLICATE",IF(ISNA(MATCH(D508,Players!$B$5:$B$304,0)),"UID not found",IF(INDEX(Players!$H$5:$H$304,MATCH(D508,Players!$B$5:$B$304,0))&lt;0,"LOW BALANCE","OK"))))</f>
        <v/>
      </c>
      <c r="G508" s="1"/>
      <c r="H508" s="1"/>
      <c r="I508" s="1"/>
    </row>
    <row r="509" customFormat="false" ht="21.75" hidden="false" customHeight="true" outlineLevel="0" collapsed="false">
      <c r="A509" s="1"/>
      <c r="B509" s="16"/>
      <c r="C509" s="16"/>
      <c r="D509" s="15"/>
      <c r="E509" s="11" t="str">
        <f aca="false">IF(D509="","",IFERROR(INDEX(Players!$C$5:$C$304,MATCH(D509,Players!$B$5:$B$304,0)),""))</f>
        <v/>
      </c>
      <c r="F509" s="22" t="str">
        <f aca="false">IF(D509="","",IF(COUNTIFS($B$5:$B$2004,B509,$D$5:$D$2004,D509)&gt;1,"DUPLICATE",IF(ISNA(MATCH(D509,Players!$B$5:$B$304,0)),"UID not found",IF(INDEX(Players!$H$5:$H$304,MATCH(D509,Players!$B$5:$B$304,0))&lt;0,"LOW BALANCE","OK"))))</f>
        <v/>
      </c>
      <c r="G509" s="1"/>
      <c r="H509" s="1"/>
      <c r="I509" s="1"/>
    </row>
    <row r="510" customFormat="false" ht="21.75" hidden="false" customHeight="true" outlineLevel="0" collapsed="false">
      <c r="A510" s="1"/>
      <c r="B510" s="16"/>
      <c r="C510" s="16"/>
      <c r="D510" s="15"/>
      <c r="E510" s="11" t="str">
        <f aca="false">IF(D510="","",IFERROR(INDEX(Players!$C$5:$C$304,MATCH(D510,Players!$B$5:$B$304,0)),""))</f>
        <v/>
      </c>
      <c r="F510" s="22" t="str">
        <f aca="false">IF(D510="","",IF(COUNTIFS($B$5:$B$2004,B510,$D$5:$D$2004,D510)&gt;1,"DUPLICATE",IF(ISNA(MATCH(D510,Players!$B$5:$B$304,0)),"UID not found",IF(INDEX(Players!$H$5:$H$304,MATCH(D510,Players!$B$5:$B$304,0))&lt;0,"LOW BALANCE","OK"))))</f>
        <v/>
      </c>
      <c r="G510" s="1"/>
      <c r="H510" s="1"/>
      <c r="I510" s="1"/>
    </row>
    <row r="511" customFormat="false" ht="21.75" hidden="false" customHeight="true" outlineLevel="0" collapsed="false">
      <c r="A511" s="1"/>
      <c r="B511" s="16"/>
      <c r="C511" s="16"/>
      <c r="D511" s="15"/>
      <c r="E511" s="11" t="str">
        <f aca="false">IF(D511="","",IFERROR(INDEX(Players!$C$5:$C$304,MATCH(D511,Players!$B$5:$B$304,0)),""))</f>
        <v/>
      </c>
      <c r="F511" s="22" t="str">
        <f aca="false">IF(D511="","",IF(COUNTIFS($B$5:$B$2004,B511,$D$5:$D$2004,D511)&gt;1,"DUPLICATE",IF(ISNA(MATCH(D511,Players!$B$5:$B$304,0)),"UID not found",IF(INDEX(Players!$H$5:$H$304,MATCH(D511,Players!$B$5:$B$304,0))&lt;0,"LOW BALANCE","OK"))))</f>
        <v/>
      </c>
      <c r="G511" s="1"/>
      <c r="H511" s="1"/>
      <c r="I511" s="1"/>
    </row>
    <row r="512" customFormat="false" ht="21.75" hidden="false" customHeight="true" outlineLevel="0" collapsed="false">
      <c r="A512" s="1"/>
      <c r="B512" s="16"/>
      <c r="C512" s="16"/>
      <c r="D512" s="15"/>
      <c r="E512" s="11" t="str">
        <f aca="false">IF(D512="","",IFERROR(INDEX(Players!$C$5:$C$304,MATCH(D512,Players!$B$5:$B$304,0)),""))</f>
        <v/>
      </c>
      <c r="F512" s="22" t="str">
        <f aca="false">IF(D512="","",IF(COUNTIFS($B$5:$B$2004,B512,$D$5:$D$2004,D512)&gt;1,"DUPLICATE",IF(ISNA(MATCH(D512,Players!$B$5:$B$304,0)),"UID not found",IF(INDEX(Players!$H$5:$H$304,MATCH(D512,Players!$B$5:$B$304,0))&lt;0,"LOW BALANCE","OK"))))</f>
        <v/>
      </c>
      <c r="G512" s="1"/>
      <c r="H512" s="1"/>
      <c r="I512" s="1"/>
    </row>
    <row r="513" customFormat="false" ht="21.75" hidden="false" customHeight="true" outlineLevel="0" collapsed="false">
      <c r="A513" s="1"/>
      <c r="B513" s="16"/>
      <c r="C513" s="16"/>
      <c r="D513" s="15"/>
      <c r="E513" s="11" t="str">
        <f aca="false">IF(D513="","",IFERROR(INDEX(Players!$C$5:$C$304,MATCH(D513,Players!$B$5:$B$304,0)),""))</f>
        <v/>
      </c>
      <c r="F513" s="22" t="str">
        <f aca="false">IF(D513="","",IF(COUNTIFS($B$5:$B$2004,B513,$D$5:$D$2004,D513)&gt;1,"DUPLICATE",IF(ISNA(MATCH(D513,Players!$B$5:$B$304,0)),"UID not found",IF(INDEX(Players!$H$5:$H$304,MATCH(D513,Players!$B$5:$B$304,0))&lt;0,"LOW BALANCE","OK"))))</f>
        <v/>
      </c>
      <c r="G513" s="1"/>
      <c r="H513" s="1"/>
      <c r="I513" s="1"/>
    </row>
    <row r="514" customFormat="false" ht="21.75" hidden="false" customHeight="true" outlineLevel="0" collapsed="false">
      <c r="A514" s="1"/>
      <c r="B514" s="16"/>
      <c r="C514" s="16"/>
      <c r="D514" s="15"/>
      <c r="E514" s="11" t="str">
        <f aca="false">IF(D514="","",IFERROR(INDEX(Players!$C$5:$C$304,MATCH(D514,Players!$B$5:$B$304,0)),""))</f>
        <v/>
      </c>
      <c r="F514" s="22" t="str">
        <f aca="false">IF(D514="","",IF(COUNTIFS($B$5:$B$2004,B514,$D$5:$D$2004,D514)&gt;1,"DUPLICATE",IF(ISNA(MATCH(D514,Players!$B$5:$B$304,0)),"UID not found",IF(INDEX(Players!$H$5:$H$304,MATCH(D514,Players!$B$5:$B$304,0))&lt;0,"LOW BALANCE","OK"))))</f>
        <v/>
      </c>
      <c r="G514" s="1"/>
      <c r="H514" s="1"/>
      <c r="I514" s="1"/>
    </row>
    <row r="515" customFormat="false" ht="21.75" hidden="false" customHeight="true" outlineLevel="0" collapsed="false">
      <c r="A515" s="1"/>
      <c r="B515" s="16"/>
      <c r="C515" s="16"/>
      <c r="D515" s="15"/>
      <c r="E515" s="11" t="str">
        <f aca="false">IF(D515="","",IFERROR(INDEX(Players!$C$5:$C$304,MATCH(D515,Players!$B$5:$B$304,0)),""))</f>
        <v/>
      </c>
      <c r="F515" s="22" t="str">
        <f aca="false">IF(D515="","",IF(COUNTIFS($B$5:$B$2004,B515,$D$5:$D$2004,D515)&gt;1,"DUPLICATE",IF(ISNA(MATCH(D515,Players!$B$5:$B$304,0)),"UID not found",IF(INDEX(Players!$H$5:$H$304,MATCH(D515,Players!$B$5:$B$304,0))&lt;0,"LOW BALANCE","OK"))))</f>
        <v/>
      </c>
      <c r="G515" s="1"/>
      <c r="H515" s="1"/>
      <c r="I515" s="1"/>
    </row>
    <row r="516" customFormat="false" ht="21.75" hidden="false" customHeight="true" outlineLevel="0" collapsed="false">
      <c r="A516" s="1"/>
      <c r="B516" s="16"/>
      <c r="C516" s="16"/>
      <c r="D516" s="15"/>
      <c r="E516" s="11" t="str">
        <f aca="false">IF(D516="","",IFERROR(INDEX(Players!$C$5:$C$304,MATCH(D516,Players!$B$5:$B$304,0)),""))</f>
        <v/>
      </c>
      <c r="F516" s="22" t="str">
        <f aca="false">IF(D516="","",IF(COUNTIFS($B$5:$B$2004,B516,$D$5:$D$2004,D516)&gt;1,"DUPLICATE",IF(ISNA(MATCH(D516,Players!$B$5:$B$304,0)),"UID not found",IF(INDEX(Players!$H$5:$H$304,MATCH(D516,Players!$B$5:$B$304,0))&lt;0,"LOW BALANCE","OK"))))</f>
        <v/>
      </c>
      <c r="G516" s="1"/>
      <c r="H516" s="1"/>
      <c r="I516" s="1"/>
    </row>
    <row r="517" customFormat="false" ht="21.75" hidden="false" customHeight="true" outlineLevel="0" collapsed="false">
      <c r="A517" s="1"/>
      <c r="B517" s="16"/>
      <c r="C517" s="16"/>
      <c r="D517" s="15"/>
      <c r="E517" s="11" t="str">
        <f aca="false">IF(D517="","",IFERROR(INDEX(Players!$C$5:$C$304,MATCH(D517,Players!$B$5:$B$304,0)),""))</f>
        <v/>
      </c>
      <c r="F517" s="22" t="str">
        <f aca="false">IF(D517="","",IF(COUNTIFS($B$5:$B$2004,B517,$D$5:$D$2004,D517)&gt;1,"DUPLICATE",IF(ISNA(MATCH(D517,Players!$B$5:$B$304,0)),"UID not found",IF(INDEX(Players!$H$5:$H$304,MATCH(D517,Players!$B$5:$B$304,0))&lt;0,"LOW BALANCE","OK"))))</f>
        <v/>
      </c>
      <c r="G517" s="1"/>
      <c r="H517" s="1"/>
      <c r="I517" s="1"/>
    </row>
    <row r="518" customFormat="false" ht="21.75" hidden="false" customHeight="true" outlineLevel="0" collapsed="false">
      <c r="A518" s="1"/>
      <c r="B518" s="16"/>
      <c r="C518" s="16"/>
      <c r="D518" s="15"/>
      <c r="E518" s="11" t="str">
        <f aca="false">IF(D518="","",IFERROR(INDEX(Players!$C$5:$C$304,MATCH(D518,Players!$B$5:$B$304,0)),""))</f>
        <v/>
      </c>
      <c r="F518" s="22" t="str">
        <f aca="false">IF(D518="","",IF(COUNTIFS($B$5:$B$2004,B518,$D$5:$D$2004,D518)&gt;1,"DUPLICATE",IF(ISNA(MATCH(D518,Players!$B$5:$B$304,0)),"UID not found",IF(INDEX(Players!$H$5:$H$304,MATCH(D518,Players!$B$5:$B$304,0))&lt;0,"LOW BALANCE","OK"))))</f>
        <v/>
      </c>
      <c r="G518" s="1"/>
      <c r="H518" s="1"/>
      <c r="I518" s="1"/>
    </row>
    <row r="519" customFormat="false" ht="21.75" hidden="false" customHeight="true" outlineLevel="0" collapsed="false">
      <c r="A519" s="1"/>
      <c r="B519" s="16"/>
      <c r="C519" s="16"/>
      <c r="D519" s="15"/>
      <c r="E519" s="11" t="str">
        <f aca="false">IF(D519="","",IFERROR(INDEX(Players!$C$5:$C$304,MATCH(D519,Players!$B$5:$B$304,0)),""))</f>
        <v/>
      </c>
      <c r="F519" s="22" t="str">
        <f aca="false">IF(D519="","",IF(COUNTIFS($B$5:$B$2004,B519,$D$5:$D$2004,D519)&gt;1,"DUPLICATE",IF(ISNA(MATCH(D519,Players!$B$5:$B$304,0)),"UID not found",IF(INDEX(Players!$H$5:$H$304,MATCH(D519,Players!$B$5:$B$304,0))&lt;0,"LOW BALANCE","OK"))))</f>
        <v/>
      </c>
      <c r="G519" s="1"/>
      <c r="H519" s="1"/>
      <c r="I519" s="1"/>
    </row>
    <row r="520" customFormat="false" ht="21.75" hidden="false" customHeight="true" outlineLevel="0" collapsed="false">
      <c r="A520" s="1"/>
      <c r="B520" s="16"/>
      <c r="C520" s="16"/>
      <c r="D520" s="15"/>
      <c r="E520" s="11" t="str">
        <f aca="false">IF(D520="","",IFERROR(INDEX(Players!$C$5:$C$304,MATCH(D520,Players!$B$5:$B$304,0)),""))</f>
        <v/>
      </c>
      <c r="F520" s="22" t="str">
        <f aca="false">IF(D520="","",IF(COUNTIFS($B$5:$B$2004,B520,$D$5:$D$2004,D520)&gt;1,"DUPLICATE",IF(ISNA(MATCH(D520,Players!$B$5:$B$304,0)),"UID not found",IF(INDEX(Players!$H$5:$H$304,MATCH(D520,Players!$B$5:$B$304,0))&lt;0,"LOW BALANCE","OK"))))</f>
        <v/>
      </c>
      <c r="G520" s="1"/>
      <c r="H520" s="1"/>
      <c r="I520" s="1"/>
    </row>
    <row r="521" customFormat="false" ht="21.75" hidden="false" customHeight="true" outlineLevel="0" collapsed="false">
      <c r="A521" s="1"/>
      <c r="B521" s="16"/>
      <c r="C521" s="16"/>
      <c r="D521" s="15"/>
      <c r="E521" s="11" t="str">
        <f aca="false">IF(D521="","",IFERROR(INDEX(Players!$C$5:$C$304,MATCH(D521,Players!$B$5:$B$304,0)),""))</f>
        <v/>
      </c>
      <c r="F521" s="22" t="str">
        <f aca="false">IF(D521="","",IF(COUNTIFS($B$5:$B$2004,B521,$D$5:$D$2004,D521)&gt;1,"DUPLICATE",IF(ISNA(MATCH(D521,Players!$B$5:$B$304,0)),"UID not found",IF(INDEX(Players!$H$5:$H$304,MATCH(D521,Players!$B$5:$B$304,0))&lt;0,"LOW BALANCE","OK"))))</f>
        <v/>
      </c>
      <c r="G521" s="1"/>
      <c r="H521" s="1"/>
      <c r="I521" s="1"/>
    </row>
    <row r="522" customFormat="false" ht="21.75" hidden="false" customHeight="true" outlineLevel="0" collapsed="false">
      <c r="A522" s="1"/>
      <c r="B522" s="16"/>
      <c r="C522" s="16"/>
      <c r="D522" s="15"/>
      <c r="E522" s="11" t="str">
        <f aca="false">IF(D522="","",IFERROR(INDEX(Players!$C$5:$C$304,MATCH(D522,Players!$B$5:$B$304,0)),""))</f>
        <v/>
      </c>
      <c r="F522" s="22" t="str">
        <f aca="false">IF(D522="","",IF(COUNTIFS($B$5:$B$2004,B522,$D$5:$D$2004,D522)&gt;1,"DUPLICATE",IF(ISNA(MATCH(D522,Players!$B$5:$B$304,0)),"UID not found",IF(INDEX(Players!$H$5:$H$304,MATCH(D522,Players!$B$5:$B$304,0))&lt;0,"LOW BALANCE","OK"))))</f>
        <v/>
      </c>
      <c r="G522" s="1"/>
      <c r="H522" s="1"/>
      <c r="I522" s="1"/>
    </row>
    <row r="523" customFormat="false" ht="21.75" hidden="false" customHeight="true" outlineLevel="0" collapsed="false">
      <c r="A523" s="1"/>
      <c r="B523" s="16"/>
      <c r="C523" s="16"/>
      <c r="D523" s="15"/>
      <c r="E523" s="11" t="str">
        <f aca="false">IF(D523="","",IFERROR(INDEX(Players!$C$5:$C$304,MATCH(D523,Players!$B$5:$B$304,0)),""))</f>
        <v/>
      </c>
      <c r="F523" s="22" t="str">
        <f aca="false">IF(D523="","",IF(COUNTIFS($B$5:$B$2004,B523,$D$5:$D$2004,D523)&gt;1,"DUPLICATE",IF(ISNA(MATCH(D523,Players!$B$5:$B$304,0)),"UID not found",IF(INDEX(Players!$H$5:$H$304,MATCH(D523,Players!$B$5:$B$304,0))&lt;0,"LOW BALANCE","OK"))))</f>
        <v/>
      </c>
      <c r="G523" s="1"/>
      <c r="H523" s="1"/>
      <c r="I523" s="1"/>
    </row>
    <row r="524" customFormat="false" ht="21.75" hidden="false" customHeight="true" outlineLevel="0" collapsed="false">
      <c r="A524" s="1"/>
      <c r="B524" s="16"/>
      <c r="C524" s="16"/>
      <c r="D524" s="15"/>
      <c r="E524" s="11" t="str">
        <f aca="false">IF(D524="","",IFERROR(INDEX(Players!$C$5:$C$304,MATCH(D524,Players!$B$5:$B$304,0)),""))</f>
        <v/>
      </c>
      <c r="F524" s="22" t="str">
        <f aca="false">IF(D524="","",IF(COUNTIFS($B$5:$B$2004,B524,$D$5:$D$2004,D524)&gt;1,"DUPLICATE",IF(ISNA(MATCH(D524,Players!$B$5:$B$304,0)),"UID not found",IF(INDEX(Players!$H$5:$H$304,MATCH(D524,Players!$B$5:$B$304,0))&lt;0,"LOW BALANCE","OK"))))</f>
        <v/>
      </c>
      <c r="G524" s="1"/>
      <c r="H524" s="1"/>
      <c r="I524" s="1"/>
    </row>
    <row r="525" customFormat="false" ht="21.75" hidden="false" customHeight="true" outlineLevel="0" collapsed="false">
      <c r="A525" s="1"/>
      <c r="B525" s="16"/>
      <c r="C525" s="16"/>
      <c r="D525" s="15"/>
      <c r="E525" s="11" t="str">
        <f aca="false">IF(D525="","",IFERROR(INDEX(Players!$C$5:$C$304,MATCH(D525,Players!$B$5:$B$304,0)),""))</f>
        <v/>
      </c>
      <c r="F525" s="22" t="str">
        <f aca="false">IF(D525="","",IF(COUNTIFS($B$5:$B$2004,B525,$D$5:$D$2004,D525)&gt;1,"DUPLICATE",IF(ISNA(MATCH(D525,Players!$B$5:$B$304,0)),"UID not found",IF(INDEX(Players!$H$5:$H$304,MATCH(D525,Players!$B$5:$B$304,0))&lt;0,"LOW BALANCE","OK"))))</f>
        <v/>
      </c>
      <c r="G525" s="1"/>
      <c r="H525" s="1"/>
      <c r="I525" s="1"/>
    </row>
    <row r="526" customFormat="false" ht="21.75" hidden="false" customHeight="true" outlineLevel="0" collapsed="false">
      <c r="A526" s="1"/>
      <c r="B526" s="16"/>
      <c r="C526" s="16"/>
      <c r="D526" s="15"/>
      <c r="E526" s="11" t="str">
        <f aca="false">IF(D526="","",IFERROR(INDEX(Players!$C$5:$C$304,MATCH(D526,Players!$B$5:$B$304,0)),""))</f>
        <v/>
      </c>
      <c r="F526" s="22" t="str">
        <f aca="false">IF(D526="","",IF(COUNTIFS($B$5:$B$2004,B526,$D$5:$D$2004,D526)&gt;1,"DUPLICATE",IF(ISNA(MATCH(D526,Players!$B$5:$B$304,0)),"UID not found",IF(INDEX(Players!$H$5:$H$304,MATCH(D526,Players!$B$5:$B$304,0))&lt;0,"LOW BALANCE","OK"))))</f>
        <v/>
      </c>
      <c r="G526" s="1"/>
      <c r="H526" s="1"/>
      <c r="I526" s="1"/>
    </row>
    <row r="527" customFormat="false" ht="21.75" hidden="false" customHeight="true" outlineLevel="0" collapsed="false">
      <c r="A527" s="1"/>
      <c r="B527" s="16"/>
      <c r="C527" s="16"/>
      <c r="D527" s="15"/>
      <c r="E527" s="11" t="str">
        <f aca="false">IF(D527="","",IFERROR(INDEX(Players!$C$5:$C$304,MATCH(D527,Players!$B$5:$B$304,0)),""))</f>
        <v/>
      </c>
      <c r="F527" s="22" t="str">
        <f aca="false">IF(D527="","",IF(COUNTIFS($B$5:$B$2004,B527,$D$5:$D$2004,D527)&gt;1,"DUPLICATE",IF(ISNA(MATCH(D527,Players!$B$5:$B$304,0)),"UID not found",IF(INDEX(Players!$H$5:$H$304,MATCH(D527,Players!$B$5:$B$304,0))&lt;0,"LOW BALANCE","OK"))))</f>
        <v/>
      </c>
      <c r="G527" s="1"/>
      <c r="H527" s="1"/>
      <c r="I527" s="1"/>
    </row>
    <row r="528" customFormat="false" ht="21.75" hidden="false" customHeight="true" outlineLevel="0" collapsed="false">
      <c r="A528" s="1"/>
      <c r="B528" s="16"/>
      <c r="C528" s="16"/>
      <c r="D528" s="15"/>
      <c r="E528" s="11" t="str">
        <f aca="false">IF(D528="","",IFERROR(INDEX(Players!$C$5:$C$304,MATCH(D528,Players!$B$5:$B$304,0)),""))</f>
        <v/>
      </c>
      <c r="F528" s="22" t="str">
        <f aca="false">IF(D528="","",IF(COUNTIFS($B$5:$B$2004,B528,$D$5:$D$2004,D528)&gt;1,"DUPLICATE",IF(ISNA(MATCH(D528,Players!$B$5:$B$304,0)),"UID not found",IF(INDEX(Players!$H$5:$H$304,MATCH(D528,Players!$B$5:$B$304,0))&lt;0,"LOW BALANCE","OK"))))</f>
        <v/>
      </c>
      <c r="G528" s="1"/>
      <c r="H528" s="1"/>
      <c r="I528" s="1"/>
    </row>
    <row r="529" customFormat="false" ht="21.75" hidden="false" customHeight="true" outlineLevel="0" collapsed="false">
      <c r="A529" s="1"/>
      <c r="B529" s="16"/>
      <c r="C529" s="16"/>
      <c r="D529" s="15"/>
      <c r="E529" s="11" t="str">
        <f aca="false">IF(D529="","",IFERROR(INDEX(Players!$C$5:$C$304,MATCH(D529,Players!$B$5:$B$304,0)),""))</f>
        <v/>
      </c>
      <c r="F529" s="22" t="str">
        <f aca="false">IF(D529="","",IF(COUNTIFS($B$5:$B$2004,B529,$D$5:$D$2004,D529)&gt;1,"DUPLICATE",IF(ISNA(MATCH(D529,Players!$B$5:$B$304,0)),"UID not found",IF(INDEX(Players!$H$5:$H$304,MATCH(D529,Players!$B$5:$B$304,0))&lt;0,"LOW BALANCE","OK"))))</f>
        <v/>
      </c>
      <c r="G529" s="1"/>
      <c r="H529" s="1"/>
      <c r="I529" s="1"/>
    </row>
    <row r="530" customFormat="false" ht="21.75" hidden="false" customHeight="true" outlineLevel="0" collapsed="false">
      <c r="A530" s="1"/>
      <c r="B530" s="16"/>
      <c r="C530" s="16"/>
      <c r="D530" s="15"/>
      <c r="E530" s="11" t="str">
        <f aca="false">IF(D530="","",IFERROR(INDEX(Players!$C$5:$C$304,MATCH(D530,Players!$B$5:$B$304,0)),""))</f>
        <v/>
      </c>
      <c r="F530" s="22" t="str">
        <f aca="false">IF(D530="","",IF(COUNTIFS($B$5:$B$2004,B530,$D$5:$D$2004,D530)&gt;1,"DUPLICATE",IF(ISNA(MATCH(D530,Players!$B$5:$B$304,0)),"UID not found",IF(INDEX(Players!$H$5:$H$304,MATCH(D530,Players!$B$5:$B$304,0))&lt;0,"LOW BALANCE","OK"))))</f>
        <v/>
      </c>
      <c r="G530" s="1"/>
      <c r="H530" s="1"/>
      <c r="I530" s="1"/>
    </row>
    <row r="531" customFormat="false" ht="21.75" hidden="false" customHeight="true" outlineLevel="0" collapsed="false">
      <c r="A531" s="1"/>
      <c r="B531" s="16"/>
      <c r="C531" s="16"/>
      <c r="D531" s="15"/>
      <c r="E531" s="11" t="str">
        <f aca="false">IF(D531="","",IFERROR(INDEX(Players!$C$5:$C$304,MATCH(D531,Players!$B$5:$B$304,0)),""))</f>
        <v/>
      </c>
      <c r="F531" s="22" t="str">
        <f aca="false">IF(D531="","",IF(COUNTIFS($B$5:$B$2004,B531,$D$5:$D$2004,D531)&gt;1,"DUPLICATE",IF(ISNA(MATCH(D531,Players!$B$5:$B$304,0)),"UID not found",IF(INDEX(Players!$H$5:$H$304,MATCH(D531,Players!$B$5:$B$304,0))&lt;0,"LOW BALANCE","OK"))))</f>
        <v/>
      </c>
      <c r="G531" s="1"/>
      <c r="H531" s="1"/>
      <c r="I531" s="1"/>
    </row>
    <row r="532" customFormat="false" ht="21.75" hidden="false" customHeight="true" outlineLevel="0" collapsed="false">
      <c r="A532" s="1"/>
      <c r="B532" s="16"/>
      <c r="C532" s="16"/>
      <c r="D532" s="15"/>
      <c r="E532" s="11" t="str">
        <f aca="false">IF(D532="","",IFERROR(INDEX(Players!$C$5:$C$304,MATCH(D532,Players!$B$5:$B$304,0)),""))</f>
        <v/>
      </c>
      <c r="F532" s="22" t="str">
        <f aca="false">IF(D532="","",IF(COUNTIFS($B$5:$B$2004,B532,$D$5:$D$2004,D532)&gt;1,"DUPLICATE",IF(ISNA(MATCH(D532,Players!$B$5:$B$304,0)),"UID not found",IF(INDEX(Players!$H$5:$H$304,MATCH(D532,Players!$B$5:$B$304,0))&lt;0,"LOW BALANCE","OK"))))</f>
        <v/>
      </c>
      <c r="G532" s="1"/>
      <c r="H532" s="1"/>
      <c r="I532" s="1"/>
    </row>
    <row r="533" customFormat="false" ht="21.75" hidden="false" customHeight="true" outlineLevel="0" collapsed="false">
      <c r="A533" s="1"/>
      <c r="B533" s="16"/>
      <c r="C533" s="16"/>
      <c r="D533" s="15"/>
      <c r="E533" s="11" t="str">
        <f aca="false">IF(D533="","",IFERROR(INDEX(Players!$C$5:$C$304,MATCH(D533,Players!$B$5:$B$304,0)),""))</f>
        <v/>
      </c>
      <c r="F533" s="22" t="str">
        <f aca="false">IF(D533="","",IF(COUNTIFS($B$5:$B$2004,B533,$D$5:$D$2004,D533)&gt;1,"DUPLICATE",IF(ISNA(MATCH(D533,Players!$B$5:$B$304,0)),"UID not found",IF(INDEX(Players!$H$5:$H$304,MATCH(D533,Players!$B$5:$B$304,0))&lt;0,"LOW BALANCE","OK"))))</f>
        <v/>
      </c>
      <c r="G533" s="1"/>
      <c r="H533" s="1"/>
      <c r="I533" s="1"/>
    </row>
    <row r="534" customFormat="false" ht="21.75" hidden="false" customHeight="true" outlineLevel="0" collapsed="false">
      <c r="A534" s="1"/>
      <c r="B534" s="16"/>
      <c r="C534" s="16"/>
      <c r="D534" s="15"/>
      <c r="E534" s="11" t="str">
        <f aca="false">IF(D534="","",IFERROR(INDEX(Players!$C$5:$C$304,MATCH(D534,Players!$B$5:$B$304,0)),""))</f>
        <v/>
      </c>
      <c r="F534" s="22" t="str">
        <f aca="false">IF(D534="","",IF(COUNTIFS($B$5:$B$2004,B534,$D$5:$D$2004,D534)&gt;1,"DUPLICATE",IF(ISNA(MATCH(D534,Players!$B$5:$B$304,0)),"UID not found",IF(INDEX(Players!$H$5:$H$304,MATCH(D534,Players!$B$5:$B$304,0))&lt;0,"LOW BALANCE","OK"))))</f>
        <v/>
      </c>
      <c r="G534" s="1"/>
      <c r="H534" s="1"/>
      <c r="I534" s="1"/>
    </row>
    <row r="535" customFormat="false" ht="21.75" hidden="false" customHeight="true" outlineLevel="0" collapsed="false">
      <c r="A535" s="1"/>
      <c r="B535" s="16"/>
      <c r="C535" s="16"/>
      <c r="D535" s="15"/>
      <c r="E535" s="11" t="str">
        <f aca="false">IF(D535="","",IFERROR(INDEX(Players!$C$5:$C$304,MATCH(D535,Players!$B$5:$B$304,0)),""))</f>
        <v/>
      </c>
      <c r="F535" s="22" t="str">
        <f aca="false">IF(D535="","",IF(COUNTIFS($B$5:$B$2004,B535,$D$5:$D$2004,D535)&gt;1,"DUPLICATE",IF(ISNA(MATCH(D535,Players!$B$5:$B$304,0)),"UID not found",IF(INDEX(Players!$H$5:$H$304,MATCH(D535,Players!$B$5:$B$304,0))&lt;0,"LOW BALANCE","OK"))))</f>
        <v/>
      </c>
      <c r="G535" s="1"/>
      <c r="H535" s="1"/>
      <c r="I535" s="1"/>
    </row>
    <row r="536" customFormat="false" ht="21.75" hidden="false" customHeight="true" outlineLevel="0" collapsed="false">
      <c r="A536" s="1"/>
      <c r="B536" s="16"/>
      <c r="C536" s="16"/>
      <c r="D536" s="15"/>
      <c r="E536" s="11" t="str">
        <f aca="false">IF(D536="","",IFERROR(INDEX(Players!$C$5:$C$304,MATCH(D536,Players!$B$5:$B$304,0)),""))</f>
        <v/>
      </c>
      <c r="F536" s="22" t="str">
        <f aca="false">IF(D536="","",IF(COUNTIFS($B$5:$B$2004,B536,$D$5:$D$2004,D536)&gt;1,"DUPLICATE",IF(ISNA(MATCH(D536,Players!$B$5:$B$304,0)),"UID not found",IF(INDEX(Players!$H$5:$H$304,MATCH(D536,Players!$B$5:$B$304,0))&lt;0,"LOW BALANCE","OK"))))</f>
        <v/>
      </c>
      <c r="G536" s="1"/>
      <c r="H536" s="1"/>
      <c r="I536" s="1"/>
    </row>
    <row r="537" customFormat="false" ht="21.75" hidden="false" customHeight="true" outlineLevel="0" collapsed="false">
      <c r="A537" s="1"/>
      <c r="B537" s="16"/>
      <c r="C537" s="16"/>
      <c r="D537" s="15"/>
      <c r="E537" s="11" t="str">
        <f aca="false">IF(D537="","",IFERROR(INDEX(Players!$C$5:$C$304,MATCH(D537,Players!$B$5:$B$304,0)),""))</f>
        <v/>
      </c>
      <c r="F537" s="22" t="str">
        <f aca="false">IF(D537="","",IF(COUNTIFS($B$5:$B$2004,B537,$D$5:$D$2004,D537)&gt;1,"DUPLICATE",IF(ISNA(MATCH(D537,Players!$B$5:$B$304,0)),"UID not found",IF(INDEX(Players!$H$5:$H$304,MATCH(D537,Players!$B$5:$B$304,0))&lt;0,"LOW BALANCE","OK"))))</f>
        <v/>
      </c>
      <c r="G537" s="1"/>
      <c r="H537" s="1"/>
      <c r="I537" s="1"/>
    </row>
    <row r="538" customFormat="false" ht="21.75" hidden="false" customHeight="true" outlineLevel="0" collapsed="false">
      <c r="A538" s="1"/>
      <c r="B538" s="16"/>
      <c r="C538" s="16"/>
      <c r="D538" s="15"/>
      <c r="E538" s="11" t="str">
        <f aca="false">IF(D538="","",IFERROR(INDEX(Players!$C$5:$C$304,MATCH(D538,Players!$B$5:$B$304,0)),""))</f>
        <v/>
      </c>
      <c r="F538" s="22" t="str">
        <f aca="false">IF(D538="","",IF(COUNTIFS($B$5:$B$2004,B538,$D$5:$D$2004,D538)&gt;1,"DUPLICATE",IF(ISNA(MATCH(D538,Players!$B$5:$B$304,0)),"UID not found",IF(INDEX(Players!$H$5:$H$304,MATCH(D538,Players!$B$5:$B$304,0))&lt;0,"LOW BALANCE","OK"))))</f>
        <v/>
      </c>
      <c r="G538" s="1"/>
      <c r="H538" s="1"/>
      <c r="I538" s="1"/>
    </row>
    <row r="539" customFormat="false" ht="21.75" hidden="false" customHeight="true" outlineLevel="0" collapsed="false">
      <c r="A539" s="1"/>
      <c r="B539" s="16"/>
      <c r="C539" s="16"/>
      <c r="D539" s="15"/>
      <c r="E539" s="11" t="str">
        <f aca="false">IF(D539="","",IFERROR(INDEX(Players!$C$5:$C$304,MATCH(D539,Players!$B$5:$B$304,0)),""))</f>
        <v/>
      </c>
      <c r="F539" s="22" t="str">
        <f aca="false">IF(D539="","",IF(COUNTIFS($B$5:$B$2004,B539,$D$5:$D$2004,D539)&gt;1,"DUPLICATE",IF(ISNA(MATCH(D539,Players!$B$5:$B$304,0)),"UID not found",IF(INDEX(Players!$H$5:$H$304,MATCH(D539,Players!$B$5:$B$304,0))&lt;0,"LOW BALANCE","OK"))))</f>
        <v/>
      </c>
      <c r="G539" s="1"/>
      <c r="H539" s="1"/>
      <c r="I539" s="1"/>
    </row>
    <row r="540" customFormat="false" ht="21.75" hidden="false" customHeight="true" outlineLevel="0" collapsed="false">
      <c r="A540" s="1"/>
      <c r="B540" s="16"/>
      <c r="C540" s="16"/>
      <c r="D540" s="15"/>
      <c r="E540" s="11" t="str">
        <f aca="false">IF(D540="","",IFERROR(INDEX(Players!$C$5:$C$304,MATCH(D540,Players!$B$5:$B$304,0)),""))</f>
        <v/>
      </c>
      <c r="F540" s="22" t="str">
        <f aca="false">IF(D540="","",IF(COUNTIFS($B$5:$B$2004,B540,$D$5:$D$2004,D540)&gt;1,"DUPLICATE",IF(ISNA(MATCH(D540,Players!$B$5:$B$304,0)),"UID not found",IF(INDEX(Players!$H$5:$H$304,MATCH(D540,Players!$B$5:$B$304,0))&lt;0,"LOW BALANCE","OK"))))</f>
        <v/>
      </c>
      <c r="G540" s="1"/>
      <c r="H540" s="1"/>
      <c r="I540" s="1"/>
    </row>
    <row r="541" customFormat="false" ht="21.75" hidden="false" customHeight="true" outlineLevel="0" collapsed="false">
      <c r="A541" s="1"/>
      <c r="B541" s="16"/>
      <c r="C541" s="16"/>
      <c r="D541" s="15"/>
      <c r="E541" s="11" t="str">
        <f aca="false">IF(D541="","",IFERROR(INDEX(Players!$C$5:$C$304,MATCH(D541,Players!$B$5:$B$304,0)),""))</f>
        <v/>
      </c>
      <c r="F541" s="22" t="str">
        <f aca="false">IF(D541="","",IF(COUNTIFS($B$5:$B$2004,B541,$D$5:$D$2004,D541)&gt;1,"DUPLICATE",IF(ISNA(MATCH(D541,Players!$B$5:$B$304,0)),"UID not found",IF(INDEX(Players!$H$5:$H$304,MATCH(D541,Players!$B$5:$B$304,0))&lt;0,"LOW BALANCE","OK"))))</f>
        <v/>
      </c>
      <c r="G541" s="1"/>
      <c r="H541" s="1"/>
      <c r="I541" s="1"/>
    </row>
    <row r="542" customFormat="false" ht="21.75" hidden="false" customHeight="true" outlineLevel="0" collapsed="false">
      <c r="A542" s="1"/>
      <c r="B542" s="16"/>
      <c r="C542" s="16"/>
      <c r="D542" s="15"/>
      <c r="E542" s="11" t="str">
        <f aca="false">IF(D542="","",IFERROR(INDEX(Players!$C$5:$C$304,MATCH(D542,Players!$B$5:$B$304,0)),""))</f>
        <v/>
      </c>
      <c r="F542" s="22" t="str">
        <f aca="false">IF(D542="","",IF(COUNTIFS($B$5:$B$2004,B542,$D$5:$D$2004,D542)&gt;1,"DUPLICATE",IF(ISNA(MATCH(D542,Players!$B$5:$B$304,0)),"UID not found",IF(INDEX(Players!$H$5:$H$304,MATCH(D542,Players!$B$5:$B$304,0))&lt;0,"LOW BALANCE","OK"))))</f>
        <v/>
      </c>
      <c r="G542" s="1"/>
      <c r="H542" s="1"/>
      <c r="I542" s="1"/>
    </row>
    <row r="543" customFormat="false" ht="21.75" hidden="false" customHeight="true" outlineLevel="0" collapsed="false">
      <c r="A543" s="1"/>
      <c r="B543" s="16"/>
      <c r="C543" s="16"/>
      <c r="D543" s="15"/>
      <c r="E543" s="11" t="str">
        <f aca="false">IF(D543="","",IFERROR(INDEX(Players!$C$5:$C$304,MATCH(D543,Players!$B$5:$B$304,0)),""))</f>
        <v/>
      </c>
      <c r="F543" s="22" t="str">
        <f aca="false">IF(D543="","",IF(COUNTIFS($B$5:$B$2004,B543,$D$5:$D$2004,D543)&gt;1,"DUPLICATE",IF(ISNA(MATCH(D543,Players!$B$5:$B$304,0)),"UID not found",IF(INDEX(Players!$H$5:$H$304,MATCH(D543,Players!$B$5:$B$304,0))&lt;0,"LOW BALANCE","OK"))))</f>
        <v/>
      </c>
      <c r="G543" s="1"/>
      <c r="H543" s="1"/>
      <c r="I543" s="1"/>
    </row>
    <row r="544" customFormat="false" ht="21.75" hidden="false" customHeight="true" outlineLevel="0" collapsed="false">
      <c r="A544" s="1"/>
      <c r="B544" s="16"/>
      <c r="C544" s="16"/>
      <c r="D544" s="15"/>
      <c r="E544" s="11" t="str">
        <f aca="false">IF(D544="","",IFERROR(INDEX(Players!$C$5:$C$304,MATCH(D544,Players!$B$5:$B$304,0)),""))</f>
        <v/>
      </c>
      <c r="F544" s="22" t="str">
        <f aca="false">IF(D544="","",IF(COUNTIFS($B$5:$B$2004,B544,$D$5:$D$2004,D544)&gt;1,"DUPLICATE",IF(ISNA(MATCH(D544,Players!$B$5:$B$304,0)),"UID not found",IF(INDEX(Players!$H$5:$H$304,MATCH(D544,Players!$B$5:$B$304,0))&lt;0,"LOW BALANCE","OK"))))</f>
        <v/>
      </c>
      <c r="G544" s="1"/>
      <c r="H544" s="1"/>
      <c r="I544" s="1"/>
    </row>
    <row r="545" customFormat="false" ht="21.75" hidden="false" customHeight="true" outlineLevel="0" collapsed="false">
      <c r="A545" s="1"/>
      <c r="B545" s="16"/>
      <c r="C545" s="16"/>
      <c r="D545" s="15"/>
      <c r="E545" s="11" t="str">
        <f aca="false">IF(D545="","",IFERROR(INDEX(Players!$C$5:$C$304,MATCH(D545,Players!$B$5:$B$304,0)),""))</f>
        <v/>
      </c>
      <c r="F545" s="22" t="str">
        <f aca="false">IF(D545="","",IF(COUNTIFS($B$5:$B$2004,B545,$D$5:$D$2004,D545)&gt;1,"DUPLICATE",IF(ISNA(MATCH(D545,Players!$B$5:$B$304,0)),"UID not found",IF(INDEX(Players!$H$5:$H$304,MATCH(D545,Players!$B$5:$B$304,0))&lt;0,"LOW BALANCE","OK"))))</f>
        <v/>
      </c>
      <c r="G545" s="1"/>
      <c r="H545" s="1"/>
      <c r="I545" s="1"/>
    </row>
    <row r="546" customFormat="false" ht="21.75" hidden="false" customHeight="true" outlineLevel="0" collapsed="false">
      <c r="A546" s="1"/>
      <c r="B546" s="16"/>
      <c r="C546" s="16"/>
      <c r="D546" s="15"/>
      <c r="E546" s="11" t="str">
        <f aca="false">IF(D546="","",IFERROR(INDEX(Players!$C$5:$C$304,MATCH(D546,Players!$B$5:$B$304,0)),""))</f>
        <v/>
      </c>
      <c r="F546" s="22" t="str">
        <f aca="false">IF(D546="","",IF(COUNTIFS($B$5:$B$2004,B546,$D$5:$D$2004,D546)&gt;1,"DUPLICATE",IF(ISNA(MATCH(D546,Players!$B$5:$B$304,0)),"UID not found",IF(INDEX(Players!$H$5:$H$304,MATCH(D546,Players!$B$5:$B$304,0))&lt;0,"LOW BALANCE","OK"))))</f>
        <v/>
      </c>
      <c r="G546" s="1"/>
      <c r="H546" s="1"/>
      <c r="I546" s="1"/>
    </row>
    <row r="547" customFormat="false" ht="21.75" hidden="false" customHeight="true" outlineLevel="0" collapsed="false">
      <c r="A547" s="1"/>
      <c r="B547" s="16"/>
      <c r="C547" s="16"/>
      <c r="D547" s="15"/>
      <c r="E547" s="11" t="str">
        <f aca="false">IF(D547="","",IFERROR(INDEX(Players!$C$5:$C$304,MATCH(D547,Players!$B$5:$B$304,0)),""))</f>
        <v/>
      </c>
      <c r="F547" s="22" t="str">
        <f aca="false">IF(D547="","",IF(COUNTIFS($B$5:$B$2004,B547,$D$5:$D$2004,D547)&gt;1,"DUPLICATE",IF(ISNA(MATCH(D547,Players!$B$5:$B$304,0)),"UID not found",IF(INDEX(Players!$H$5:$H$304,MATCH(D547,Players!$B$5:$B$304,0))&lt;0,"LOW BALANCE","OK"))))</f>
        <v/>
      </c>
      <c r="G547" s="1"/>
      <c r="H547" s="1"/>
      <c r="I547" s="1"/>
    </row>
    <row r="548" customFormat="false" ht="21.75" hidden="false" customHeight="true" outlineLevel="0" collapsed="false">
      <c r="A548" s="1"/>
      <c r="B548" s="16"/>
      <c r="C548" s="16"/>
      <c r="D548" s="15"/>
      <c r="E548" s="11" t="str">
        <f aca="false">IF(D548="","",IFERROR(INDEX(Players!$C$5:$C$304,MATCH(D548,Players!$B$5:$B$304,0)),""))</f>
        <v/>
      </c>
      <c r="F548" s="22" t="str">
        <f aca="false">IF(D548="","",IF(COUNTIFS($B$5:$B$2004,B548,$D$5:$D$2004,D548)&gt;1,"DUPLICATE",IF(ISNA(MATCH(D548,Players!$B$5:$B$304,0)),"UID not found",IF(INDEX(Players!$H$5:$H$304,MATCH(D548,Players!$B$5:$B$304,0))&lt;0,"LOW BALANCE","OK"))))</f>
        <v/>
      </c>
      <c r="G548" s="1"/>
      <c r="H548" s="1"/>
      <c r="I548" s="1"/>
    </row>
    <row r="549" customFormat="false" ht="21.75" hidden="false" customHeight="true" outlineLevel="0" collapsed="false">
      <c r="A549" s="1"/>
      <c r="B549" s="16"/>
      <c r="C549" s="16"/>
      <c r="D549" s="15"/>
      <c r="E549" s="11" t="str">
        <f aca="false">IF(D549="","",IFERROR(INDEX(Players!$C$5:$C$304,MATCH(D549,Players!$B$5:$B$304,0)),""))</f>
        <v/>
      </c>
      <c r="F549" s="22" t="str">
        <f aca="false">IF(D549="","",IF(COUNTIFS($B$5:$B$2004,B549,$D$5:$D$2004,D549)&gt;1,"DUPLICATE",IF(ISNA(MATCH(D549,Players!$B$5:$B$304,0)),"UID not found",IF(INDEX(Players!$H$5:$H$304,MATCH(D549,Players!$B$5:$B$304,0))&lt;0,"LOW BALANCE","OK"))))</f>
        <v/>
      </c>
      <c r="G549" s="1"/>
      <c r="H549" s="1"/>
      <c r="I549" s="1"/>
    </row>
    <row r="550" customFormat="false" ht="21.75" hidden="false" customHeight="true" outlineLevel="0" collapsed="false">
      <c r="A550" s="1"/>
      <c r="B550" s="16"/>
      <c r="C550" s="16"/>
      <c r="D550" s="15"/>
      <c r="E550" s="11" t="str">
        <f aca="false">IF(D550="","",IFERROR(INDEX(Players!$C$5:$C$304,MATCH(D550,Players!$B$5:$B$304,0)),""))</f>
        <v/>
      </c>
      <c r="F550" s="22" t="str">
        <f aca="false">IF(D550="","",IF(COUNTIFS($B$5:$B$2004,B550,$D$5:$D$2004,D550)&gt;1,"DUPLICATE",IF(ISNA(MATCH(D550,Players!$B$5:$B$304,0)),"UID not found",IF(INDEX(Players!$H$5:$H$304,MATCH(D550,Players!$B$5:$B$304,0))&lt;0,"LOW BALANCE","OK"))))</f>
        <v/>
      </c>
      <c r="G550" s="1"/>
      <c r="H550" s="1"/>
      <c r="I550" s="1"/>
    </row>
    <row r="551" customFormat="false" ht="21.75" hidden="false" customHeight="true" outlineLevel="0" collapsed="false">
      <c r="A551" s="1"/>
      <c r="B551" s="16"/>
      <c r="C551" s="16"/>
      <c r="D551" s="15"/>
      <c r="E551" s="11" t="str">
        <f aca="false">IF(D551="","",IFERROR(INDEX(Players!$C$5:$C$304,MATCH(D551,Players!$B$5:$B$304,0)),""))</f>
        <v/>
      </c>
      <c r="F551" s="22" t="str">
        <f aca="false">IF(D551="","",IF(COUNTIFS($B$5:$B$2004,B551,$D$5:$D$2004,D551)&gt;1,"DUPLICATE",IF(ISNA(MATCH(D551,Players!$B$5:$B$304,0)),"UID not found",IF(INDEX(Players!$H$5:$H$304,MATCH(D551,Players!$B$5:$B$304,0))&lt;0,"LOW BALANCE","OK"))))</f>
        <v/>
      </c>
      <c r="G551" s="1"/>
      <c r="H551" s="1"/>
      <c r="I551" s="1"/>
    </row>
    <row r="552" customFormat="false" ht="21.75" hidden="false" customHeight="true" outlineLevel="0" collapsed="false">
      <c r="A552" s="1"/>
      <c r="B552" s="16"/>
      <c r="C552" s="16"/>
      <c r="D552" s="15"/>
      <c r="E552" s="11" t="str">
        <f aca="false">IF(D552="","",IFERROR(INDEX(Players!$C$5:$C$304,MATCH(D552,Players!$B$5:$B$304,0)),""))</f>
        <v/>
      </c>
      <c r="F552" s="22" t="str">
        <f aca="false">IF(D552="","",IF(COUNTIFS($B$5:$B$2004,B552,$D$5:$D$2004,D552)&gt;1,"DUPLICATE",IF(ISNA(MATCH(D552,Players!$B$5:$B$304,0)),"UID not found",IF(INDEX(Players!$H$5:$H$304,MATCH(D552,Players!$B$5:$B$304,0))&lt;0,"LOW BALANCE","OK"))))</f>
        <v/>
      </c>
      <c r="G552" s="1"/>
      <c r="H552" s="1"/>
      <c r="I552" s="1"/>
    </row>
    <row r="553" customFormat="false" ht="21.75" hidden="false" customHeight="true" outlineLevel="0" collapsed="false">
      <c r="A553" s="1"/>
      <c r="B553" s="16"/>
      <c r="C553" s="16"/>
      <c r="D553" s="15"/>
      <c r="E553" s="11" t="str">
        <f aca="false">IF(D553="","",IFERROR(INDEX(Players!$C$5:$C$304,MATCH(D553,Players!$B$5:$B$304,0)),""))</f>
        <v/>
      </c>
      <c r="F553" s="22" t="str">
        <f aca="false">IF(D553="","",IF(COUNTIFS($B$5:$B$2004,B553,$D$5:$D$2004,D553)&gt;1,"DUPLICATE",IF(ISNA(MATCH(D553,Players!$B$5:$B$304,0)),"UID not found",IF(INDEX(Players!$H$5:$H$304,MATCH(D553,Players!$B$5:$B$304,0))&lt;0,"LOW BALANCE","OK"))))</f>
        <v/>
      </c>
      <c r="G553" s="1"/>
      <c r="H553" s="1"/>
      <c r="I553" s="1"/>
    </row>
    <row r="554" customFormat="false" ht="21.75" hidden="false" customHeight="true" outlineLevel="0" collapsed="false">
      <c r="A554" s="1"/>
      <c r="B554" s="16"/>
      <c r="C554" s="16"/>
      <c r="D554" s="15"/>
      <c r="E554" s="11" t="str">
        <f aca="false">IF(D554="","",IFERROR(INDEX(Players!$C$5:$C$304,MATCH(D554,Players!$B$5:$B$304,0)),""))</f>
        <v/>
      </c>
      <c r="F554" s="22" t="str">
        <f aca="false">IF(D554="","",IF(COUNTIFS($B$5:$B$2004,B554,$D$5:$D$2004,D554)&gt;1,"DUPLICATE",IF(ISNA(MATCH(D554,Players!$B$5:$B$304,0)),"UID not found",IF(INDEX(Players!$H$5:$H$304,MATCH(D554,Players!$B$5:$B$304,0))&lt;0,"LOW BALANCE","OK"))))</f>
        <v/>
      </c>
      <c r="G554" s="1"/>
      <c r="H554" s="1"/>
      <c r="I554" s="1"/>
    </row>
    <row r="555" customFormat="false" ht="21.75" hidden="false" customHeight="true" outlineLevel="0" collapsed="false">
      <c r="A555" s="1"/>
      <c r="B555" s="16"/>
      <c r="C555" s="16"/>
      <c r="D555" s="15"/>
      <c r="E555" s="11" t="str">
        <f aca="false">IF(D555="","",IFERROR(INDEX(Players!$C$5:$C$304,MATCH(D555,Players!$B$5:$B$304,0)),""))</f>
        <v/>
      </c>
      <c r="F555" s="22" t="str">
        <f aca="false">IF(D555="","",IF(COUNTIFS($B$5:$B$2004,B555,$D$5:$D$2004,D555)&gt;1,"DUPLICATE",IF(ISNA(MATCH(D555,Players!$B$5:$B$304,0)),"UID not found",IF(INDEX(Players!$H$5:$H$304,MATCH(D555,Players!$B$5:$B$304,0))&lt;0,"LOW BALANCE","OK"))))</f>
        <v/>
      </c>
      <c r="G555" s="1"/>
      <c r="H555" s="1"/>
      <c r="I555" s="1"/>
    </row>
    <row r="556" customFormat="false" ht="21.75" hidden="false" customHeight="true" outlineLevel="0" collapsed="false">
      <c r="A556" s="1"/>
      <c r="B556" s="16"/>
      <c r="C556" s="16"/>
      <c r="D556" s="15"/>
      <c r="E556" s="11" t="str">
        <f aca="false">IF(D556="","",IFERROR(INDEX(Players!$C$5:$C$304,MATCH(D556,Players!$B$5:$B$304,0)),""))</f>
        <v/>
      </c>
      <c r="F556" s="22" t="str">
        <f aca="false">IF(D556="","",IF(COUNTIFS($B$5:$B$2004,B556,$D$5:$D$2004,D556)&gt;1,"DUPLICATE",IF(ISNA(MATCH(D556,Players!$B$5:$B$304,0)),"UID not found",IF(INDEX(Players!$H$5:$H$304,MATCH(D556,Players!$B$5:$B$304,0))&lt;0,"LOW BALANCE","OK"))))</f>
        <v/>
      </c>
      <c r="G556" s="1"/>
      <c r="H556" s="1"/>
      <c r="I556" s="1"/>
    </row>
    <row r="557" customFormat="false" ht="21.75" hidden="false" customHeight="true" outlineLevel="0" collapsed="false">
      <c r="A557" s="1"/>
      <c r="B557" s="16"/>
      <c r="C557" s="16"/>
      <c r="D557" s="15"/>
      <c r="E557" s="11" t="str">
        <f aca="false">IF(D557="","",IFERROR(INDEX(Players!$C$5:$C$304,MATCH(D557,Players!$B$5:$B$304,0)),""))</f>
        <v/>
      </c>
      <c r="F557" s="22" t="str">
        <f aca="false">IF(D557="","",IF(COUNTIFS($B$5:$B$2004,B557,$D$5:$D$2004,D557)&gt;1,"DUPLICATE",IF(ISNA(MATCH(D557,Players!$B$5:$B$304,0)),"UID not found",IF(INDEX(Players!$H$5:$H$304,MATCH(D557,Players!$B$5:$B$304,0))&lt;0,"LOW BALANCE","OK"))))</f>
        <v/>
      </c>
      <c r="G557" s="1"/>
      <c r="H557" s="1"/>
      <c r="I557" s="1"/>
    </row>
    <row r="558" customFormat="false" ht="21.75" hidden="false" customHeight="true" outlineLevel="0" collapsed="false">
      <c r="A558" s="1"/>
      <c r="B558" s="16"/>
      <c r="C558" s="16"/>
      <c r="D558" s="15"/>
      <c r="E558" s="11" t="str">
        <f aca="false">IF(D558="","",IFERROR(INDEX(Players!$C$5:$C$304,MATCH(D558,Players!$B$5:$B$304,0)),""))</f>
        <v/>
      </c>
      <c r="F558" s="22" t="str">
        <f aca="false">IF(D558="","",IF(COUNTIFS($B$5:$B$2004,B558,$D$5:$D$2004,D558)&gt;1,"DUPLICATE",IF(ISNA(MATCH(D558,Players!$B$5:$B$304,0)),"UID not found",IF(INDEX(Players!$H$5:$H$304,MATCH(D558,Players!$B$5:$B$304,0))&lt;0,"LOW BALANCE","OK"))))</f>
        <v/>
      </c>
      <c r="G558" s="1"/>
      <c r="H558" s="1"/>
      <c r="I558" s="1"/>
    </row>
    <row r="559" customFormat="false" ht="21.75" hidden="false" customHeight="true" outlineLevel="0" collapsed="false">
      <c r="A559" s="1"/>
      <c r="B559" s="16"/>
      <c r="C559" s="16"/>
      <c r="D559" s="15"/>
      <c r="E559" s="11" t="str">
        <f aca="false">IF(D559="","",IFERROR(INDEX(Players!$C$5:$C$304,MATCH(D559,Players!$B$5:$B$304,0)),""))</f>
        <v/>
      </c>
      <c r="F559" s="22" t="str">
        <f aca="false">IF(D559="","",IF(COUNTIFS($B$5:$B$2004,B559,$D$5:$D$2004,D559)&gt;1,"DUPLICATE",IF(ISNA(MATCH(D559,Players!$B$5:$B$304,0)),"UID not found",IF(INDEX(Players!$H$5:$H$304,MATCH(D559,Players!$B$5:$B$304,0))&lt;0,"LOW BALANCE","OK"))))</f>
        <v/>
      </c>
      <c r="G559" s="1"/>
      <c r="H559" s="1"/>
      <c r="I559" s="1"/>
    </row>
    <row r="560" customFormat="false" ht="21.75" hidden="false" customHeight="true" outlineLevel="0" collapsed="false">
      <c r="A560" s="1"/>
      <c r="B560" s="16"/>
      <c r="C560" s="16"/>
      <c r="D560" s="15"/>
      <c r="E560" s="11" t="str">
        <f aca="false">IF(D560="","",IFERROR(INDEX(Players!$C$5:$C$304,MATCH(D560,Players!$B$5:$B$304,0)),""))</f>
        <v/>
      </c>
      <c r="F560" s="22" t="str">
        <f aca="false">IF(D560="","",IF(COUNTIFS($B$5:$B$2004,B560,$D$5:$D$2004,D560)&gt;1,"DUPLICATE",IF(ISNA(MATCH(D560,Players!$B$5:$B$304,0)),"UID not found",IF(INDEX(Players!$H$5:$H$304,MATCH(D560,Players!$B$5:$B$304,0))&lt;0,"LOW BALANCE","OK"))))</f>
        <v/>
      </c>
      <c r="G560" s="1"/>
      <c r="H560" s="1"/>
      <c r="I560" s="1"/>
    </row>
    <row r="561" customFormat="false" ht="21.75" hidden="false" customHeight="true" outlineLevel="0" collapsed="false">
      <c r="A561" s="1"/>
      <c r="B561" s="16"/>
      <c r="C561" s="16"/>
      <c r="D561" s="15"/>
      <c r="E561" s="11" t="str">
        <f aca="false">IF(D561="","",IFERROR(INDEX(Players!$C$5:$C$304,MATCH(D561,Players!$B$5:$B$304,0)),""))</f>
        <v/>
      </c>
      <c r="F561" s="22" t="str">
        <f aca="false">IF(D561="","",IF(COUNTIFS($B$5:$B$2004,B561,$D$5:$D$2004,D561)&gt;1,"DUPLICATE",IF(ISNA(MATCH(D561,Players!$B$5:$B$304,0)),"UID not found",IF(INDEX(Players!$H$5:$H$304,MATCH(D561,Players!$B$5:$B$304,0))&lt;0,"LOW BALANCE","OK"))))</f>
        <v/>
      </c>
      <c r="G561" s="1"/>
      <c r="H561" s="1"/>
      <c r="I561" s="1"/>
    </row>
    <row r="562" customFormat="false" ht="21.75" hidden="false" customHeight="true" outlineLevel="0" collapsed="false">
      <c r="A562" s="1"/>
      <c r="B562" s="16"/>
      <c r="C562" s="16"/>
      <c r="D562" s="15"/>
      <c r="E562" s="11" t="str">
        <f aca="false">IF(D562="","",IFERROR(INDEX(Players!$C$5:$C$304,MATCH(D562,Players!$B$5:$B$304,0)),""))</f>
        <v/>
      </c>
      <c r="F562" s="22" t="str">
        <f aca="false">IF(D562="","",IF(COUNTIFS($B$5:$B$2004,B562,$D$5:$D$2004,D562)&gt;1,"DUPLICATE",IF(ISNA(MATCH(D562,Players!$B$5:$B$304,0)),"UID not found",IF(INDEX(Players!$H$5:$H$304,MATCH(D562,Players!$B$5:$B$304,0))&lt;0,"LOW BALANCE","OK"))))</f>
        <v/>
      </c>
      <c r="G562" s="1"/>
      <c r="H562" s="1"/>
      <c r="I562" s="1"/>
    </row>
    <row r="563" customFormat="false" ht="21.75" hidden="false" customHeight="true" outlineLevel="0" collapsed="false">
      <c r="A563" s="1"/>
      <c r="B563" s="16"/>
      <c r="C563" s="16"/>
      <c r="D563" s="15"/>
      <c r="E563" s="11" t="str">
        <f aca="false">IF(D563="","",IFERROR(INDEX(Players!$C$5:$C$304,MATCH(D563,Players!$B$5:$B$304,0)),""))</f>
        <v/>
      </c>
      <c r="F563" s="22" t="str">
        <f aca="false">IF(D563="","",IF(COUNTIFS($B$5:$B$2004,B563,$D$5:$D$2004,D563)&gt;1,"DUPLICATE",IF(ISNA(MATCH(D563,Players!$B$5:$B$304,0)),"UID not found",IF(INDEX(Players!$H$5:$H$304,MATCH(D563,Players!$B$5:$B$304,0))&lt;0,"LOW BALANCE","OK"))))</f>
        <v/>
      </c>
      <c r="G563" s="1"/>
      <c r="H563" s="1"/>
      <c r="I563" s="1"/>
    </row>
    <row r="564" customFormat="false" ht="21.75" hidden="false" customHeight="true" outlineLevel="0" collapsed="false">
      <c r="A564" s="1"/>
      <c r="B564" s="16"/>
      <c r="C564" s="16"/>
      <c r="D564" s="15"/>
      <c r="E564" s="11" t="str">
        <f aca="false">IF(D564="","",IFERROR(INDEX(Players!$C$5:$C$304,MATCH(D564,Players!$B$5:$B$304,0)),""))</f>
        <v/>
      </c>
      <c r="F564" s="22" t="str">
        <f aca="false">IF(D564="","",IF(COUNTIFS($B$5:$B$2004,B564,$D$5:$D$2004,D564)&gt;1,"DUPLICATE",IF(ISNA(MATCH(D564,Players!$B$5:$B$304,0)),"UID not found",IF(INDEX(Players!$H$5:$H$304,MATCH(D564,Players!$B$5:$B$304,0))&lt;0,"LOW BALANCE","OK"))))</f>
        <v/>
      </c>
      <c r="G564" s="1"/>
      <c r="H564" s="1"/>
      <c r="I564" s="1"/>
    </row>
    <row r="565" customFormat="false" ht="21.75" hidden="false" customHeight="true" outlineLevel="0" collapsed="false">
      <c r="A565" s="1"/>
      <c r="B565" s="16"/>
      <c r="C565" s="16"/>
      <c r="D565" s="15"/>
      <c r="E565" s="11" t="str">
        <f aca="false">IF(D565="","",IFERROR(INDEX(Players!$C$5:$C$304,MATCH(D565,Players!$B$5:$B$304,0)),""))</f>
        <v/>
      </c>
      <c r="F565" s="22" t="str">
        <f aca="false">IF(D565="","",IF(COUNTIFS($B$5:$B$2004,B565,$D$5:$D$2004,D565)&gt;1,"DUPLICATE",IF(ISNA(MATCH(D565,Players!$B$5:$B$304,0)),"UID not found",IF(INDEX(Players!$H$5:$H$304,MATCH(D565,Players!$B$5:$B$304,0))&lt;0,"LOW BALANCE","OK"))))</f>
        <v/>
      </c>
      <c r="G565" s="1"/>
      <c r="H565" s="1"/>
      <c r="I565" s="1"/>
    </row>
    <row r="566" customFormat="false" ht="21.75" hidden="false" customHeight="true" outlineLevel="0" collapsed="false">
      <c r="A566" s="1"/>
      <c r="B566" s="16"/>
      <c r="C566" s="16"/>
      <c r="D566" s="15"/>
      <c r="E566" s="11" t="str">
        <f aca="false">IF(D566="","",IFERROR(INDEX(Players!$C$5:$C$304,MATCH(D566,Players!$B$5:$B$304,0)),""))</f>
        <v/>
      </c>
      <c r="F566" s="22" t="str">
        <f aca="false">IF(D566="","",IF(COUNTIFS($B$5:$B$2004,B566,$D$5:$D$2004,D566)&gt;1,"DUPLICATE",IF(ISNA(MATCH(D566,Players!$B$5:$B$304,0)),"UID not found",IF(INDEX(Players!$H$5:$H$304,MATCH(D566,Players!$B$5:$B$304,0))&lt;0,"LOW BALANCE","OK"))))</f>
        <v/>
      </c>
      <c r="G566" s="1"/>
      <c r="H566" s="1"/>
      <c r="I566" s="1"/>
    </row>
    <row r="567" customFormat="false" ht="21.75" hidden="false" customHeight="true" outlineLevel="0" collapsed="false">
      <c r="A567" s="1"/>
      <c r="B567" s="16"/>
      <c r="C567" s="16"/>
      <c r="D567" s="15"/>
      <c r="E567" s="11" t="str">
        <f aca="false">IF(D567="","",IFERROR(INDEX(Players!$C$5:$C$304,MATCH(D567,Players!$B$5:$B$304,0)),""))</f>
        <v/>
      </c>
      <c r="F567" s="22" t="str">
        <f aca="false">IF(D567="","",IF(COUNTIFS($B$5:$B$2004,B567,$D$5:$D$2004,D567)&gt;1,"DUPLICATE",IF(ISNA(MATCH(D567,Players!$B$5:$B$304,0)),"UID not found",IF(INDEX(Players!$H$5:$H$304,MATCH(D567,Players!$B$5:$B$304,0))&lt;0,"LOW BALANCE","OK"))))</f>
        <v/>
      </c>
      <c r="G567" s="1"/>
      <c r="H567" s="1"/>
      <c r="I567" s="1"/>
    </row>
    <row r="568" customFormat="false" ht="21.75" hidden="false" customHeight="true" outlineLevel="0" collapsed="false">
      <c r="A568" s="1"/>
      <c r="B568" s="16"/>
      <c r="C568" s="16"/>
      <c r="D568" s="15"/>
      <c r="E568" s="11" t="str">
        <f aca="false">IF(D568="","",IFERROR(INDEX(Players!$C$5:$C$304,MATCH(D568,Players!$B$5:$B$304,0)),""))</f>
        <v/>
      </c>
      <c r="F568" s="22" t="str">
        <f aca="false">IF(D568="","",IF(COUNTIFS($B$5:$B$2004,B568,$D$5:$D$2004,D568)&gt;1,"DUPLICATE",IF(ISNA(MATCH(D568,Players!$B$5:$B$304,0)),"UID not found",IF(INDEX(Players!$H$5:$H$304,MATCH(D568,Players!$B$5:$B$304,0))&lt;0,"LOW BALANCE","OK"))))</f>
        <v/>
      </c>
      <c r="G568" s="1"/>
      <c r="H568" s="1"/>
      <c r="I568" s="1"/>
    </row>
    <row r="569" customFormat="false" ht="21.75" hidden="false" customHeight="true" outlineLevel="0" collapsed="false">
      <c r="A569" s="1"/>
      <c r="B569" s="16"/>
      <c r="C569" s="16"/>
      <c r="D569" s="15"/>
      <c r="E569" s="11" t="str">
        <f aca="false">IF(D569="","",IFERROR(INDEX(Players!$C$5:$C$304,MATCH(D569,Players!$B$5:$B$304,0)),""))</f>
        <v/>
      </c>
      <c r="F569" s="22" t="str">
        <f aca="false">IF(D569="","",IF(COUNTIFS($B$5:$B$2004,B569,$D$5:$D$2004,D569)&gt;1,"DUPLICATE",IF(ISNA(MATCH(D569,Players!$B$5:$B$304,0)),"UID not found",IF(INDEX(Players!$H$5:$H$304,MATCH(D569,Players!$B$5:$B$304,0))&lt;0,"LOW BALANCE","OK"))))</f>
        <v/>
      </c>
      <c r="G569" s="1"/>
      <c r="H569" s="1"/>
      <c r="I569" s="1"/>
    </row>
    <row r="570" customFormat="false" ht="21.75" hidden="false" customHeight="true" outlineLevel="0" collapsed="false">
      <c r="A570" s="1"/>
      <c r="B570" s="16"/>
      <c r="C570" s="16"/>
      <c r="D570" s="15"/>
      <c r="E570" s="11" t="str">
        <f aca="false">IF(D570="","",IFERROR(INDEX(Players!$C$5:$C$304,MATCH(D570,Players!$B$5:$B$304,0)),""))</f>
        <v/>
      </c>
      <c r="F570" s="22" t="str">
        <f aca="false">IF(D570="","",IF(COUNTIFS($B$5:$B$2004,B570,$D$5:$D$2004,D570)&gt;1,"DUPLICATE",IF(ISNA(MATCH(D570,Players!$B$5:$B$304,0)),"UID not found",IF(INDEX(Players!$H$5:$H$304,MATCH(D570,Players!$B$5:$B$304,0))&lt;0,"LOW BALANCE","OK"))))</f>
        <v/>
      </c>
      <c r="G570" s="1"/>
      <c r="H570" s="1"/>
      <c r="I570" s="1"/>
    </row>
    <row r="571" customFormat="false" ht="21.75" hidden="false" customHeight="true" outlineLevel="0" collapsed="false">
      <c r="A571" s="1"/>
      <c r="B571" s="16"/>
      <c r="C571" s="16"/>
      <c r="D571" s="15"/>
      <c r="E571" s="11" t="str">
        <f aca="false">IF(D571="","",IFERROR(INDEX(Players!$C$5:$C$304,MATCH(D571,Players!$B$5:$B$304,0)),""))</f>
        <v/>
      </c>
      <c r="F571" s="22" t="str">
        <f aca="false">IF(D571="","",IF(COUNTIFS($B$5:$B$2004,B571,$D$5:$D$2004,D571)&gt;1,"DUPLICATE",IF(ISNA(MATCH(D571,Players!$B$5:$B$304,0)),"UID not found",IF(INDEX(Players!$H$5:$H$304,MATCH(D571,Players!$B$5:$B$304,0))&lt;0,"LOW BALANCE","OK"))))</f>
        <v/>
      </c>
      <c r="G571" s="1"/>
      <c r="H571" s="1"/>
      <c r="I571" s="1"/>
    </row>
    <row r="572" customFormat="false" ht="21.75" hidden="false" customHeight="true" outlineLevel="0" collapsed="false">
      <c r="A572" s="1"/>
      <c r="B572" s="16"/>
      <c r="C572" s="16"/>
      <c r="D572" s="15"/>
      <c r="E572" s="11" t="str">
        <f aca="false">IF(D572="","",IFERROR(INDEX(Players!$C$5:$C$304,MATCH(D572,Players!$B$5:$B$304,0)),""))</f>
        <v/>
      </c>
      <c r="F572" s="22" t="str">
        <f aca="false">IF(D572="","",IF(COUNTIFS($B$5:$B$2004,B572,$D$5:$D$2004,D572)&gt;1,"DUPLICATE",IF(ISNA(MATCH(D572,Players!$B$5:$B$304,0)),"UID not found",IF(INDEX(Players!$H$5:$H$304,MATCH(D572,Players!$B$5:$B$304,0))&lt;0,"LOW BALANCE","OK"))))</f>
        <v/>
      </c>
      <c r="G572" s="1"/>
      <c r="H572" s="1"/>
      <c r="I572" s="1"/>
    </row>
    <row r="573" customFormat="false" ht="21.75" hidden="false" customHeight="true" outlineLevel="0" collapsed="false">
      <c r="A573" s="1"/>
      <c r="B573" s="16"/>
      <c r="C573" s="16"/>
      <c r="D573" s="15"/>
      <c r="E573" s="11" t="str">
        <f aca="false">IF(D573="","",IFERROR(INDEX(Players!$C$5:$C$304,MATCH(D573,Players!$B$5:$B$304,0)),""))</f>
        <v/>
      </c>
      <c r="F573" s="22" t="str">
        <f aca="false">IF(D573="","",IF(COUNTIFS($B$5:$B$2004,B573,$D$5:$D$2004,D573)&gt;1,"DUPLICATE",IF(ISNA(MATCH(D573,Players!$B$5:$B$304,0)),"UID not found",IF(INDEX(Players!$H$5:$H$304,MATCH(D573,Players!$B$5:$B$304,0))&lt;0,"LOW BALANCE","OK"))))</f>
        <v/>
      </c>
      <c r="G573" s="1"/>
      <c r="H573" s="1"/>
      <c r="I573" s="1"/>
    </row>
    <row r="574" customFormat="false" ht="21.75" hidden="false" customHeight="true" outlineLevel="0" collapsed="false">
      <c r="A574" s="1"/>
      <c r="B574" s="16"/>
      <c r="C574" s="16"/>
      <c r="D574" s="15"/>
      <c r="E574" s="11" t="str">
        <f aca="false">IF(D574="","",IFERROR(INDEX(Players!$C$5:$C$304,MATCH(D574,Players!$B$5:$B$304,0)),""))</f>
        <v/>
      </c>
      <c r="F574" s="22" t="str">
        <f aca="false">IF(D574="","",IF(COUNTIFS($B$5:$B$2004,B574,$D$5:$D$2004,D574)&gt;1,"DUPLICATE",IF(ISNA(MATCH(D574,Players!$B$5:$B$304,0)),"UID not found",IF(INDEX(Players!$H$5:$H$304,MATCH(D574,Players!$B$5:$B$304,0))&lt;0,"LOW BALANCE","OK"))))</f>
        <v/>
      </c>
      <c r="G574" s="1"/>
      <c r="H574" s="1"/>
      <c r="I574" s="1"/>
    </row>
    <row r="575" customFormat="false" ht="21.75" hidden="false" customHeight="true" outlineLevel="0" collapsed="false">
      <c r="A575" s="1"/>
      <c r="B575" s="16"/>
      <c r="C575" s="16"/>
      <c r="D575" s="15"/>
      <c r="E575" s="11" t="str">
        <f aca="false">IF(D575="","",IFERROR(INDEX(Players!$C$5:$C$304,MATCH(D575,Players!$B$5:$B$304,0)),""))</f>
        <v/>
      </c>
      <c r="F575" s="22" t="str">
        <f aca="false">IF(D575="","",IF(COUNTIFS($B$5:$B$2004,B575,$D$5:$D$2004,D575)&gt;1,"DUPLICATE",IF(ISNA(MATCH(D575,Players!$B$5:$B$304,0)),"UID not found",IF(INDEX(Players!$H$5:$H$304,MATCH(D575,Players!$B$5:$B$304,0))&lt;0,"LOW BALANCE","OK"))))</f>
        <v/>
      </c>
      <c r="G575" s="1"/>
      <c r="H575" s="1"/>
      <c r="I575" s="1"/>
    </row>
    <row r="576" customFormat="false" ht="21.75" hidden="false" customHeight="true" outlineLevel="0" collapsed="false">
      <c r="A576" s="1"/>
      <c r="B576" s="16"/>
      <c r="C576" s="16"/>
      <c r="D576" s="15"/>
      <c r="E576" s="11" t="str">
        <f aca="false">IF(D576="","",IFERROR(INDEX(Players!$C$5:$C$304,MATCH(D576,Players!$B$5:$B$304,0)),""))</f>
        <v/>
      </c>
      <c r="F576" s="22" t="str">
        <f aca="false">IF(D576="","",IF(COUNTIFS($B$5:$B$2004,B576,$D$5:$D$2004,D576)&gt;1,"DUPLICATE",IF(ISNA(MATCH(D576,Players!$B$5:$B$304,0)),"UID not found",IF(INDEX(Players!$H$5:$H$304,MATCH(D576,Players!$B$5:$B$304,0))&lt;0,"LOW BALANCE","OK"))))</f>
        <v/>
      </c>
      <c r="G576" s="1"/>
      <c r="H576" s="1"/>
      <c r="I576" s="1"/>
    </row>
    <row r="577" customFormat="false" ht="21.75" hidden="false" customHeight="true" outlineLevel="0" collapsed="false">
      <c r="A577" s="1"/>
      <c r="B577" s="16"/>
      <c r="C577" s="16"/>
      <c r="D577" s="15"/>
      <c r="E577" s="11" t="str">
        <f aca="false">IF(D577="","",IFERROR(INDEX(Players!$C$5:$C$304,MATCH(D577,Players!$B$5:$B$304,0)),""))</f>
        <v/>
      </c>
      <c r="F577" s="22" t="str">
        <f aca="false">IF(D577="","",IF(COUNTIFS($B$5:$B$2004,B577,$D$5:$D$2004,D577)&gt;1,"DUPLICATE",IF(ISNA(MATCH(D577,Players!$B$5:$B$304,0)),"UID not found",IF(INDEX(Players!$H$5:$H$304,MATCH(D577,Players!$B$5:$B$304,0))&lt;0,"LOW BALANCE","OK"))))</f>
        <v/>
      </c>
      <c r="G577" s="1"/>
      <c r="H577" s="1"/>
      <c r="I577" s="1"/>
    </row>
    <row r="578" customFormat="false" ht="21.75" hidden="false" customHeight="true" outlineLevel="0" collapsed="false">
      <c r="A578" s="1"/>
      <c r="B578" s="16"/>
      <c r="C578" s="16"/>
      <c r="D578" s="15"/>
      <c r="E578" s="11" t="str">
        <f aca="false">IF(D578="","",IFERROR(INDEX(Players!$C$5:$C$304,MATCH(D578,Players!$B$5:$B$304,0)),""))</f>
        <v/>
      </c>
      <c r="F578" s="22" t="str">
        <f aca="false">IF(D578="","",IF(COUNTIFS($B$5:$B$2004,B578,$D$5:$D$2004,D578)&gt;1,"DUPLICATE",IF(ISNA(MATCH(D578,Players!$B$5:$B$304,0)),"UID not found",IF(INDEX(Players!$H$5:$H$304,MATCH(D578,Players!$B$5:$B$304,0))&lt;0,"LOW BALANCE","OK"))))</f>
        <v/>
      </c>
      <c r="G578" s="1"/>
      <c r="H578" s="1"/>
      <c r="I578" s="1"/>
    </row>
    <row r="579" customFormat="false" ht="21.75" hidden="false" customHeight="true" outlineLevel="0" collapsed="false">
      <c r="A579" s="1"/>
      <c r="B579" s="16"/>
      <c r="C579" s="16"/>
      <c r="D579" s="15"/>
      <c r="E579" s="11" t="str">
        <f aca="false">IF(D579="","",IFERROR(INDEX(Players!$C$5:$C$304,MATCH(D579,Players!$B$5:$B$304,0)),""))</f>
        <v/>
      </c>
      <c r="F579" s="22" t="str">
        <f aca="false">IF(D579="","",IF(COUNTIFS($B$5:$B$2004,B579,$D$5:$D$2004,D579)&gt;1,"DUPLICATE",IF(ISNA(MATCH(D579,Players!$B$5:$B$304,0)),"UID not found",IF(INDEX(Players!$H$5:$H$304,MATCH(D579,Players!$B$5:$B$304,0))&lt;0,"LOW BALANCE","OK"))))</f>
        <v/>
      </c>
      <c r="G579" s="1"/>
      <c r="H579" s="1"/>
      <c r="I579" s="1"/>
    </row>
    <row r="580" customFormat="false" ht="21.75" hidden="false" customHeight="true" outlineLevel="0" collapsed="false">
      <c r="A580" s="1"/>
      <c r="B580" s="16"/>
      <c r="C580" s="16"/>
      <c r="D580" s="15"/>
      <c r="E580" s="11" t="str">
        <f aca="false">IF(D580="","",IFERROR(INDEX(Players!$C$5:$C$304,MATCH(D580,Players!$B$5:$B$304,0)),""))</f>
        <v/>
      </c>
      <c r="F580" s="22" t="str">
        <f aca="false">IF(D580="","",IF(COUNTIFS($B$5:$B$2004,B580,$D$5:$D$2004,D580)&gt;1,"DUPLICATE",IF(ISNA(MATCH(D580,Players!$B$5:$B$304,0)),"UID not found",IF(INDEX(Players!$H$5:$H$304,MATCH(D580,Players!$B$5:$B$304,0))&lt;0,"LOW BALANCE","OK"))))</f>
        <v/>
      </c>
      <c r="G580" s="1"/>
      <c r="H580" s="1"/>
      <c r="I580" s="1"/>
    </row>
    <row r="581" customFormat="false" ht="21.75" hidden="false" customHeight="true" outlineLevel="0" collapsed="false">
      <c r="A581" s="1"/>
      <c r="B581" s="16"/>
      <c r="C581" s="16"/>
      <c r="D581" s="15"/>
      <c r="E581" s="11" t="str">
        <f aca="false">IF(D581="","",IFERROR(INDEX(Players!$C$5:$C$304,MATCH(D581,Players!$B$5:$B$304,0)),""))</f>
        <v/>
      </c>
      <c r="F581" s="22" t="str">
        <f aca="false">IF(D581="","",IF(COUNTIFS($B$5:$B$2004,B581,$D$5:$D$2004,D581)&gt;1,"DUPLICATE",IF(ISNA(MATCH(D581,Players!$B$5:$B$304,0)),"UID not found",IF(INDEX(Players!$H$5:$H$304,MATCH(D581,Players!$B$5:$B$304,0))&lt;0,"LOW BALANCE","OK"))))</f>
        <v/>
      </c>
      <c r="G581" s="1"/>
      <c r="H581" s="1"/>
      <c r="I581" s="1"/>
    </row>
    <row r="582" customFormat="false" ht="21.75" hidden="false" customHeight="true" outlineLevel="0" collapsed="false">
      <c r="A582" s="1"/>
      <c r="B582" s="16"/>
      <c r="C582" s="16"/>
      <c r="D582" s="15"/>
      <c r="E582" s="11" t="str">
        <f aca="false">IF(D582="","",IFERROR(INDEX(Players!$C$5:$C$304,MATCH(D582,Players!$B$5:$B$304,0)),""))</f>
        <v/>
      </c>
      <c r="F582" s="22" t="str">
        <f aca="false">IF(D582="","",IF(COUNTIFS($B$5:$B$2004,B582,$D$5:$D$2004,D582)&gt;1,"DUPLICATE",IF(ISNA(MATCH(D582,Players!$B$5:$B$304,0)),"UID not found",IF(INDEX(Players!$H$5:$H$304,MATCH(D582,Players!$B$5:$B$304,0))&lt;0,"LOW BALANCE","OK"))))</f>
        <v/>
      </c>
      <c r="G582" s="1"/>
      <c r="H582" s="1"/>
      <c r="I582" s="1"/>
    </row>
    <row r="583" customFormat="false" ht="21.75" hidden="false" customHeight="true" outlineLevel="0" collapsed="false">
      <c r="A583" s="1"/>
      <c r="B583" s="16"/>
      <c r="C583" s="16"/>
      <c r="D583" s="15"/>
      <c r="E583" s="11" t="str">
        <f aca="false">IF(D583="","",IFERROR(INDEX(Players!$C$5:$C$304,MATCH(D583,Players!$B$5:$B$304,0)),""))</f>
        <v/>
      </c>
      <c r="F583" s="22" t="str">
        <f aca="false">IF(D583="","",IF(COUNTIFS($B$5:$B$2004,B583,$D$5:$D$2004,D583)&gt;1,"DUPLICATE",IF(ISNA(MATCH(D583,Players!$B$5:$B$304,0)),"UID not found",IF(INDEX(Players!$H$5:$H$304,MATCH(D583,Players!$B$5:$B$304,0))&lt;0,"LOW BALANCE","OK"))))</f>
        <v/>
      </c>
      <c r="G583" s="1"/>
      <c r="H583" s="1"/>
      <c r="I583" s="1"/>
    </row>
    <row r="584" customFormat="false" ht="21.75" hidden="false" customHeight="true" outlineLevel="0" collapsed="false">
      <c r="A584" s="1"/>
      <c r="B584" s="16"/>
      <c r="C584" s="16"/>
      <c r="D584" s="15"/>
      <c r="E584" s="11" t="str">
        <f aca="false">IF(D584="","",IFERROR(INDEX(Players!$C$5:$C$304,MATCH(D584,Players!$B$5:$B$304,0)),""))</f>
        <v/>
      </c>
      <c r="F584" s="22" t="str">
        <f aca="false">IF(D584="","",IF(COUNTIFS($B$5:$B$2004,B584,$D$5:$D$2004,D584)&gt;1,"DUPLICATE",IF(ISNA(MATCH(D584,Players!$B$5:$B$304,0)),"UID not found",IF(INDEX(Players!$H$5:$H$304,MATCH(D584,Players!$B$5:$B$304,0))&lt;0,"LOW BALANCE","OK"))))</f>
        <v/>
      </c>
      <c r="G584" s="1"/>
      <c r="H584" s="1"/>
      <c r="I584" s="1"/>
    </row>
    <row r="585" customFormat="false" ht="21.75" hidden="false" customHeight="true" outlineLevel="0" collapsed="false">
      <c r="A585" s="1"/>
      <c r="B585" s="16"/>
      <c r="C585" s="16"/>
      <c r="D585" s="15"/>
      <c r="E585" s="11" t="str">
        <f aca="false">IF(D585="","",IFERROR(INDEX(Players!$C$5:$C$304,MATCH(D585,Players!$B$5:$B$304,0)),""))</f>
        <v/>
      </c>
      <c r="F585" s="22" t="str">
        <f aca="false">IF(D585="","",IF(COUNTIFS($B$5:$B$2004,B585,$D$5:$D$2004,D585)&gt;1,"DUPLICATE",IF(ISNA(MATCH(D585,Players!$B$5:$B$304,0)),"UID not found",IF(INDEX(Players!$H$5:$H$304,MATCH(D585,Players!$B$5:$B$304,0))&lt;0,"LOW BALANCE","OK"))))</f>
        <v/>
      </c>
      <c r="G585" s="1"/>
      <c r="H585" s="1"/>
      <c r="I585" s="1"/>
    </row>
    <row r="586" customFormat="false" ht="21.75" hidden="false" customHeight="true" outlineLevel="0" collapsed="false">
      <c r="A586" s="1"/>
      <c r="B586" s="16"/>
      <c r="C586" s="16"/>
      <c r="D586" s="15"/>
      <c r="E586" s="11" t="str">
        <f aca="false">IF(D586="","",IFERROR(INDEX(Players!$C$5:$C$304,MATCH(D586,Players!$B$5:$B$304,0)),""))</f>
        <v/>
      </c>
      <c r="F586" s="22" t="str">
        <f aca="false">IF(D586="","",IF(COUNTIFS($B$5:$B$2004,B586,$D$5:$D$2004,D586)&gt;1,"DUPLICATE",IF(ISNA(MATCH(D586,Players!$B$5:$B$304,0)),"UID not found",IF(INDEX(Players!$H$5:$H$304,MATCH(D586,Players!$B$5:$B$304,0))&lt;0,"LOW BALANCE","OK"))))</f>
        <v/>
      </c>
      <c r="G586" s="1"/>
      <c r="H586" s="1"/>
      <c r="I586" s="1"/>
    </row>
    <row r="587" customFormat="false" ht="21.75" hidden="false" customHeight="true" outlineLevel="0" collapsed="false">
      <c r="A587" s="1"/>
      <c r="B587" s="16"/>
      <c r="C587" s="16"/>
      <c r="D587" s="15"/>
      <c r="E587" s="11" t="str">
        <f aca="false">IF(D587="","",IFERROR(INDEX(Players!$C$5:$C$304,MATCH(D587,Players!$B$5:$B$304,0)),""))</f>
        <v/>
      </c>
      <c r="F587" s="22" t="str">
        <f aca="false">IF(D587="","",IF(COUNTIFS($B$5:$B$2004,B587,$D$5:$D$2004,D587)&gt;1,"DUPLICATE",IF(ISNA(MATCH(D587,Players!$B$5:$B$304,0)),"UID not found",IF(INDEX(Players!$H$5:$H$304,MATCH(D587,Players!$B$5:$B$304,0))&lt;0,"LOW BALANCE","OK"))))</f>
        <v/>
      </c>
      <c r="G587" s="1"/>
      <c r="H587" s="1"/>
      <c r="I587" s="1"/>
    </row>
    <row r="588" customFormat="false" ht="21.75" hidden="false" customHeight="true" outlineLevel="0" collapsed="false">
      <c r="A588" s="1"/>
      <c r="B588" s="16"/>
      <c r="C588" s="16"/>
      <c r="D588" s="15"/>
      <c r="E588" s="11" t="str">
        <f aca="false">IF(D588="","",IFERROR(INDEX(Players!$C$5:$C$304,MATCH(D588,Players!$B$5:$B$304,0)),""))</f>
        <v/>
      </c>
      <c r="F588" s="22" t="str">
        <f aca="false">IF(D588="","",IF(COUNTIFS($B$5:$B$2004,B588,$D$5:$D$2004,D588)&gt;1,"DUPLICATE",IF(ISNA(MATCH(D588,Players!$B$5:$B$304,0)),"UID not found",IF(INDEX(Players!$H$5:$H$304,MATCH(D588,Players!$B$5:$B$304,0))&lt;0,"LOW BALANCE","OK"))))</f>
        <v/>
      </c>
      <c r="G588" s="1"/>
      <c r="H588" s="1"/>
      <c r="I588" s="1"/>
    </row>
    <row r="589" customFormat="false" ht="21.75" hidden="false" customHeight="true" outlineLevel="0" collapsed="false">
      <c r="A589" s="1"/>
      <c r="B589" s="16"/>
      <c r="C589" s="16"/>
      <c r="D589" s="15"/>
      <c r="E589" s="11" t="str">
        <f aca="false">IF(D589="","",IFERROR(INDEX(Players!$C$5:$C$304,MATCH(D589,Players!$B$5:$B$304,0)),""))</f>
        <v/>
      </c>
      <c r="F589" s="22" t="str">
        <f aca="false">IF(D589="","",IF(COUNTIFS($B$5:$B$2004,B589,$D$5:$D$2004,D589)&gt;1,"DUPLICATE",IF(ISNA(MATCH(D589,Players!$B$5:$B$304,0)),"UID not found",IF(INDEX(Players!$H$5:$H$304,MATCH(D589,Players!$B$5:$B$304,0))&lt;0,"LOW BALANCE","OK"))))</f>
        <v/>
      </c>
      <c r="G589" s="1"/>
      <c r="H589" s="1"/>
      <c r="I589" s="1"/>
    </row>
    <row r="590" customFormat="false" ht="21.75" hidden="false" customHeight="true" outlineLevel="0" collapsed="false">
      <c r="A590" s="1"/>
      <c r="B590" s="16"/>
      <c r="C590" s="16"/>
      <c r="D590" s="15"/>
      <c r="E590" s="11" t="str">
        <f aca="false">IF(D590="","",IFERROR(INDEX(Players!$C$5:$C$304,MATCH(D590,Players!$B$5:$B$304,0)),""))</f>
        <v/>
      </c>
      <c r="F590" s="22" t="str">
        <f aca="false">IF(D590="","",IF(COUNTIFS($B$5:$B$2004,B590,$D$5:$D$2004,D590)&gt;1,"DUPLICATE",IF(ISNA(MATCH(D590,Players!$B$5:$B$304,0)),"UID not found",IF(INDEX(Players!$H$5:$H$304,MATCH(D590,Players!$B$5:$B$304,0))&lt;0,"LOW BALANCE","OK"))))</f>
        <v/>
      </c>
      <c r="G590" s="1"/>
      <c r="H590" s="1"/>
      <c r="I590" s="1"/>
    </row>
    <row r="591" customFormat="false" ht="21.75" hidden="false" customHeight="true" outlineLevel="0" collapsed="false">
      <c r="A591" s="1"/>
      <c r="B591" s="16"/>
      <c r="C591" s="16"/>
      <c r="D591" s="15"/>
      <c r="E591" s="11" t="str">
        <f aca="false">IF(D591="","",IFERROR(INDEX(Players!$C$5:$C$304,MATCH(D591,Players!$B$5:$B$304,0)),""))</f>
        <v/>
      </c>
      <c r="F591" s="22" t="str">
        <f aca="false">IF(D591="","",IF(COUNTIFS($B$5:$B$2004,B591,$D$5:$D$2004,D591)&gt;1,"DUPLICATE",IF(ISNA(MATCH(D591,Players!$B$5:$B$304,0)),"UID not found",IF(INDEX(Players!$H$5:$H$304,MATCH(D591,Players!$B$5:$B$304,0))&lt;0,"LOW BALANCE","OK"))))</f>
        <v/>
      </c>
      <c r="G591" s="1"/>
      <c r="H591" s="1"/>
      <c r="I591" s="1"/>
    </row>
    <row r="592" customFormat="false" ht="21.75" hidden="false" customHeight="true" outlineLevel="0" collapsed="false">
      <c r="A592" s="1"/>
      <c r="B592" s="16"/>
      <c r="C592" s="16"/>
      <c r="D592" s="15"/>
      <c r="E592" s="11" t="str">
        <f aca="false">IF(D592="","",IFERROR(INDEX(Players!$C$5:$C$304,MATCH(D592,Players!$B$5:$B$304,0)),""))</f>
        <v/>
      </c>
      <c r="F592" s="22" t="str">
        <f aca="false">IF(D592="","",IF(COUNTIFS($B$5:$B$2004,B592,$D$5:$D$2004,D592)&gt;1,"DUPLICATE",IF(ISNA(MATCH(D592,Players!$B$5:$B$304,0)),"UID not found",IF(INDEX(Players!$H$5:$H$304,MATCH(D592,Players!$B$5:$B$304,0))&lt;0,"LOW BALANCE","OK"))))</f>
        <v/>
      </c>
      <c r="G592" s="1"/>
      <c r="H592" s="1"/>
      <c r="I592" s="1"/>
    </row>
    <row r="593" customFormat="false" ht="21.75" hidden="false" customHeight="true" outlineLevel="0" collapsed="false">
      <c r="A593" s="1"/>
      <c r="B593" s="16"/>
      <c r="C593" s="16"/>
      <c r="D593" s="15"/>
      <c r="E593" s="11" t="str">
        <f aca="false">IF(D593="","",IFERROR(INDEX(Players!$C$5:$C$304,MATCH(D593,Players!$B$5:$B$304,0)),""))</f>
        <v/>
      </c>
      <c r="F593" s="22" t="str">
        <f aca="false">IF(D593="","",IF(COUNTIFS($B$5:$B$2004,B593,$D$5:$D$2004,D593)&gt;1,"DUPLICATE",IF(ISNA(MATCH(D593,Players!$B$5:$B$304,0)),"UID not found",IF(INDEX(Players!$H$5:$H$304,MATCH(D593,Players!$B$5:$B$304,0))&lt;0,"LOW BALANCE","OK"))))</f>
        <v/>
      </c>
      <c r="G593" s="1"/>
      <c r="H593" s="1"/>
      <c r="I593" s="1"/>
    </row>
    <row r="594" customFormat="false" ht="21.75" hidden="false" customHeight="true" outlineLevel="0" collapsed="false">
      <c r="A594" s="1"/>
      <c r="B594" s="16"/>
      <c r="C594" s="16"/>
      <c r="D594" s="15"/>
      <c r="E594" s="11" t="str">
        <f aca="false">IF(D594="","",IFERROR(INDEX(Players!$C$5:$C$304,MATCH(D594,Players!$B$5:$B$304,0)),""))</f>
        <v/>
      </c>
      <c r="F594" s="22" t="str">
        <f aca="false">IF(D594="","",IF(COUNTIFS($B$5:$B$2004,B594,$D$5:$D$2004,D594)&gt;1,"DUPLICATE",IF(ISNA(MATCH(D594,Players!$B$5:$B$304,0)),"UID not found",IF(INDEX(Players!$H$5:$H$304,MATCH(D594,Players!$B$5:$B$304,0))&lt;0,"LOW BALANCE","OK"))))</f>
        <v/>
      </c>
      <c r="G594" s="1"/>
      <c r="H594" s="1"/>
      <c r="I594" s="1"/>
    </row>
    <row r="595" customFormat="false" ht="21.75" hidden="false" customHeight="true" outlineLevel="0" collapsed="false">
      <c r="A595" s="1"/>
      <c r="B595" s="16"/>
      <c r="C595" s="16"/>
      <c r="D595" s="15"/>
      <c r="E595" s="11" t="str">
        <f aca="false">IF(D595="","",IFERROR(INDEX(Players!$C$5:$C$304,MATCH(D595,Players!$B$5:$B$304,0)),""))</f>
        <v/>
      </c>
      <c r="F595" s="22" t="str">
        <f aca="false">IF(D595="","",IF(COUNTIFS($B$5:$B$2004,B595,$D$5:$D$2004,D595)&gt;1,"DUPLICATE",IF(ISNA(MATCH(D595,Players!$B$5:$B$304,0)),"UID not found",IF(INDEX(Players!$H$5:$H$304,MATCH(D595,Players!$B$5:$B$304,0))&lt;0,"LOW BALANCE","OK"))))</f>
        <v/>
      </c>
      <c r="G595" s="1"/>
      <c r="H595" s="1"/>
      <c r="I595" s="1"/>
    </row>
    <row r="596" customFormat="false" ht="21.75" hidden="false" customHeight="true" outlineLevel="0" collapsed="false">
      <c r="A596" s="1"/>
      <c r="B596" s="16"/>
      <c r="C596" s="16"/>
      <c r="D596" s="15"/>
      <c r="E596" s="11" t="str">
        <f aca="false">IF(D596="","",IFERROR(INDEX(Players!$C$5:$C$304,MATCH(D596,Players!$B$5:$B$304,0)),""))</f>
        <v/>
      </c>
      <c r="F596" s="22" t="str">
        <f aca="false">IF(D596="","",IF(COUNTIFS($B$5:$B$2004,B596,$D$5:$D$2004,D596)&gt;1,"DUPLICATE",IF(ISNA(MATCH(D596,Players!$B$5:$B$304,0)),"UID not found",IF(INDEX(Players!$H$5:$H$304,MATCH(D596,Players!$B$5:$B$304,0))&lt;0,"LOW BALANCE","OK"))))</f>
        <v/>
      </c>
      <c r="G596" s="1"/>
      <c r="H596" s="1"/>
      <c r="I596" s="1"/>
    </row>
    <row r="597" customFormat="false" ht="21.75" hidden="false" customHeight="true" outlineLevel="0" collapsed="false">
      <c r="A597" s="1"/>
      <c r="B597" s="16"/>
      <c r="C597" s="16"/>
      <c r="D597" s="15"/>
      <c r="E597" s="11" t="str">
        <f aca="false">IF(D597="","",IFERROR(INDEX(Players!$C$5:$C$304,MATCH(D597,Players!$B$5:$B$304,0)),""))</f>
        <v/>
      </c>
      <c r="F597" s="22" t="str">
        <f aca="false">IF(D597="","",IF(COUNTIFS($B$5:$B$2004,B597,$D$5:$D$2004,D597)&gt;1,"DUPLICATE",IF(ISNA(MATCH(D597,Players!$B$5:$B$304,0)),"UID not found",IF(INDEX(Players!$H$5:$H$304,MATCH(D597,Players!$B$5:$B$304,0))&lt;0,"LOW BALANCE","OK"))))</f>
        <v/>
      </c>
      <c r="G597" s="1"/>
      <c r="H597" s="1"/>
      <c r="I597" s="1"/>
    </row>
    <row r="598" customFormat="false" ht="21.75" hidden="false" customHeight="true" outlineLevel="0" collapsed="false">
      <c r="A598" s="1"/>
      <c r="B598" s="16"/>
      <c r="C598" s="16"/>
      <c r="D598" s="15"/>
      <c r="E598" s="11" t="str">
        <f aca="false">IF(D598="","",IFERROR(INDEX(Players!$C$5:$C$304,MATCH(D598,Players!$B$5:$B$304,0)),""))</f>
        <v/>
      </c>
      <c r="F598" s="22" t="str">
        <f aca="false">IF(D598="","",IF(COUNTIFS($B$5:$B$2004,B598,$D$5:$D$2004,D598)&gt;1,"DUPLICATE",IF(ISNA(MATCH(D598,Players!$B$5:$B$304,0)),"UID not found",IF(INDEX(Players!$H$5:$H$304,MATCH(D598,Players!$B$5:$B$304,0))&lt;0,"LOW BALANCE","OK"))))</f>
        <v/>
      </c>
      <c r="G598" s="1"/>
      <c r="H598" s="1"/>
      <c r="I598" s="1"/>
    </row>
    <row r="599" customFormat="false" ht="21.75" hidden="false" customHeight="true" outlineLevel="0" collapsed="false">
      <c r="A599" s="1"/>
      <c r="B599" s="16"/>
      <c r="C599" s="16"/>
      <c r="D599" s="15"/>
      <c r="E599" s="11" t="str">
        <f aca="false">IF(D599="","",IFERROR(INDEX(Players!$C$5:$C$304,MATCH(D599,Players!$B$5:$B$304,0)),""))</f>
        <v/>
      </c>
      <c r="F599" s="22" t="str">
        <f aca="false">IF(D599="","",IF(COUNTIFS($B$5:$B$2004,B599,$D$5:$D$2004,D599)&gt;1,"DUPLICATE",IF(ISNA(MATCH(D599,Players!$B$5:$B$304,0)),"UID not found",IF(INDEX(Players!$H$5:$H$304,MATCH(D599,Players!$B$5:$B$304,0))&lt;0,"LOW BALANCE","OK"))))</f>
        <v/>
      </c>
      <c r="G599" s="1"/>
      <c r="H599" s="1"/>
      <c r="I599" s="1"/>
    </row>
    <row r="600" customFormat="false" ht="21.75" hidden="false" customHeight="true" outlineLevel="0" collapsed="false">
      <c r="A600" s="1"/>
      <c r="B600" s="16"/>
      <c r="C600" s="16"/>
      <c r="D600" s="15"/>
      <c r="E600" s="11" t="str">
        <f aca="false">IF(D600="","",IFERROR(INDEX(Players!$C$5:$C$304,MATCH(D600,Players!$B$5:$B$304,0)),""))</f>
        <v/>
      </c>
      <c r="F600" s="22" t="str">
        <f aca="false">IF(D600="","",IF(COUNTIFS($B$5:$B$2004,B600,$D$5:$D$2004,D600)&gt;1,"DUPLICATE",IF(ISNA(MATCH(D600,Players!$B$5:$B$304,0)),"UID not found",IF(INDEX(Players!$H$5:$H$304,MATCH(D600,Players!$B$5:$B$304,0))&lt;0,"LOW BALANCE","OK"))))</f>
        <v/>
      </c>
      <c r="G600" s="1"/>
      <c r="H600" s="1"/>
      <c r="I600" s="1"/>
    </row>
    <row r="601" customFormat="false" ht="21.75" hidden="false" customHeight="true" outlineLevel="0" collapsed="false">
      <c r="A601" s="1"/>
      <c r="B601" s="16"/>
      <c r="C601" s="16"/>
      <c r="D601" s="15"/>
      <c r="E601" s="11" t="str">
        <f aca="false">IF(D601="","",IFERROR(INDEX(Players!$C$5:$C$304,MATCH(D601,Players!$B$5:$B$304,0)),""))</f>
        <v/>
      </c>
      <c r="F601" s="22" t="str">
        <f aca="false">IF(D601="","",IF(COUNTIFS($B$5:$B$2004,B601,$D$5:$D$2004,D601)&gt;1,"DUPLICATE",IF(ISNA(MATCH(D601,Players!$B$5:$B$304,0)),"UID not found",IF(INDEX(Players!$H$5:$H$304,MATCH(D601,Players!$B$5:$B$304,0))&lt;0,"LOW BALANCE","OK"))))</f>
        <v/>
      </c>
      <c r="G601" s="1"/>
      <c r="H601" s="1"/>
      <c r="I601" s="1"/>
    </row>
    <row r="602" customFormat="false" ht="21.75" hidden="false" customHeight="true" outlineLevel="0" collapsed="false">
      <c r="A602" s="1"/>
      <c r="B602" s="16"/>
      <c r="C602" s="16"/>
      <c r="D602" s="15"/>
      <c r="E602" s="11" t="str">
        <f aca="false">IF(D602="","",IFERROR(INDEX(Players!$C$5:$C$304,MATCH(D602,Players!$B$5:$B$304,0)),""))</f>
        <v/>
      </c>
      <c r="F602" s="22" t="str">
        <f aca="false">IF(D602="","",IF(COUNTIFS($B$5:$B$2004,B602,$D$5:$D$2004,D602)&gt;1,"DUPLICATE",IF(ISNA(MATCH(D602,Players!$B$5:$B$304,0)),"UID not found",IF(INDEX(Players!$H$5:$H$304,MATCH(D602,Players!$B$5:$B$304,0))&lt;0,"LOW BALANCE","OK"))))</f>
        <v/>
      </c>
      <c r="G602" s="1"/>
      <c r="H602" s="1"/>
      <c r="I602" s="1"/>
    </row>
    <row r="603" customFormat="false" ht="21.75" hidden="false" customHeight="true" outlineLevel="0" collapsed="false">
      <c r="A603" s="1"/>
      <c r="B603" s="16"/>
      <c r="C603" s="16"/>
      <c r="D603" s="15"/>
      <c r="E603" s="11" t="str">
        <f aca="false">IF(D603="","",IFERROR(INDEX(Players!$C$5:$C$304,MATCH(D603,Players!$B$5:$B$304,0)),""))</f>
        <v/>
      </c>
      <c r="F603" s="22" t="str">
        <f aca="false">IF(D603="","",IF(COUNTIFS($B$5:$B$2004,B603,$D$5:$D$2004,D603)&gt;1,"DUPLICATE",IF(ISNA(MATCH(D603,Players!$B$5:$B$304,0)),"UID not found",IF(INDEX(Players!$H$5:$H$304,MATCH(D603,Players!$B$5:$B$304,0))&lt;0,"LOW BALANCE","OK"))))</f>
        <v/>
      </c>
      <c r="G603" s="1"/>
      <c r="H603" s="1"/>
      <c r="I603" s="1"/>
    </row>
    <row r="604" customFormat="false" ht="21.75" hidden="false" customHeight="true" outlineLevel="0" collapsed="false">
      <c r="A604" s="1"/>
      <c r="B604" s="16"/>
      <c r="C604" s="16"/>
      <c r="D604" s="15"/>
      <c r="E604" s="11" t="str">
        <f aca="false">IF(D604="","",IFERROR(INDEX(Players!$C$5:$C$304,MATCH(D604,Players!$B$5:$B$304,0)),""))</f>
        <v/>
      </c>
      <c r="F604" s="22" t="str">
        <f aca="false">IF(D604="","",IF(COUNTIFS($B$5:$B$2004,B604,$D$5:$D$2004,D604)&gt;1,"DUPLICATE",IF(ISNA(MATCH(D604,Players!$B$5:$B$304,0)),"UID not found",IF(INDEX(Players!$H$5:$H$304,MATCH(D604,Players!$B$5:$B$304,0))&lt;0,"LOW BALANCE","OK"))))</f>
        <v/>
      </c>
      <c r="G604" s="1"/>
      <c r="H604" s="1"/>
      <c r="I604" s="1"/>
    </row>
    <row r="605" customFormat="false" ht="21.75" hidden="false" customHeight="true" outlineLevel="0" collapsed="false">
      <c r="A605" s="1"/>
      <c r="B605" s="16"/>
      <c r="C605" s="16"/>
      <c r="D605" s="15"/>
      <c r="E605" s="11" t="str">
        <f aca="false">IF(D605="","",IFERROR(INDEX(Players!$C$5:$C$304,MATCH(D605,Players!$B$5:$B$304,0)),""))</f>
        <v/>
      </c>
      <c r="F605" s="22" t="str">
        <f aca="false">IF(D605="","",IF(COUNTIFS($B$5:$B$2004,B605,$D$5:$D$2004,D605)&gt;1,"DUPLICATE",IF(ISNA(MATCH(D605,Players!$B$5:$B$304,0)),"UID not found",IF(INDEX(Players!$H$5:$H$304,MATCH(D605,Players!$B$5:$B$304,0))&lt;0,"LOW BALANCE","OK"))))</f>
        <v/>
      </c>
      <c r="G605" s="1"/>
      <c r="H605" s="1"/>
      <c r="I605" s="1"/>
    </row>
    <row r="606" customFormat="false" ht="21.75" hidden="false" customHeight="true" outlineLevel="0" collapsed="false">
      <c r="A606" s="1"/>
      <c r="B606" s="16"/>
      <c r="C606" s="16"/>
      <c r="D606" s="15"/>
      <c r="E606" s="11" t="str">
        <f aca="false">IF(D606="","",IFERROR(INDEX(Players!$C$5:$C$304,MATCH(D606,Players!$B$5:$B$304,0)),""))</f>
        <v/>
      </c>
      <c r="F606" s="22" t="str">
        <f aca="false">IF(D606="","",IF(COUNTIFS($B$5:$B$2004,B606,$D$5:$D$2004,D606)&gt;1,"DUPLICATE",IF(ISNA(MATCH(D606,Players!$B$5:$B$304,0)),"UID not found",IF(INDEX(Players!$H$5:$H$304,MATCH(D606,Players!$B$5:$B$304,0))&lt;0,"LOW BALANCE","OK"))))</f>
        <v/>
      </c>
      <c r="G606" s="1"/>
      <c r="H606" s="1"/>
      <c r="I606" s="1"/>
    </row>
    <row r="607" customFormat="false" ht="21.75" hidden="false" customHeight="true" outlineLevel="0" collapsed="false">
      <c r="A607" s="1"/>
      <c r="B607" s="16"/>
      <c r="C607" s="16"/>
      <c r="D607" s="15"/>
      <c r="E607" s="11" t="str">
        <f aca="false">IF(D607="","",IFERROR(INDEX(Players!$C$5:$C$304,MATCH(D607,Players!$B$5:$B$304,0)),""))</f>
        <v/>
      </c>
      <c r="F607" s="22" t="str">
        <f aca="false">IF(D607="","",IF(COUNTIFS($B$5:$B$2004,B607,$D$5:$D$2004,D607)&gt;1,"DUPLICATE",IF(ISNA(MATCH(D607,Players!$B$5:$B$304,0)),"UID not found",IF(INDEX(Players!$H$5:$H$304,MATCH(D607,Players!$B$5:$B$304,0))&lt;0,"LOW BALANCE","OK"))))</f>
        <v/>
      </c>
      <c r="G607" s="1"/>
      <c r="H607" s="1"/>
      <c r="I607" s="1"/>
    </row>
    <row r="608" customFormat="false" ht="21.75" hidden="false" customHeight="true" outlineLevel="0" collapsed="false">
      <c r="A608" s="1"/>
      <c r="B608" s="16"/>
      <c r="C608" s="16"/>
      <c r="D608" s="15"/>
      <c r="E608" s="11" t="str">
        <f aca="false">IF(D608="","",IFERROR(INDEX(Players!$C$5:$C$304,MATCH(D608,Players!$B$5:$B$304,0)),""))</f>
        <v/>
      </c>
      <c r="F608" s="22" t="str">
        <f aca="false">IF(D608="","",IF(COUNTIFS($B$5:$B$2004,B608,$D$5:$D$2004,D608)&gt;1,"DUPLICATE",IF(ISNA(MATCH(D608,Players!$B$5:$B$304,0)),"UID not found",IF(INDEX(Players!$H$5:$H$304,MATCH(D608,Players!$B$5:$B$304,0))&lt;0,"LOW BALANCE","OK"))))</f>
        <v/>
      </c>
      <c r="G608" s="1"/>
      <c r="H608" s="1"/>
      <c r="I608" s="1"/>
    </row>
    <row r="609" customFormat="false" ht="21.75" hidden="false" customHeight="true" outlineLevel="0" collapsed="false">
      <c r="A609" s="1"/>
      <c r="B609" s="16"/>
      <c r="C609" s="16"/>
      <c r="D609" s="15"/>
      <c r="E609" s="11" t="str">
        <f aca="false">IF(D609="","",IFERROR(INDEX(Players!$C$5:$C$304,MATCH(D609,Players!$B$5:$B$304,0)),""))</f>
        <v/>
      </c>
      <c r="F609" s="22" t="str">
        <f aca="false">IF(D609="","",IF(COUNTIFS($B$5:$B$2004,B609,$D$5:$D$2004,D609)&gt;1,"DUPLICATE",IF(ISNA(MATCH(D609,Players!$B$5:$B$304,0)),"UID not found",IF(INDEX(Players!$H$5:$H$304,MATCH(D609,Players!$B$5:$B$304,0))&lt;0,"LOW BALANCE","OK"))))</f>
        <v/>
      </c>
      <c r="G609" s="1"/>
      <c r="H609" s="1"/>
      <c r="I609" s="1"/>
    </row>
    <row r="610" customFormat="false" ht="21.75" hidden="false" customHeight="true" outlineLevel="0" collapsed="false">
      <c r="A610" s="1"/>
      <c r="B610" s="16"/>
      <c r="C610" s="16"/>
      <c r="D610" s="15"/>
      <c r="E610" s="11" t="str">
        <f aca="false">IF(D610="","",IFERROR(INDEX(Players!$C$5:$C$304,MATCH(D610,Players!$B$5:$B$304,0)),""))</f>
        <v/>
      </c>
      <c r="F610" s="22" t="str">
        <f aca="false">IF(D610="","",IF(COUNTIFS($B$5:$B$2004,B610,$D$5:$D$2004,D610)&gt;1,"DUPLICATE",IF(ISNA(MATCH(D610,Players!$B$5:$B$304,0)),"UID not found",IF(INDEX(Players!$H$5:$H$304,MATCH(D610,Players!$B$5:$B$304,0))&lt;0,"LOW BALANCE","OK"))))</f>
        <v/>
      </c>
      <c r="G610" s="1"/>
      <c r="H610" s="1"/>
      <c r="I610" s="1"/>
    </row>
    <row r="611" customFormat="false" ht="21.75" hidden="false" customHeight="true" outlineLevel="0" collapsed="false">
      <c r="A611" s="1"/>
      <c r="B611" s="16"/>
      <c r="C611" s="16"/>
      <c r="D611" s="15"/>
      <c r="E611" s="11" t="str">
        <f aca="false">IF(D611="","",IFERROR(INDEX(Players!$C$5:$C$304,MATCH(D611,Players!$B$5:$B$304,0)),""))</f>
        <v/>
      </c>
      <c r="F611" s="22" t="str">
        <f aca="false">IF(D611="","",IF(COUNTIFS($B$5:$B$2004,B611,$D$5:$D$2004,D611)&gt;1,"DUPLICATE",IF(ISNA(MATCH(D611,Players!$B$5:$B$304,0)),"UID not found",IF(INDEX(Players!$H$5:$H$304,MATCH(D611,Players!$B$5:$B$304,0))&lt;0,"LOW BALANCE","OK"))))</f>
        <v/>
      </c>
      <c r="G611" s="1"/>
      <c r="H611" s="1"/>
      <c r="I611" s="1"/>
    </row>
    <row r="612" customFormat="false" ht="21.75" hidden="false" customHeight="true" outlineLevel="0" collapsed="false">
      <c r="A612" s="1"/>
      <c r="B612" s="16"/>
      <c r="C612" s="16"/>
      <c r="D612" s="15"/>
      <c r="E612" s="11" t="str">
        <f aca="false">IF(D612="","",IFERROR(INDEX(Players!$C$5:$C$304,MATCH(D612,Players!$B$5:$B$304,0)),""))</f>
        <v/>
      </c>
      <c r="F612" s="22" t="str">
        <f aca="false">IF(D612="","",IF(COUNTIFS($B$5:$B$2004,B612,$D$5:$D$2004,D612)&gt;1,"DUPLICATE",IF(ISNA(MATCH(D612,Players!$B$5:$B$304,0)),"UID not found",IF(INDEX(Players!$H$5:$H$304,MATCH(D612,Players!$B$5:$B$304,0))&lt;0,"LOW BALANCE","OK"))))</f>
        <v/>
      </c>
      <c r="G612" s="1"/>
      <c r="H612" s="1"/>
      <c r="I612" s="1"/>
    </row>
    <row r="613" customFormat="false" ht="21.75" hidden="false" customHeight="true" outlineLevel="0" collapsed="false">
      <c r="A613" s="1"/>
      <c r="B613" s="16"/>
      <c r="C613" s="16"/>
      <c r="D613" s="15"/>
      <c r="E613" s="11" t="str">
        <f aca="false">IF(D613="","",IFERROR(INDEX(Players!$C$5:$C$304,MATCH(D613,Players!$B$5:$B$304,0)),""))</f>
        <v/>
      </c>
      <c r="F613" s="22" t="str">
        <f aca="false">IF(D613="","",IF(COUNTIFS($B$5:$B$2004,B613,$D$5:$D$2004,D613)&gt;1,"DUPLICATE",IF(ISNA(MATCH(D613,Players!$B$5:$B$304,0)),"UID not found",IF(INDEX(Players!$H$5:$H$304,MATCH(D613,Players!$B$5:$B$304,0))&lt;0,"LOW BALANCE","OK"))))</f>
        <v/>
      </c>
      <c r="G613" s="1"/>
      <c r="H613" s="1"/>
      <c r="I613" s="1"/>
    </row>
    <row r="614" customFormat="false" ht="21.75" hidden="false" customHeight="true" outlineLevel="0" collapsed="false">
      <c r="A614" s="1"/>
      <c r="B614" s="16"/>
      <c r="C614" s="16"/>
      <c r="D614" s="15"/>
      <c r="E614" s="11" t="str">
        <f aca="false">IF(D614="","",IFERROR(INDEX(Players!$C$5:$C$304,MATCH(D614,Players!$B$5:$B$304,0)),""))</f>
        <v/>
      </c>
      <c r="F614" s="22" t="str">
        <f aca="false">IF(D614="","",IF(COUNTIFS($B$5:$B$2004,B614,$D$5:$D$2004,D614)&gt;1,"DUPLICATE",IF(ISNA(MATCH(D614,Players!$B$5:$B$304,0)),"UID not found",IF(INDEX(Players!$H$5:$H$304,MATCH(D614,Players!$B$5:$B$304,0))&lt;0,"LOW BALANCE","OK"))))</f>
        <v/>
      </c>
      <c r="G614" s="1"/>
      <c r="H614" s="1"/>
      <c r="I614" s="1"/>
    </row>
    <row r="615" customFormat="false" ht="21.75" hidden="false" customHeight="true" outlineLevel="0" collapsed="false">
      <c r="A615" s="1"/>
      <c r="B615" s="16"/>
      <c r="C615" s="16"/>
      <c r="D615" s="15"/>
      <c r="E615" s="11" t="str">
        <f aca="false">IF(D615="","",IFERROR(INDEX(Players!$C$5:$C$304,MATCH(D615,Players!$B$5:$B$304,0)),""))</f>
        <v/>
      </c>
      <c r="F615" s="22" t="str">
        <f aca="false">IF(D615="","",IF(COUNTIFS($B$5:$B$2004,B615,$D$5:$D$2004,D615)&gt;1,"DUPLICATE",IF(ISNA(MATCH(D615,Players!$B$5:$B$304,0)),"UID not found",IF(INDEX(Players!$H$5:$H$304,MATCH(D615,Players!$B$5:$B$304,0))&lt;0,"LOW BALANCE","OK"))))</f>
        <v/>
      </c>
      <c r="G615" s="1"/>
      <c r="H615" s="1"/>
      <c r="I615" s="1"/>
    </row>
    <row r="616" customFormat="false" ht="21.75" hidden="false" customHeight="true" outlineLevel="0" collapsed="false">
      <c r="A616" s="1"/>
      <c r="B616" s="16"/>
      <c r="C616" s="16"/>
      <c r="D616" s="15"/>
      <c r="E616" s="11" t="str">
        <f aca="false">IF(D616="","",IFERROR(INDEX(Players!$C$5:$C$304,MATCH(D616,Players!$B$5:$B$304,0)),""))</f>
        <v/>
      </c>
      <c r="F616" s="22" t="str">
        <f aca="false">IF(D616="","",IF(COUNTIFS($B$5:$B$2004,B616,$D$5:$D$2004,D616)&gt;1,"DUPLICATE",IF(ISNA(MATCH(D616,Players!$B$5:$B$304,0)),"UID not found",IF(INDEX(Players!$H$5:$H$304,MATCH(D616,Players!$B$5:$B$304,0))&lt;0,"LOW BALANCE","OK"))))</f>
        <v/>
      </c>
      <c r="G616" s="1"/>
      <c r="H616" s="1"/>
      <c r="I616" s="1"/>
    </row>
    <row r="617" customFormat="false" ht="21.75" hidden="false" customHeight="true" outlineLevel="0" collapsed="false">
      <c r="A617" s="1"/>
      <c r="B617" s="16"/>
      <c r="C617" s="16"/>
      <c r="D617" s="15"/>
      <c r="E617" s="11" t="str">
        <f aca="false">IF(D617="","",IFERROR(INDEX(Players!$C$5:$C$304,MATCH(D617,Players!$B$5:$B$304,0)),""))</f>
        <v/>
      </c>
      <c r="F617" s="22" t="str">
        <f aca="false">IF(D617="","",IF(COUNTIFS($B$5:$B$2004,B617,$D$5:$D$2004,D617)&gt;1,"DUPLICATE",IF(ISNA(MATCH(D617,Players!$B$5:$B$304,0)),"UID not found",IF(INDEX(Players!$H$5:$H$304,MATCH(D617,Players!$B$5:$B$304,0))&lt;0,"LOW BALANCE","OK"))))</f>
        <v/>
      </c>
      <c r="G617" s="1"/>
      <c r="H617" s="1"/>
      <c r="I617" s="1"/>
    </row>
    <row r="618" customFormat="false" ht="21.75" hidden="false" customHeight="true" outlineLevel="0" collapsed="false">
      <c r="A618" s="1"/>
      <c r="B618" s="16"/>
      <c r="C618" s="16"/>
      <c r="D618" s="15"/>
      <c r="E618" s="11" t="str">
        <f aca="false">IF(D618="","",IFERROR(INDEX(Players!$C$5:$C$304,MATCH(D618,Players!$B$5:$B$304,0)),""))</f>
        <v/>
      </c>
      <c r="F618" s="22" t="str">
        <f aca="false">IF(D618="","",IF(COUNTIFS($B$5:$B$2004,B618,$D$5:$D$2004,D618)&gt;1,"DUPLICATE",IF(ISNA(MATCH(D618,Players!$B$5:$B$304,0)),"UID not found",IF(INDEX(Players!$H$5:$H$304,MATCH(D618,Players!$B$5:$B$304,0))&lt;0,"LOW BALANCE","OK"))))</f>
        <v/>
      </c>
      <c r="G618" s="1"/>
      <c r="H618" s="1"/>
      <c r="I618" s="1"/>
    </row>
    <row r="619" customFormat="false" ht="21.75" hidden="false" customHeight="true" outlineLevel="0" collapsed="false">
      <c r="A619" s="1"/>
      <c r="B619" s="16"/>
      <c r="C619" s="16"/>
      <c r="D619" s="15"/>
      <c r="E619" s="11" t="str">
        <f aca="false">IF(D619="","",IFERROR(INDEX(Players!$C$5:$C$304,MATCH(D619,Players!$B$5:$B$304,0)),""))</f>
        <v/>
      </c>
      <c r="F619" s="22" t="str">
        <f aca="false">IF(D619="","",IF(COUNTIFS($B$5:$B$2004,B619,$D$5:$D$2004,D619)&gt;1,"DUPLICATE",IF(ISNA(MATCH(D619,Players!$B$5:$B$304,0)),"UID not found",IF(INDEX(Players!$H$5:$H$304,MATCH(D619,Players!$B$5:$B$304,0))&lt;0,"LOW BALANCE","OK"))))</f>
        <v/>
      </c>
      <c r="G619" s="1"/>
      <c r="H619" s="1"/>
      <c r="I619" s="1"/>
    </row>
    <row r="620" customFormat="false" ht="21.75" hidden="false" customHeight="true" outlineLevel="0" collapsed="false">
      <c r="A620" s="1"/>
      <c r="B620" s="16"/>
      <c r="C620" s="16"/>
      <c r="D620" s="15"/>
      <c r="E620" s="11" t="str">
        <f aca="false">IF(D620="","",IFERROR(INDEX(Players!$C$5:$C$304,MATCH(D620,Players!$B$5:$B$304,0)),""))</f>
        <v/>
      </c>
      <c r="F620" s="22" t="str">
        <f aca="false">IF(D620="","",IF(COUNTIFS($B$5:$B$2004,B620,$D$5:$D$2004,D620)&gt;1,"DUPLICATE",IF(ISNA(MATCH(D620,Players!$B$5:$B$304,0)),"UID not found",IF(INDEX(Players!$H$5:$H$304,MATCH(D620,Players!$B$5:$B$304,0))&lt;0,"LOW BALANCE","OK"))))</f>
        <v/>
      </c>
      <c r="G620" s="1"/>
      <c r="H620" s="1"/>
      <c r="I620" s="1"/>
    </row>
    <row r="621" customFormat="false" ht="21.75" hidden="false" customHeight="true" outlineLevel="0" collapsed="false">
      <c r="A621" s="1"/>
      <c r="B621" s="16"/>
      <c r="C621" s="16"/>
      <c r="D621" s="15"/>
      <c r="E621" s="11" t="str">
        <f aca="false">IF(D621="","",IFERROR(INDEX(Players!$C$5:$C$304,MATCH(D621,Players!$B$5:$B$304,0)),""))</f>
        <v/>
      </c>
      <c r="F621" s="22" t="str">
        <f aca="false">IF(D621="","",IF(COUNTIFS($B$5:$B$2004,B621,$D$5:$D$2004,D621)&gt;1,"DUPLICATE",IF(ISNA(MATCH(D621,Players!$B$5:$B$304,0)),"UID not found",IF(INDEX(Players!$H$5:$H$304,MATCH(D621,Players!$B$5:$B$304,0))&lt;0,"LOW BALANCE","OK"))))</f>
        <v/>
      </c>
      <c r="G621" s="1"/>
      <c r="H621" s="1"/>
      <c r="I621" s="1"/>
    </row>
    <row r="622" customFormat="false" ht="21.75" hidden="false" customHeight="true" outlineLevel="0" collapsed="false">
      <c r="A622" s="1"/>
      <c r="B622" s="16"/>
      <c r="C622" s="16"/>
      <c r="D622" s="15"/>
      <c r="E622" s="11" t="str">
        <f aca="false">IF(D622="","",IFERROR(INDEX(Players!$C$5:$C$304,MATCH(D622,Players!$B$5:$B$304,0)),""))</f>
        <v/>
      </c>
      <c r="F622" s="22" t="str">
        <f aca="false">IF(D622="","",IF(COUNTIFS($B$5:$B$2004,B622,$D$5:$D$2004,D622)&gt;1,"DUPLICATE",IF(ISNA(MATCH(D622,Players!$B$5:$B$304,0)),"UID not found",IF(INDEX(Players!$H$5:$H$304,MATCH(D622,Players!$B$5:$B$304,0))&lt;0,"LOW BALANCE","OK"))))</f>
        <v/>
      </c>
      <c r="G622" s="1"/>
      <c r="H622" s="1"/>
      <c r="I622" s="1"/>
    </row>
    <row r="623" customFormat="false" ht="21.75" hidden="false" customHeight="true" outlineLevel="0" collapsed="false">
      <c r="A623" s="1"/>
      <c r="B623" s="16"/>
      <c r="C623" s="16"/>
      <c r="D623" s="15"/>
      <c r="E623" s="11" t="str">
        <f aca="false">IF(D623="","",IFERROR(INDEX(Players!$C$5:$C$304,MATCH(D623,Players!$B$5:$B$304,0)),""))</f>
        <v/>
      </c>
      <c r="F623" s="22" t="str">
        <f aca="false">IF(D623="","",IF(COUNTIFS($B$5:$B$2004,B623,$D$5:$D$2004,D623)&gt;1,"DUPLICATE",IF(ISNA(MATCH(D623,Players!$B$5:$B$304,0)),"UID not found",IF(INDEX(Players!$H$5:$H$304,MATCH(D623,Players!$B$5:$B$304,0))&lt;0,"LOW BALANCE","OK"))))</f>
        <v/>
      </c>
      <c r="G623" s="1"/>
      <c r="H623" s="1"/>
      <c r="I623" s="1"/>
    </row>
    <row r="624" customFormat="false" ht="21.75" hidden="false" customHeight="true" outlineLevel="0" collapsed="false">
      <c r="A624" s="1"/>
      <c r="B624" s="16"/>
      <c r="C624" s="16"/>
      <c r="D624" s="15"/>
      <c r="E624" s="11" t="str">
        <f aca="false">IF(D624="","",IFERROR(INDEX(Players!$C$5:$C$304,MATCH(D624,Players!$B$5:$B$304,0)),""))</f>
        <v/>
      </c>
      <c r="F624" s="22" t="str">
        <f aca="false">IF(D624="","",IF(COUNTIFS($B$5:$B$2004,B624,$D$5:$D$2004,D624)&gt;1,"DUPLICATE",IF(ISNA(MATCH(D624,Players!$B$5:$B$304,0)),"UID not found",IF(INDEX(Players!$H$5:$H$304,MATCH(D624,Players!$B$5:$B$304,0))&lt;0,"LOW BALANCE","OK"))))</f>
        <v/>
      </c>
      <c r="G624" s="1"/>
      <c r="H624" s="1"/>
      <c r="I624" s="1"/>
    </row>
    <row r="625" customFormat="false" ht="21.75" hidden="false" customHeight="true" outlineLevel="0" collapsed="false">
      <c r="A625" s="1"/>
      <c r="B625" s="16"/>
      <c r="C625" s="16"/>
      <c r="D625" s="15"/>
      <c r="E625" s="11" t="str">
        <f aca="false">IF(D625="","",IFERROR(INDEX(Players!$C$5:$C$304,MATCH(D625,Players!$B$5:$B$304,0)),""))</f>
        <v/>
      </c>
      <c r="F625" s="22" t="str">
        <f aca="false">IF(D625="","",IF(COUNTIFS($B$5:$B$2004,B625,$D$5:$D$2004,D625)&gt;1,"DUPLICATE",IF(ISNA(MATCH(D625,Players!$B$5:$B$304,0)),"UID not found",IF(INDEX(Players!$H$5:$H$304,MATCH(D625,Players!$B$5:$B$304,0))&lt;0,"LOW BALANCE","OK"))))</f>
        <v/>
      </c>
      <c r="G625" s="1"/>
      <c r="H625" s="1"/>
      <c r="I625" s="1"/>
    </row>
    <row r="626" customFormat="false" ht="21.75" hidden="false" customHeight="true" outlineLevel="0" collapsed="false">
      <c r="A626" s="1"/>
      <c r="B626" s="16"/>
      <c r="C626" s="16"/>
      <c r="D626" s="15"/>
      <c r="E626" s="11" t="str">
        <f aca="false">IF(D626="","",IFERROR(INDEX(Players!$C$5:$C$304,MATCH(D626,Players!$B$5:$B$304,0)),""))</f>
        <v/>
      </c>
      <c r="F626" s="22" t="str">
        <f aca="false">IF(D626="","",IF(COUNTIFS($B$5:$B$2004,B626,$D$5:$D$2004,D626)&gt;1,"DUPLICATE",IF(ISNA(MATCH(D626,Players!$B$5:$B$304,0)),"UID not found",IF(INDEX(Players!$H$5:$H$304,MATCH(D626,Players!$B$5:$B$304,0))&lt;0,"LOW BALANCE","OK"))))</f>
        <v/>
      </c>
      <c r="G626" s="1"/>
      <c r="H626" s="1"/>
      <c r="I626" s="1"/>
    </row>
    <row r="627" customFormat="false" ht="21.75" hidden="false" customHeight="true" outlineLevel="0" collapsed="false">
      <c r="A627" s="1"/>
      <c r="B627" s="16"/>
      <c r="C627" s="16"/>
      <c r="D627" s="15"/>
      <c r="E627" s="11" t="str">
        <f aca="false">IF(D627="","",IFERROR(INDEX(Players!$C$5:$C$304,MATCH(D627,Players!$B$5:$B$304,0)),""))</f>
        <v/>
      </c>
      <c r="F627" s="22" t="str">
        <f aca="false">IF(D627="","",IF(COUNTIFS($B$5:$B$2004,B627,$D$5:$D$2004,D627)&gt;1,"DUPLICATE",IF(ISNA(MATCH(D627,Players!$B$5:$B$304,0)),"UID not found",IF(INDEX(Players!$H$5:$H$304,MATCH(D627,Players!$B$5:$B$304,0))&lt;0,"LOW BALANCE","OK"))))</f>
        <v/>
      </c>
      <c r="G627" s="1"/>
      <c r="H627" s="1"/>
      <c r="I627" s="1"/>
    </row>
    <row r="628" customFormat="false" ht="21.75" hidden="false" customHeight="true" outlineLevel="0" collapsed="false">
      <c r="A628" s="1"/>
      <c r="B628" s="16"/>
      <c r="C628" s="16"/>
      <c r="D628" s="15"/>
      <c r="E628" s="11" t="str">
        <f aca="false">IF(D628="","",IFERROR(INDEX(Players!$C$5:$C$304,MATCH(D628,Players!$B$5:$B$304,0)),""))</f>
        <v/>
      </c>
      <c r="F628" s="22" t="str">
        <f aca="false">IF(D628="","",IF(COUNTIFS($B$5:$B$2004,B628,$D$5:$D$2004,D628)&gt;1,"DUPLICATE",IF(ISNA(MATCH(D628,Players!$B$5:$B$304,0)),"UID not found",IF(INDEX(Players!$H$5:$H$304,MATCH(D628,Players!$B$5:$B$304,0))&lt;0,"LOW BALANCE","OK"))))</f>
        <v/>
      </c>
      <c r="G628" s="1"/>
      <c r="H628" s="1"/>
      <c r="I628" s="1"/>
    </row>
    <row r="629" customFormat="false" ht="21.75" hidden="false" customHeight="true" outlineLevel="0" collapsed="false">
      <c r="A629" s="1"/>
      <c r="B629" s="16"/>
      <c r="C629" s="16"/>
      <c r="D629" s="15"/>
      <c r="E629" s="11" t="str">
        <f aca="false">IF(D629="","",IFERROR(INDEX(Players!$C$5:$C$304,MATCH(D629,Players!$B$5:$B$304,0)),""))</f>
        <v/>
      </c>
      <c r="F629" s="22" t="str">
        <f aca="false">IF(D629="","",IF(COUNTIFS($B$5:$B$2004,B629,$D$5:$D$2004,D629)&gt;1,"DUPLICATE",IF(ISNA(MATCH(D629,Players!$B$5:$B$304,0)),"UID not found",IF(INDEX(Players!$H$5:$H$304,MATCH(D629,Players!$B$5:$B$304,0))&lt;0,"LOW BALANCE","OK"))))</f>
        <v/>
      </c>
      <c r="G629" s="1"/>
      <c r="H629" s="1"/>
      <c r="I629" s="1"/>
    </row>
    <row r="630" customFormat="false" ht="21.75" hidden="false" customHeight="true" outlineLevel="0" collapsed="false">
      <c r="A630" s="1"/>
      <c r="B630" s="16"/>
      <c r="C630" s="16"/>
      <c r="D630" s="15"/>
      <c r="E630" s="11" t="str">
        <f aca="false">IF(D630="","",IFERROR(INDEX(Players!$C$5:$C$304,MATCH(D630,Players!$B$5:$B$304,0)),""))</f>
        <v/>
      </c>
      <c r="F630" s="22" t="str">
        <f aca="false">IF(D630="","",IF(COUNTIFS($B$5:$B$2004,B630,$D$5:$D$2004,D630)&gt;1,"DUPLICATE",IF(ISNA(MATCH(D630,Players!$B$5:$B$304,0)),"UID not found",IF(INDEX(Players!$H$5:$H$304,MATCH(D630,Players!$B$5:$B$304,0))&lt;0,"LOW BALANCE","OK"))))</f>
        <v/>
      </c>
      <c r="G630" s="1"/>
      <c r="H630" s="1"/>
      <c r="I630" s="1"/>
    </row>
    <row r="631" customFormat="false" ht="21.75" hidden="false" customHeight="true" outlineLevel="0" collapsed="false">
      <c r="A631" s="1"/>
      <c r="B631" s="16"/>
      <c r="C631" s="16"/>
      <c r="D631" s="15"/>
      <c r="E631" s="11" t="str">
        <f aca="false">IF(D631="","",IFERROR(INDEX(Players!$C$5:$C$304,MATCH(D631,Players!$B$5:$B$304,0)),""))</f>
        <v/>
      </c>
      <c r="F631" s="22" t="str">
        <f aca="false">IF(D631="","",IF(COUNTIFS($B$5:$B$2004,B631,$D$5:$D$2004,D631)&gt;1,"DUPLICATE",IF(ISNA(MATCH(D631,Players!$B$5:$B$304,0)),"UID not found",IF(INDEX(Players!$H$5:$H$304,MATCH(D631,Players!$B$5:$B$304,0))&lt;0,"LOW BALANCE","OK"))))</f>
        <v/>
      </c>
      <c r="G631" s="1"/>
      <c r="H631" s="1"/>
      <c r="I631" s="1"/>
    </row>
    <row r="632" customFormat="false" ht="21.75" hidden="false" customHeight="true" outlineLevel="0" collapsed="false">
      <c r="A632" s="1"/>
      <c r="B632" s="16"/>
      <c r="C632" s="16"/>
      <c r="D632" s="15"/>
      <c r="E632" s="11" t="str">
        <f aca="false">IF(D632="","",IFERROR(INDEX(Players!$C$5:$C$304,MATCH(D632,Players!$B$5:$B$304,0)),""))</f>
        <v/>
      </c>
      <c r="F632" s="22" t="str">
        <f aca="false">IF(D632="","",IF(COUNTIFS($B$5:$B$2004,B632,$D$5:$D$2004,D632)&gt;1,"DUPLICATE",IF(ISNA(MATCH(D632,Players!$B$5:$B$304,0)),"UID not found",IF(INDEX(Players!$H$5:$H$304,MATCH(D632,Players!$B$5:$B$304,0))&lt;0,"LOW BALANCE","OK"))))</f>
        <v/>
      </c>
      <c r="G632" s="1"/>
      <c r="H632" s="1"/>
      <c r="I632" s="1"/>
    </row>
    <row r="633" customFormat="false" ht="21.75" hidden="false" customHeight="true" outlineLevel="0" collapsed="false">
      <c r="A633" s="1"/>
      <c r="B633" s="16"/>
      <c r="C633" s="16"/>
      <c r="D633" s="15"/>
      <c r="E633" s="11" t="str">
        <f aca="false">IF(D633="","",IFERROR(INDEX(Players!$C$5:$C$304,MATCH(D633,Players!$B$5:$B$304,0)),""))</f>
        <v/>
      </c>
      <c r="F633" s="22" t="str">
        <f aca="false">IF(D633="","",IF(COUNTIFS($B$5:$B$2004,B633,$D$5:$D$2004,D633)&gt;1,"DUPLICATE",IF(ISNA(MATCH(D633,Players!$B$5:$B$304,0)),"UID not found",IF(INDEX(Players!$H$5:$H$304,MATCH(D633,Players!$B$5:$B$304,0))&lt;0,"LOW BALANCE","OK"))))</f>
        <v/>
      </c>
      <c r="G633" s="1"/>
      <c r="H633" s="1"/>
      <c r="I633" s="1"/>
    </row>
    <row r="634" customFormat="false" ht="21.75" hidden="false" customHeight="true" outlineLevel="0" collapsed="false">
      <c r="A634" s="1"/>
      <c r="B634" s="16"/>
      <c r="C634" s="16"/>
      <c r="D634" s="15"/>
      <c r="E634" s="11" t="str">
        <f aca="false">IF(D634="","",IFERROR(INDEX(Players!$C$5:$C$304,MATCH(D634,Players!$B$5:$B$304,0)),""))</f>
        <v/>
      </c>
      <c r="F634" s="22" t="str">
        <f aca="false">IF(D634="","",IF(COUNTIFS($B$5:$B$2004,B634,$D$5:$D$2004,D634)&gt;1,"DUPLICATE",IF(ISNA(MATCH(D634,Players!$B$5:$B$304,0)),"UID not found",IF(INDEX(Players!$H$5:$H$304,MATCH(D634,Players!$B$5:$B$304,0))&lt;0,"LOW BALANCE","OK"))))</f>
        <v/>
      </c>
      <c r="G634" s="1"/>
      <c r="H634" s="1"/>
      <c r="I634" s="1"/>
    </row>
    <row r="635" customFormat="false" ht="21.75" hidden="false" customHeight="true" outlineLevel="0" collapsed="false">
      <c r="A635" s="1"/>
      <c r="B635" s="16"/>
      <c r="C635" s="16"/>
      <c r="D635" s="15"/>
      <c r="E635" s="11" t="str">
        <f aca="false">IF(D635="","",IFERROR(INDEX(Players!$C$5:$C$304,MATCH(D635,Players!$B$5:$B$304,0)),""))</f>
        <v/>
      </c>
      <c r="F635" s="22" t="str">
        <f aca="false">IF(D635="","",IF(COUNTIFS($B$5:$B$2004,B635,$D$5:$D$2004,D635)&gt;1,"DUPLICATE",IF(ISNA(MATCH(D635,Players!$B$5:$B$304,0)),"UID not found",IF(INDEX(Players!$H$5:$H$304,MATCH(D635,Players!$B$5:$B$304,0))&lt;0,"LOW BALANCE","OK"))))</f>
        <v/>
      </c>
      <c r="G635" s="1"/>
      <c r="H635" s="1"/>
      <c r="I635" s="1"/>
    </row>
    <row r="636" customFormat="false" ht="21.75" hidden="false" customHeight="true" outlineLevel="0" collapsed="false">
      <c r="A636" s="1"/>
      <c r="B636" s="16"/>
      <c r="C636" s="16"/>
      <c r="D636" s="15"/>
      <c r="E636" s="11" t="str">
        <f aca="false">IF(D636="","",IFERROR(INDEX(Players!$C$5:$C$304,MATCH(D636,Players!$B$5:$B$304,0)),""))</f>
        <v/>
      </c>
      <c r="F636" s="22" t="str">
        <f aca="false">IF(D636="","",IF(COUNTIFS($B$5:$B$2004,B636,$D$5:$D$2004,D636)&gt;1,"DUPLICATE",IF(ISNA(MATCH(D636,Players!$B$5:$B$304,0)),"UID not found",IF(INDEX(Players!$H$5:$H$304,MATCH(D636,Players!$B$5:$B$304,0))&lt;0,"LOW BALANCE","OK"))))</f>
        <v/>
      </c>
      <c r="G636" s="1"/>
      <c r="H636" s="1"/>
      <c r="I636" s="1"/>
    </row>
    <row r="637" customFormat="false" ht="21.75" hidden="false" customHeight="true" outlineLevel="0" collapsed="false">
      <c r="A637" s="1"/>
      <c r="B637" s="16"/>
      <c r="C637" s="16"/>
      <c r="D637" s="15"/>
      <c r="E637" s="11" t="str">
        <f aca="false">IF(D637="","",IFERROR(INDEX(Players!$C$5:$C$304,MATCH(D637,Players!$B$5:$B$304,0)),""))</f>
        <v/>
      </c>
      <c r="F637" s="22" t="str">
        <f aca="false">IF(D637="","",IF(COUNTIFS($B$5:$B$2004,B637,$D$5:$D$2004,D637)&gt;1,"DUPLICATE",IF(ISNA(MATCH(D637,Players!$B$5:$B$304,0)),"UID not found",IF(INDEX(Players!$H$5:$H$304,MATCH(D637,Players!$B$5:$B$304,0))&lt;0,"LOW BALANCE","OK"))))</f>
        <v/>
      </c>
      <c r="G637" s="1"/>
      <c r="H637" s="1"/>
      <c r="I637" s="1"/>
    </row>
    <row r="638" customFormat="false" ht="21.75" hidden="false" customHeight="true" outlineLevel="0" collapsed="false">
      <c r="A638" s="1"/>
      <c r="B638" s="16"/>
      <c r="C638" s="16"/>
      <c r="D638" s="15"/>
      <c r="E638" s="11" t="str">
        <f aca="false">IF(D638="","",IFERROR(INDEX(Players!$C$5:$C$304,MATCH(D638,Players!$B$5:$B$304,0)),""))</f>
        <v/>
      </c>
      <c r="F638" s="22" t="str">
        <f aca="false">IF(D638="","",IF(COUNTIFS($B$5:$B$2004,B638,$D$5:$D$2004,D638)&gt;1,"DUPLICATE",IF(ISNA(MATCH(D638,Players!$B$5:$B$304,0)),"UID not found",IF(INDEX(Players!$H$5:$H$304,MATCH(D638,Players!$B$5:$B$304,0))&lt;0,"LOW BALANCE","OK"))))</f>
        <v/>
      </c>
      <c r="G638" s="1"/>
      <c r="H638" s="1"/>
      <c r="I638" s="1"/>
    </row>
    <row r="639" customFormat="false" ht="21.75" hidden="false" customHeight="true" outlineLevel="0" collapsed="false">
      <c r="A639" s="1"/>
      <c r="B639" s="16"/>
      <c r="C639" s="16"/>
      <c r="D639" s="15"/>
      <c r="E639" s="11" t="str">
        <f aca="false">IF(D639="","",IFERROR(INDEX(Players!$C$5:$C$304,MATCH(D639,Players!$B$5:$B$304,0)),""))</f>
        <v/>
      </c>
      <c r="F639" s="22" t="str">
        <f aca="false">IF(D639="","",IF(COUNTIFS($B$5:$B$2004,B639,$D$5:$D$2004,D639)&gt;1,"DUPLICATE",IF(ISNA(MATCH(D639,Players!$B$5:$B$304,0)),"UID not found",IF(INDEX(Players!$H$5:$H$304,MATCH(D639,Players!$B$5:$B$304,0))&lt;0,"LOW BALANCE","OK"))))</f>
        <v/>
      </c>
      <c r="G639" s="1"/>
      <c r="H639" s="1"/>
      <c r="I639" s="1"/>
    </row>
    <row r="640" customFormat="false" ht="21.75" hidden="false" customHeight="true" outlineLevel="0" collapsed="false">
      <c r="A640" s="1"/>
      <c r="B640" s="16"/>
      <c r="C640" s="16"/>
      <c r="D640" s="15"/>
      <c r="E640" s="11" t="str">
        <f aca="false">IF(D640="","",IFERROR(INDEX(Players!$C$5:$C$304,MATCH(D640,Players!$B$5:$B$304,0)),""))</f>
        <v/>
      </c>
      <c r="F640" s="22" t="str">
        <f aca="false">IF(D640="","",IF(COUNTIFS($B$5:$B$2004,B640,$D$5:$D$2004,D640)&gt;1,"DUPLICATE",IF(ISNA(MATCH(D640,Players!$B$5:$B$304,0)),"UID not found",IF(INDEX(Players!$H$5:$H$304,MATCH(D640,Players!$B$5:$B$304,0))&lt;0,"LOW BALANCE","OK"))))</f>
        <v/>
      </c>
      <c r="G640" s="1"/>
      <c r="H640" s="1"/>
      <c r="I640" s="1"/>
    </row>
    <row r="641" customFormat="false" ht="21.75" hidden="false" customHeight="true" outlineLevel="0" collapsed="false">
      <c r="A641" s="1"/>
      <c r="B641" s="16"/>
      <c r="C641" s="16"/>
      <c r="D641" s="15"/>
      <c r="E641" s="11" t="str">
        <f aca="false">IF(D641="","",IFERROR(INDEX(Players!$C$5:$C$304,MATCH(D641,Players!$B$5:$B$304,0)),""))</f>
        <v/>
      </c>
      <c r="F641" s="22" t="str">
        <f aca="false">IF(D641="","",IF(COUNTIFS($B$5:$B$2004,B641,$D$5:$D$2004,D641)&gt;1,"DUPLICATE",IF(ISNA(MATCH(D641,Players!$B$5:$B$304,0)),"UID not found",IF(INDEX(Players!$H$5:$H$304,MATCH(D641,Players!$B$5:$B$304,0))&lt;0,"LOW BALANCE","OK"))))</f>
        <v/>
      </c>
      <c r="G641" s="1"/>
      <c r="H641" s="1"/>
      <c r="I641" s="1"/>
    </row>
    <row r="642" customFormat="false" ht="21.75" hidden="false" customHeight="true" outlineLevel="0" collapsed="false">
      <c r="A642" s="1"/>
      <c r="B642" s="16"/>
      <c r="C642" s="16"/>
      <c r="D642" s="15"/>
      <c r="E642" s="11" t="str">
        <f aca="false">IF(D642="","",IFERROR(INDEX(Players!$C$5:$C$304,MATCH(D642,Players!$B$5:$B$304,0)),""))</f>
        <v/>
      </c>
      <c r="F642" s="22" t="str">
        <f aca="false">IF(D642="","",IF(COUNTIFS($B$5:$B$2004,B642,$D$5:$D$2004,D642)&gt;1,"DUPLICATE",IF(ISNA(MATCH(D642,Players!$B$5:$B$304,0)),"UID not found",IF(INDEX(Players!$H$5:$H$304,MATCH(D642,Players!$B$5:$B$304,0))&lt;0,"LOW BALANCE","OK"))))</f>
        <v/>
      </c>
      <c r="G642" s="1"/>
      <c r="H642" s="1"/>
      <c r="I642" s="1"/>
    </row>
    <row r="643" customFormat="false" ht="21.75" hidden="false" customHeight="true" outlineLevel="0" collapsed="false">
      <c r="A643" s="1"/>
      <c r="B643" s="16"/>
      <c r="C643" s="16"/>
      <c r="D643" s="15"/>
      <c r="E643" s="11" t="str">
        <f aca="false">IF(D643="","",IFERROR(INDEX(Players!$C$5:$C$304,MATCH(D643,Players!$B$5:$B$304,0)),""))</f>
        <v/>
      </c>
      <c r="F643" s="22" t="str">
        <f aca="false">IF(D643="","",IF(COUNTIFS($B$5:$B$2004,B643,$D$5:$D$2004,D643)&gt;1,"DUPLICATE",IF(ISNA(MATCH(D643,Players!$B$5:$B$304,0)),"UID not found",IF(INDEX(Players!$H$5:$H$304,MATCH(D643,Players!$B$5:$B$304,0))&lt;0,"LOW BALANCE","OK"))))</f>
        <v/>
      </c>
      <c r="G643" s="1"/>
      <c r="H643" s="1"/>
      <c r="I643" s="1"/>
    </row>
    <row r="644" customFormat="false" ht="21.75" hidden="false" customHeight="true" outlineLevel="0" collapsed="false">
      <c r="A644" s="1"/>
      <c r="B644" s="16"/>
      <c r="C644" s="16"/>
      <c r="D644" s="15"/>
      <c r="E644" s="11" t="str">
        <f aca="false">IF(D644="","",IFERROR(INDEX(Players!$C$5:$C$304,MATCH(D644,Players!$B$5:$B$304,0)),""))</f>
        <v/>
      </c>
      <c r="F644" s="22" t="str">
        <f aca="false">IF(D644="","",IF(COUNTIFS($B$5:$B$2004,B644,$D$5:$D$2004,D644)&gt;1,"DUPLICATE",IF(ISNA(MATCH(D644,Players!$B$5:$B$304,0)),"UID not found",IF(INDEX(Players!$H$5:$H$304,MATCH(D644,Players!$B$5:$B$304,0))&lt;0,"LOW BALANCE","OK"))))</f>
        <v/>
      </c>
      <c r="G644" s="1"/>
      <c r="H644" s="1"/>
      <c r="I644" s="1"/>
    </row>
    <row r="645" customFormat="false" ht="21.75" hidden="false" customHeight="true" outlineLevel="0" collapsed="false">
      <c r="A645" s="1"/>
      <c r="B645" s="16"/>
      <c r="C645" s="16"/>
      <c r="D645" s="15"/>
      <c r="E645" s="11" t="str">
        <f aca="false">IF(D645="","",IFERROR(INDEX(Players!$C$5:$C$304,MATCH(D645,Players!$B$5:$B$304,0)),""))</f>
        <v/>
      </c>
      <c r="F645" s="22" t="str">
        <f aca="false">IF(D645="","",IF(COUNTIFS($B$5:$B$2004,B645,$D$5:$D$2004,D645)&gt;1,"DUPLICATE",IF(ISNA(MATCH(D645,Players!$B$5:$B$304,0)),"UID not found",IF(INDEX(Players!$H$5:$H$304,MATCH(D645,Players!$B$5:$B$304,0))&lt;0,"LOW BALANCE","OK"))))</f>
        <v/>
      </c>
      <c r="G645" s="1"/>
      <c r="H645" s="1"/>
      <c r="I645" s="1"/>
    </row>
    <row r="646" customFormat="false" ht="21.75" hidden="false" customHeight="true" outlineLevel="0" collapsed="false">
      <c r="A646" s="1"/>
      <c r="B646" s="16"/>
      <c r="C646" s="16"/>
      <c r="D646" s="15"/>
      <c r="E646" s="11" t="str">
        <f aca="false">IF(D646="","",IFERROR(INDEX(Players!$C$5:$C$304,MATCH(D646,Players!$B$5:$B$304,0)),""))</f>
        <v/>
      </c>
      <c r="F646" s="22" t="str">
        <f aca="false">IF(D646="","",IF(COUNTIFS($B$5:$B$2004,B646,$D$5:$D$2004,D646)&gt;1,"DUPLICATE",IF(ISNA(MATCH(D646,Players!$B$5:$B$304,0)),"UID not found",IF(INDEX(Players!$H$5:$H$304,MATCH(D646,Players!$B$5:$B$304,0))&lt;0,"LOW BALANCE","OK"))))</f>
        <v/>
      </c>
      <c r="G646" s="1"/>
      <c r="H646" s="1"/>
      <c r="I646" s="1"/>
    </row>
    <row r="647" customFormat="false" ht="21.75" hidden="false" customHeight="true" outlineLevel="0" collapsed="false">
      <c r="A647" s="1"/>
      <c r="B647" s="16"/>
      <c r="C647" s="16"/>
      <c r="D647" s="15"/>
      <c r="E647" s="11" t="str">
        <f aca="false">IF(D647="","",IFERROR(INDEX(Players!$C$5:$C$304,MATCH(D647,Players!$B$5:$B$304,0)),""))</f>
        <v/>
      </c>
      <c r="F647" s="22" t="str">
        <f aca="false">IF(D647="","",IF(COUNTIFS($B$5:$B$2004,B647,$D$5:$D$2004,D647)&gt;1,"DUPLICATE",IF(ISNA(MATCH(D647,Players!$B$5:$B$304,0)),"UID not found",IF(INDEX(Players!$H$5:$H$304,MATCH(D647,Players!$B$5:$B$304,0))&lt;0,"LOW BALANCE","OK"))))</f>
        <v/>
      </c>
      <c r="G647" s="1"/>
      <c r="H647" s="1"/>
      <c r="I647" s="1"/>
    </row>
    <row r="648" customFormat="false" ht="21.75" hidden="false" customHeight="true" outlineLevel="0" collapsed="false">
      <c r="A648" s="1"/>
      <c r="B648" s="16"/>
      <c r="C648" s="16"/>
      <c r="D648" s="15"/>
      <c r="E648" s="11" t="str">
        <f aca="false">IF(D648="","",IFERROR(INDEX(Players!$C$5:$C$304,MATCH(D648,Players!$B$5:$B$304,0)),""))</f>
        <v/>
      </c>
      <c r="F648" s="22" t="str">
        <f aca="false">IF(D648="","",IF(COUNTIFS($B$5:$B$2004,B648,$D$5:$D$2004,D648)&gt;1,"DUPLICATE",IF(ISNA(MATCH(D648,Players!$B$5:$B$304,0)),"UID not found",IF(INDEX(Players!$H$5:$H$304,MATCH(D648,Players!$B$5:$B$304,0))&lt;0,"LOW BALANCE","OK"))))</f>
        <v/>
      </c>
      <c r="G648" s="1"/>
      <c r="H648" s="1"/>
      <c r="I648" s="1"/>
    </row>
    <row r="649" customFormat="false" ht="21.75" hidden="false" customHeight="true" outlineLevel="0" collapsed="false">
      <c r="A649" s="1"/>
      <c r="B649" s="16"/>
      <c r="C649" s="16"/>
      <c r="D649" s="15"/>
      <c r="E649" s="11" t="str">
        <f aca="false">IF(D649="","",IFERROR(INDEX(Players!$C$5:$C$304,MATCH(D649,Players!$B$5:$B$304,0)),""))</f>
        <v/>
      </c>
      <c r="F649" s="22" t="str">
        <f aca="false">IF(D649="","",IF(COUNTIFS($B$5:$B$2004,B649,$D$5:$D$2004,D649)&gt;1,"DUPLICATE",IF(ISNA(MATCH(D649,Players!$B$5:$B$304,0)),"UID not found",IF(INDEX(Players!$H$5:$H$304,MATCH(D649,Players!$B$5:$B$304,0))&lt;0,"LOW BALANCE","OK"))))</f>
        <v/>
      </c>
      <c r="G649" s="1"/>
      <c r="H649" s="1"/>
      <c r="I649" s="1"/>
    </row>
    <row r="650" customFormat="false" ht="21.75" hidden="false" customHeight="true" outlineLevel="0" collapsed="false">
      <c r="A650" s="1"/>
      <c r="B650" s="16"/>
      <c r="C650" s="16"/>
      <c r="D650" s="15"/>
      <c r="E650" s="11" t="str">
        <f aca="false">IF(D650="","",IFERROR(INDEX(Players!$C$5:$C$304,MATCH(D650,Players!$B$5:$B$304,0)),""))</f>
        <v/>
      </c>
      <c r="F650" s="22" t="str">
        <f aca="false">IF(D650="","",IF(COUNTIFS($B$5:$B$2004,B650,$D$5:$D$2004,D650)&gt;1,"DUPLICATE",IF(ISNA(MATCH(D650,Players!$B$5:$B$304,0)),"UID not found",IF(INDEX(Players!$H$5:$H$304,MATCH(D650,Players!$B$5:$B$304,0))&lt;0,"LOW BALANCE","OK"))))</f>
        <v/>
      </c>
      <c r="G650" s="1"/>
      <c r="H650" s="1"/>
      <c r="I650" s="1"/>
    </row>
    <row r="651" customFormat="false" ht="21.75" hidden="false" customHeight="true" outlineLevel="0" collapsed="false">
      <c r="A651" s="1"/>
      <c r="B651" s="16"/>
      <c r="C651" s="16"/>
      <c r="D651" s="15"/>
      <c r="E651" s="11" t="str">
        <f aca="false">IF(D651="","",IFERROR(INDEX(Players!$C$5:$C$304,MATCH(D651,Players!$B$5:$B$304,0)),""))</f>
        <v/>
      </c>
      <c r="F651" s="22" t="str">
        <f aca="false">IF(D651="","",IF(COUNTIFS($B$5:$B$2004,B651,$D$5:$D$2004,D651)&gt;1,"DUPLICATE",IF(ISNA(MATCH(D651,Players!$B$5:$B$304,0)),"UID not found",IF(INDEX(Players!$H$5:$H$304,MATCH(D651,Players!$B$5:$B$304,0))&lt;0,"LOW BALANCE","OK"))))</f>
        <v/>
      </c>
      <c r="G651" s="1"/>
      <c r="H651" s="1"/>
      <c r="I651" s="1"/>
    </row>
    <row r="652" customFormat="false" ht="21.75" hidden="false" customHeight="true" outlineLevel="0" collapsed="false">
      <c r="A652" s="1"/>
      <c r="B652" s="16"/>
      <c r="C652" s="16"/>
      <c r="D652" s="15"/>
      <c r="E652" s="11" t="str">
        <f aca="false">IF(D652="","",IFERROR(INDEX(Players!$C$5:$C$304,MATCH(D652,Players!$B$5:$B$304,0)),""))</f>
        <v/>
      </c>
      <c r="F652" s="22" t="str">
        <f aca="false">IF(D652="","",IF(COUNTIFS($B$5:$B$2004,B652,$D$5:$D$2004,D652)&gt;1,"DUPLICATE",IF(ISNA(MATCH(D652,Players!$B$5:$B$304,0)),"UID not found",IF(INDEX(Players!$H$5:$H$304,MATCH(D652,Players!$B$5:$B$304,0))&lt;0,"LOW BALANCE","OK"))))</f>
        <v/>
      </c>
      <c r="G652" s="1"/>
      <c r="H652" s="1"/>
      <c r="I652" s="1"/>
    </row>
    <row r="653" customFormat="false" ht="21.75" hidden="false" customHeight="true" outlineLevel="0" collapsed="false">
      <c r="A653" s="1"/>
      <c r="B653" s="16"/>
      <c r="C653" s="16"/>
      <c r="D653" s="15"/>
      <c r="E653" s="11" t="str">
        <f aca="false">IF(D653="","",IFERROR(INDEX(Players!$C$5:$C$304,MATCH(D653,Players!$B$5:$B$304,0)),""))</f>
        <v/>
      </c>
      <c r="F653" s="22" t="str">
        <f aca="false">IF(D653="","",IF(COUNTIFS($B$5:$B$2004,B653,$D$5:$D$2004,D653)&gt;1,"DUPLICATE",IF(ISNA(MATCH(D653,Players!$B$5:$B$304,0)),"UID not found",IF(INDEX(Players!$H$5:$H$304,MATCH(D653,Players!$B$5:$B$304,0))&lt;0,"LOW BALANCE","OK"))))</f>
        <v/>
      </c>
      <c r="G653" s="1"/>
      <c r="H653" s="1"/>
      <c r="I653" s="1"/>
    </row>
    <row r="654" customFormat="false" ht="21.75" hidden="false" customHeight="true" outlineLevel="0" collapsed="false">
      <c r="A654" s="1"/>
      <c r="B654" s="16"/>
      <c r="C654" s="16"/>
      <c r="D654" s="15"/>
      <c r="E654" s="11" t="str">
        <f aca="false">IF(D654="","",IFERROR(INDEX(Players!$C$5:$C$304,MATCH(D654,Players!$B$5:$B$304,0)),""))</f>
        <v/>
      </c>
      <c r="F654" s="22" t="str">
        <f aca="false">IF(D654="","",IF(COUNTIFS($B$5:$B$2004,B654,$D$5:$D$2004,D654)&gt;1,"DUPLICATE",IF(ISNA(MATCH(D654,Players!$B$5:$B$304,0)),"UID not found",IF(INDEX(Players!$H$5:$H$304,MATCH(D654,Players!$B$5:$B$304,0))&lt;0,"LOW BALANCE","OK"))))</f>
        <v/>
      </c>
      <c r="G654" s="1"/>
      <c r="H654" s="1"/>
      <c r="I654" s="1"/>
    </row>
    <row r="655" customFormat="false" ht="21.75" hidden="false" customHeight="true" outlineLevel="0" collapsed="false">
      <c r="A655" s="1"/>
      <c r="B655" s="16"/>
      <c r="C655" s="16"/>
      <c r="D655" s="15"/>
      <c r="E655" s="11" t="str">
        <f aca="false">IF(D655="","",IFERROR(INDEX(Players!$C$5:$C$304,MATCH(D655,Players!$B$5:$B$304,0)),""))</f>
        <v/>
      </c>
      <c r="F655" s="22" t="str">
        <f aca="false">IF(D655="","",IF(COUNTIFS($B$5:$B$2004,B655,$D$5:$D$2004,D655)&gt;1,"DUPLICATE",IF(ISNA(MATCH(D655,Players!$B$5:$B$304,0)),"UID not found",IF(INDEX(Players!$H$5:$H$304,MATCH(D655,Players!$B$5:$B$304,0))&lt;0,"LOW BALANCE","OK"))))</f>
        <v/>
      </c>
      <c r="G655" s="1"/>
      <c r="H655" s="1"/>
      <c r="I655" s="1"/>
    </row>
    <row r="656" customFormat="false" ht="21.75" hidden="false" customHeight="true" outlineLevel="0" collapsed="false">
      <c r="A656" s="1"/>
      <c r="B656" s="16"/>
      <c r="C656" s="16"/>
      <c r="D656" s="15"/>
      <c r="E656" s="11" t="str">
        <f aca="false">IF(D656="","",IFERROR(INDEX(Players!$C$5:$C$304,MATCH(D656,Players!$B$5:$B$304,0)),""))</f>
        <v/>
      </c>
      <c r="F656" s="22" t="str">
        <f aca="false">IF(D656="","",IF(COUNTIFS($B$5:$B$2004,B656,$D$5:$D$2004,D656)&gt;1,"DUPLICATE",IF(ISNA(MATCH(D656,Players!$B$5:$B$304,0)),"UID not found",IF(INDEX(Players!$H$5:$H$304,MATCH(D656,Players!$B$5:$B$304,0))&lt;0,"LOW BALANCE","OK"))))</f>
        <v/>
      </c>
      <c r="G656" s="1"/>
      <c r="H656" s="1"/>
      <c r="I656" s="1"/>
    </row>
    <row r="657" customFormat="false" ht="21.75" hidden="false" customHeight="true" outlineLevel="0" collapsed="false">
      <c r="A657" s="1"/>
      <c r="B657" s="16"/>
      <c r="C657" s="16"/>
      <c r="D657" s="15"/>
      <c r="E657" s="11" t="str">
        <f aca="false">IF(D657="","",IFERROR(INDEX(Players!$C$5:$C$304,MATCH(D657,Players!$B$5:$B$304,0)),""))</f>
        <v/>
      </c>
      <c r="F657" s="22" t="str">
        <f aca="false">IF(D657="","",IF(COUNTIFS($B$5:$B$2004,B657,$D$5:$D$2004,D657)&gt;1,"DUPLICATE",IF(ISNA(MATCH(D657,Players!$B$5:$B$304,0)),"UID not found",IF(INDEX(Players!$H$5:$H$304,MATCH(D657,Players!$B$5:$B$304,0))&lt;0,"LOW BALANCE","OK"))))</f>
        <v/>
      </c>
      <c r="G657" s="1"/>
      <c r="H657" s="1"/>
      <c r="I657" s="1"/>
    </row>
    <row r="658" customFormat="false" ht="21.75" hidden="false" customHeight="true" outlineLevel="0" collapsed="false">
      <c r="A658" s="1"/>
      <c r="B658" s="16"/>
      <c r="C658" s="16"/>
      <c r="D658" s="15"/>
      <c r="E658" s="11" t="str">
        <f aca="false">IF(D658="","",IFERROR(INDEX(Players!$C$5:$C$304,MATCH(D658,Players!$B$5:$B$304,0)),""))</f>
        <v/>
      </c>
      <c r="F658" s="22" t="str">
        <f aca="false">IF(D658="","",IF(COUNTIFS($B$5:$B$2004,B658,$D$5:$D$2004,D658)&gt;1,"DUPLICATE",IF(ISNA(MATCH(D658,Players!$B$5:$B$304,0)),"UID not found",IF(INDEX(Players!$H$5:$H$304,MATCH(D658,Players!$B$5:$B$304,0))&lt;0,"LOW BALANCE","OK"))))</f>
        <v/>
      </c>
      <c r="G658" s="1"/>
      <c r="H658" s="1"/>
      <c r="I658" s="1"/>
    </row>
    <row r="659" customFormat="false" ht="21.75" hidden="false" customHeight="true" outlineLevel="0" collapsed="false">
      <c r="A659" s="1"/>
      <c r="B659" s="16"/>
      <c r="C659" s="16"/>
      <c r="D659" s="15"/>
      <c r="E659" s="11" t="str">
        <f aca="false">IF(D659="","",IFERROR(INDEX(Players!$C$5:$C$304,MATCH(D659,Players!$B$5:$B$304,0)),""))</f>
        <v/>
      </c>
      <c r="F659" s="22" t="str">
        <f aca="false">IF(D659="","",IF(COUNTIFS($B$5:$B$2004,B659,$D$5:$D$2004,D659)&gt;1,"DUPLICATE",IF(ISNA(MATCH(D659,Players!$B$5:$B$304,0)),"UID not found",IF(INDEX(Players!$H$5:$H$304,MATCH(D659,Players!$B$5:$B$304,0))&lt;0,"LOW BALANCE","OK"))))</f>
        <v/>
      </c>
      <c r="G659" s="1"/>
      <c r="H659" s="1"/>
      <c r="I659" s="1"/>
    </row>
    <row r="660" customFormat="false" ht="21.75" hidden="false" customHeight="true" outlineLevel="0" collapsed="false">
      <c r="A660" s="1"/>
      <c r="B660" s="16"/>
      <c r="C660" s="16"/>
      <c r="D660" s="15"/>
      <c r="E660" s="11" t="str">
        <f aca="false">IF(D660="","",IFERROR(INDEX(Players!$C$5:$C$304,MATCH(D660,Players!$B$5:$B$304,0)),""))</f>
        <v/>
      </c>
      <c r="F660" s="22" t="str">
        <f aca="false">IF(D660="","",IF(COUNTIFS($B$5:$B$2004,B660,$D$5:$D$2004,D660)&gt;1,"DUPLICATE",IF(ISNA(MATCH(D660,Players!$B$5:$B$304,0)),"UID not found",IF(INDEX(Players!$H$5:$H$304,MATCH(D660,Players!$B$5:$B$304,0))&lt;0,"LOW BALANCE","OK"))))</f>
        <v/>
      </c>
      <c r="G660" s="1"/>
      <c r="H660" s="1"/>
      <c r="I660" s="1"/>
    </row>
    <row r="661" customFormat="false" ht="21.75" hidden="false" customHeight="true" outlineLevel="0" collapsed="false">
      <c r="A661" s="1"/>
      <c r="B661" s="16"/>
      <c r="C661" s="16"/>
      <c r="D661" s="15"/>
      <c r="E661" s="11" t="str">
        <f aca="false">IF(D661="","",IFERROR(INDEX(Players!$C$5:$C$304,MATCH(D661,Players!$B$5:$B$304,0)),""))</f>
        <v/>
      </c>
      <c r="F661" s="22" t="str">
        <f aca="false">IF(D661="","",IF(COUNTIFS($B$5:$B$2004,B661,$D$5:$D$2004,D661)&gt;1,"DUPLICATE",IF(ISNA(MATCH(D661,Players!$B$5:$B$304,0)),"UID not found",IF(INDEX(Players!$H$5:$H$304,MATCH(D661,Players!$B$5:$B$304,0))&lt;0,"LOW BALANCE","OK"))))</f>
        <v/>
      </c>
      <c r="G661" s="1"/>
      <c r="H661" s="1"/>
      <c r="I661" s="1"/>
    </row>
    <row r="662" customFormat="false" ht="21.75" hidden="false" customHeight="true" outlineLevel="0" collapsed="false">
      <c r="A662" s="1"/>
      <c r="B662" s="16"/>
      <c r="C662" s="16"/>
      <c r="D662" s="15"/>
      <c r="E662" s="11" t="str">
        <f aca="false">IF(D662="","",IFERROR(INDEX(Players!$C$5:$C$304,MATCH(D662,Players!$B$5:$B$304,0)),""))</f>
        <v/>
      </c>
      <c r="F662" s="22" t="str">
        <f aca="false">IF(D662="","",IF(COUNTIFS($B$5:$B$2004,B662,$D$5:$D$2004,D662)&gt;1,"DUPLICATE",IF(ISNA(MATCH(D662,Players!$B$5:$B$304,0)),"UID not found",IF(INDEX(Players!$H$5:$H$304,MATCH(D662,Players!$B$5:$B$304,0))&lt;0,"LOW BALANCE","OK"))))</f>
        <v/>
      </c>
      <c r="G662" s="1"/>
      <c r="H662" s="1"/>
      <c r="I662" s="1"/>
    </row>
    <row r="663" customFormat="false" ht="21.75" hidden="false" customHeight="true" outlineLevel="0" collapsed="false">
      <c r="A663" s="1"/>
      <c r="B663" s="16"/>
      <c r="C663" s="16"/>
      <c r="D663" s="15"/>
      <c r="E663" s="11" t="str">
        <f aca="false">IF(D663="","",IFERROR(INDEX(Players!$C$5:$C$304,MATCH(D663,Players!$B$5:$B$304,0)),""))</f>
        <v/>
      </c>
      <c r="F663" s="22" t="str">
        <f aca="false">IF(D663="","",IF(COUNTIFS($B$5:$B$2004,B663,$D$5:$D$2004,D663)&gt;1,"DUPLICATE",IF(ISNA(MATCH(D663,Players!$B$5:$B$304,0)),"UID not found",IF(INDEX(Players!$H$5:$H$304,MATCH(D663,Players!$B$5:$B$304,0))&lt;0,"LOW BALANCE","OK"))))</f>
        <v/>
      </c>
      <c r="G663" s="1"/>
      <c r="H663" s="1"/>
      <c r="I663" s="1"/>
    </row>
    <row r="664" customFormat="false" ht="21.75" hidden="false" customHeight="true" outlineLevel="0" collapsed="false">
      <c r="A664" s="1"/>
      <c r="B664" s="16"/>
      <c r="C664" s="16"/>
      <c r="D664" s="15"/>
      <c r="E664" s="11" t="str">
        <f aca="false">IF(D664="","",IFERROR(INDEX(Players!$C$5:$C$304,MATCH(D664,Players!$B$5:$B$304,0)),""))</f>
        <v/>
      </c>
      <c r="F664" s="22" t="str">
        <f aca="false">IF(D664="","",IF(COUNTIFS($B$5:$B$2004,B664,$D$5:$D$2004,D664)&gt;1,"DUPLICATE",IF(ISNA(MATCH(D664,Players!$B$5:$B$304,0)),"UID not found",IF(INDEX(Players!$H$5:$H$304,MATCH(D664,Players!$B$5:$B$304,0))&lt;0,"LOW BALANCE","OK"))))</f>
        <v/>
      </c>
      <c r="G664" s="1"/>
      <c r="H664" s="1"/>
      <c r="I664" s="1"/>
    </row>
    <row r="665" customFormat="false" ht="21.75" hidden="false" customHeight="true" outlineLevel="0" collapsed="false">
      <c r="A665" s="1"/>
      <c r="B665" s="16"/>
      <c r="C665" s="16"/>
      <c r="D665" s="15"/>
      <c r="E665" s="11" t="str">
        <f aca="false">IF(D665="","",IFERROR(INDEX(Players!$C$5:$C$304,MATCH(D665,Players!$B$5:$B$304,0)),""))</f>
        <v/>
      </c>
      <c r="F665" s="22" t="str">
        <f aca="false">IF(D665="","",IF(COUNTIFS($B$5:$B$2004,B665,$D$5:$D$2004,D665)&gt;1,"DUPLICATE",IF(ISNA(MATCH(D665,Players!$B$5:$B$304,0)),"UID not found",IF(INDEX(Players!$H$5:$H$304,MATCH(D665,Players!$B$5:$B$304,0))&lt;0,"LOW BALANCE","OK"))))</f>
        <v/>
      </c>
      <c r="G665" s="1"/>
      <c r="H665" s="1"/>
      <c r="I665" s="1"/>
    </row>
    <row r="666" customFormat="false" ht="21.75" hidden="false" customHeight="true" outlineLevel="0" collapsed="false">
      <c r="A666" s="1"/>
      <c r="B666" s="16"/>
      <c r="C666" s="16"/>
      <c r="D666" s="15"/>
      <c r="E666" s="11" t="str">
        <f aca="false">IF(D666="","",IFERROR(INDEX(Players!$C$5:$C$304,MATCH(D666,Players!$B$5:$B$304,0)),""))</f>
        <v/>
      </c>
      <c r="F666" s="22" t="str">
        <f aca="false">IF(D666="","",IF(COUNTIFS($B$5:$B$2004,B666,$D$5:$D$2004,D666)&gt;1,"DUPLICATE",IF(ISNA(MATCH(D666,Players!$B$5:$B$304,0)),"UID not found",IF(INDEX(Players!$H$5:$H$304,MATCH(D666,Players!$B$5:$B$304,0))&lt;0,"LOW BALANCE","OK"))))</f>
        <v/>
      </c>
      <c r="G666" s="1"/>
      <c r="H666" s="1"/>
      <c r="I666" s="1"/>
    </row>
    <row r="667" customFormat="false" ht="21.75" hidden="false" customHeight="true" outlineLevel="0" collapsed="false">
      <c r="A667" s="1"/>
      <c r="B667" s="16"/>
      <c r="C667" s="16"/>
      <c r="D667" s="15"/>
      <c r="E667" s="11" t="str">
        <f aca="false">IF(D667="","",IFERROR(INDEX(Players!$C$5:$C$304,MATCH(D667,Players!$B$5:$B$304,0)),""))</f>
        <v/>
      </c>
      <c r="F667" s="22" t="str">
        <f aca="false">IF(D667="","",IF(COUNTIFS($B$5:$B$2004,B667,$D$5:$D$2004,D667)&gt;1,"DUPLICATE",IF(ISNA(MATCH(D667,Players!$B$5:$B$304,0)),"UID not found",IF(INDEX(Players!$H$5:$H$304,MATCH(D667,Players!$B$5:$B$304,0))&lt;0,"LOW BALANCE","OK"))))</f>
        <v/>
      </c>
      <c r="G667" s="1"/>
      <c r="H667" s="1"/>
      <c r="I667" s="1"/>
    </row>
    <row r="668" customFormat="false" ht="21.75" hidden="false" customHeight="true" outlineLevel="0" collapsed="false">
      <c r="A668" s="1"/>
      <c r="B668" s="16"/>
      <c r="C668" s="16"/>
      <c r="D668" s="15"/>
      <c r="E668" s="11" t="str">
        <f aca="false">IF(D668="","",IFERROR(INDEX(Players!$C$5:$C$304,MATCH(D668,Players!$B$5:$B$304,0)),""))</f>
        <v/>
      </c>
      <c r="F668" s="22" t="str">
        <f aca="false">IF(D668="","",IF(COUNTIFS($B$5:$B$2004,B668,$D$5:$D$2004,D668)&gt;1,"DUPLICATE",IF(ISNA(MATCH(D668,Players!$B$5:$B$304,0)),"UID not found",IF(INDEX(Players!$H$5:$H$304,MATCH(D668,Players!$B$5:$B$304,0))&lt;0,"LOW BALANCE","OK"))))</f>
        <v/>
      </c>
      <c r="G668" s="1"/>
      <c r="H668" s="1"/>
      <c r="I668" s="1"/>
    </row>
    <row r="669" customFormat="false" ht="21.75" hidden="false" customHeight="true" outlineLevel="0" collapsed="false">
      <c r="A669" s="1"/>
      <c r="B669" s="16"/>
      <c r="C669" s="16"/>
      <c r="D669" s="15"/>
      <c r="E669" s="11" t="str">
        <f aca="false">IF(D669="","",IFERROR(INDEX(Players!$C$5:$C$304,MATCH(D669,Players!$B$5:$B$304,0)),""))</f>
        <v/>
      </c>
      <c r="F669" s="22" t="str">
        <f aca="false">IF(D669="","",IF(COUNTIFS($B$5:$B$2004,B669,$D$5:$D$2004,D669)&gt;1,"DUPLICATE",IF(ISNA(MATCH(D669,Players!$B$5:$B$304,0)),"UID not found",IF(INDEX(Players!$H$5:$H$304,MATCH(D669,Players!$B$5:$B$304,0))&lt;0,"LOW BALANCE","OK"))))</f>
        <v/>
      </c>
      <c r="G669" s="1"/>
      <c r="H669" s="1"/>
      <c r="I669" s="1"/>
    </row>
    <row r="670" customFormat="false" ht="21.75" hidden="false" customHeight="true" outlineLevel="0" collapsed="false">
      <c r="A670" s="1"/>
      <c r="B670" s="16"/>
      <c r="C670" s="16"/>
      <c r="D670" s="15"/>
      <c r="E670" s="11" t="str">
        <f aca="false">IF(D670="","",IFERROR(INDEX(Players!$C$5:$C$304,MATCH(D670,Players!$B$5:$B$304,0)),""))</f>
        <v/>
      </c>
      <c r="F670" s="22" t="str">
        <f aca="false">IF(D670="","",IF(COUNTIFS($B$5:$B$2004,B670,$D$5:$D$2004,D670)&gt;1,"DUPLICATE",IF(ISNA(MATCH(D670,Players!$B$5:$B$304,0)),"UID not found",IF(INDEX(Players!$H$5:$H$304,MATCH(D670,Players!$B$5:$B$304,0))&lt;0,"LOW BALANCE","OK"))))</f>
        <v/>
      </c>
      <c r="G670" s="1"/>
      <c r="H670" s="1"/>
      <c r="I670" s="1"/>
    </row>
    <row r="671" customFormat="false" ht="21.75" hidden="false" customHeight="true" outlineLevel="0" collapsed="false">
      <c r="A671" s="1"/>
      <c r="B671" s="16"/>
      <c r="C671" s="16"/>
      <c r="D671" s="15"/>
      <c r="E671" s="11" t="str">
        <f aca="false">IF(D671="","",IFERROR(INDEX(Players!$C$5:$C$304,MATCH(D671,Players!$B$5:$B$304,0)),""))</f>
        <v/>
      </c>
      <c r="F671" s="22" t="str">
        <f aca="false">IF(D671="","",IF(COUNTIFS($B$5:$B$2004,B671,$D$5:$D$2004,D671)&gt;1,"DUPLICATE",IF(ISNA(MATCH(D671,Players!$B$5:$B$304,0)),"UID not found",IF(INDEX(Players!$H$5:$H$304,MATCH(D671,Players!$B$5:$B$304,0))&lt;0,"LOW BALANCE","OK"))))</f>
        <v/>
      </c>
      <c r="G671" s="1"/>
      <c r="H671" s="1"/>
      <c r="I671" s="1"/>
    </row>
    <row r="672" customFormat="false" ht="21.75" hidden="false" customHeight="true" outlineLevel="0" collapsed="false">
      <c r="A672" s="1"/>
      <c r="B672" s="16"/>
      <c r="C672" s="16"/>
      <c r="D672" s="15"/>
      <c r="E672" s="11" t="str">
        <f aca="false">IF(D672="","",IFERROR(INDEX(Players!$C$5:$C$304,MATCH(D672,Players!$B$5:$B$304,0)),""))</f>
        <v/>
      </c>
      <c r="F672" s="22" t="str">
        <f aca="false">IF(D672="","",IF(COUNTIFS($B$5:$B$2004,B672,$D$5:$D$2004,D672)&gt;1,"DUPLICATE",IF(ISNA(MATCH(D672,Players!$B$5:$B$304,0)),"UID not found",IF(INDEX(Players!$H$5:$H$304,MATCH(D672,Players!$B$5:$B$304,0))&lt;0,"LOW BALANCE","OK"))))</f>
        <v/>
      </c>
      <c r="G672" s="1"/>
      <c r="H672" s="1"/>
      <c r="I672" s="1"/>
    </row>
    <row r="673" customFormat="false" ht="21.75" hidden="false" customHeight="true" outlineLevel="0" collapsed="false">
      <c r="A673" s="1"/>
      <c r="B673" s="16"/>
      <c r="C673" s="16"/>
      <c r="D673" s="15"/>
      <c r="E673" s="11" t="str">
        <f aca="false">IF(D673="","",IFERROR(INDEX(Players!$C$5:$C$304,MATCH(D673,Players!$B$5:$B$304,0)),""))</f>
        <v/>
      </c>
      <c r="F673" s="22" t="str">
        <f aca="false">IF(D673="","",IF(COUNTIFS($B$5:$B$2004,B673,$D$5:$D$2004,D673)&gt;1,"DUPLICATE",IF(ISNA(MATCH(D673,Players!$B$5:$B$304,0)),"UID not found",IF(INDEX(Players!$H$5:$H$304,MATCH(D673,Players!$B$5:$B$304,0))&lt;0,"LOW BALANCE","OK"))))</f>
        <v/>
      </c>
      <c r="G673" s="1"/>
      <c r="H673" s="1"/>
      <c r="I673" s="1"/>
    </row>
    <row r="674" customFormat="false" ht="21.75" hidden="false" customHeight="true" outlineLevel="0" collapsed="false">
      <c r="A674" s="1"/>
      <c r="B674" s="16"/>
      <c r="C674" s="16"/>
      <c r="D674" s="15"/>
      <c r="E674" s="11" t="str">
        <f aca="false">IF(D674="","",IFERROR(INDEX(Players!$C$5:$C$304,MATCH(D674,Players!$B$5:$B$304,0)),""))</f>
        <v/>
      </c>
      <c r="F674" s="22" t="str">
        <f aca="false">IF(D674="","",IF(COUNTIFS($B$5:$B$2004,B674,$D$5:$D$2004,D674)&gt;1,"DUPLICATE",IF(ISNA(MATCH(D674,Players!$B$5:$B$304,0)),"UID not found",IF(INDEX(Players!$H$5:$H$304,MATCH(D674,Players!$B$5:$B$304,0))&lt;0,"LOW BALANCE","OK"))))</f>
        <v/>
      </c>
      <c r="G674" s="1"/>
      <c r="H674" s="1"/>
      <c r="I674" s="1"/>
    </row>
    <row r="675" customFormat="false" ht="21.75" hidden="false" customHeight="true" outlineLevel="0" collapsed="false">
      <c r="A675" s="1"/>
      <c r="B675" s="16"/>
      <c r="C675" s="16"/>
      <c r="D675" s="15"/>
      <c r="E675" s="11" t="str">
        <f aca="false">IF(D675="","",IFERROR(INDEX(Players!$C$5:$C$304,MATCH(D675,Players!$B$5:$B$304,0)),""))</f>
        <v/>
      </c>
      <c r="F675" s="22" t="str">
        <f aca="false">IF(D675="","",IF(COUNTIFS($B$5:$B$2004,B675,$D$5:$D$2004,D675)&gt;1,"DUPLICATE",IF(ISNA(MATCH(D675,Players!$B$5:$B$304,0)),"UID not found",IF(INDEX(Players!$H$5:$H$304,MATCH(D675,Players!$B$5:$B$304,0))&lt;0,"LOW BALANCE","OK"))))</f>
        <v/>
      </c>
      <c r="G675" s="1"/>
      <c r="H675" s="1"/>
      <c r="I675" s="1"/>
    </row>
    <row r="676" customFormat="false" ht="21.75" hidden="false" customHeight="true" outlineLevel="0" collapsed="false">
      <c r="A676" s="1"/>
      <c r="B676" s="16"/>
      <c r="C676" s="16"/>
      <c r="D676" s="15"/>
      <c r="E676" s="11" t="str">
        <f aca="false">IF(D676="","",IFERROR(INDEX(Players!$C$5:$C$304,MATCH(D676,Players!$B$5:$B$304,0)),""))</f>
        <v/>
      </c>
      <c r="F676" s="22" t="str">
        <f aca="false">IF(D676="","",IF(COUNTIFS($B$5:$B$2004,B676,$D$5:$D$2004,D676)&gt;1,"DUPLICATE",IF(ISNA(MATCH(D676,Players!$B$5:$B$304,0)),"UID not found",IF(INDEX(Players!$H$5:$H$304,MATCH(D676,Players!$B$5:$B$304,0))&lt;0,"LOW BALANCE","OK"))))</f>
        <v/>
      </c>
      <c r="G676" s="1"/>
      <c r="H676" s="1"/>
      <c r="I676" s="1"/>
    </row>
    <row r="677" customFormat="false" ht="21.75" hidden="false" customHeight="true" outlineLevel="0" collapsed="false">
      <c r="A677" s="1"/>
      <c r="B677" s="16"/>
      <c r="C677" s="16"/>
      <c r="D677" s="15"/>
      <c r="E677" s="11" t="str">
        <f aca="false">IF(D677="","",IFERROR(INDEX(Players!$C$5:$C$304,MATCH(D677,Players!$B$5:$B$304,0)),""))</f>
        <v/>
      </c>
      <c r="F677" s="22" t="str">
        <f aca="false">IF(D677="","",IF(COUNTIFS($B$5:$B$2004,B677,$D$5:$D$2004,D677)&gt;1,"DUPLICATE",IF(ISNA(MATCH(D677,Players!$B$5:$B$304,0)),"UID not found",IF(INDEX(Players!$H$5:$H$304,MATCH(D677,Players!$B$5:$B$304,0))&lt;0,"LOW BALANCE","OK"))))</f>
        <v/>
      </c>
      <c r="G677" s="1"/>
      <c r="H677" s="1"/>
      <c r="I677" s="1"/>
    </row>
    <row r="678" customFormat="false" ht="21.75" hidden="false" customHeight="true" outlineLevel="0" collapsed="false">
      <c r="A678" s="1"/>
      <c r="B678" s="16"/>
      <c r="C678" s="16"/>
      <c r="D678" s="15"/>
      <c r="E678" s="11" t="str">
        <f aca="false">IF(D678="","",IFERROR(INDEX(Players!$C$5:$C$304,MATCH(D678,Players!$B$5:$B$304,0)),""))</f>
        <v/>
      </c>
      <c r="F678" s="22" t="str">
        <f aca="false">IF(D678="","",IF(COUNTIFS($B$5:$B$2004,B678,$D$5:$D$2004,D678)&gt;1,"DUPLICATE",IF(ISNA(MATCH(D678,Players!$B$5:$B$304,0)),"UID not found",IF(INDEX(Players!$H$5:$H$304,MATCH(D678,Players!$B$5:$B$304,0))&lt;0,"LOW BALANCE","OK"))))</f>
        <v/>
      </c>
      <c r="G678" s="1"/>
      <c r="H678" s="1"/>
      <c r="I678" s="1"/>
    </row>
    <row r="679" customFormat="false" ht="21.75" hidden="false" customHeight="true" outlineLevel="0" collapsed="false">
      <c r="A679" s="1"/>
      <c r="B679" s="16"/>
      <c r="C679" s="16"/>
      <c r="D679" s="15"/>
      <c r="E679" s="11" t="str">
        <f aca="false">IF(D679="","",IFERROR(INDEX(Players!$C$5:$C$304,MATCH(D679,Players!$B$5:$B$304,0)),""))</f>
        <v/>
      </c>
      <c r="F679" s="22" t="str">
        <f aca="false">IF(D679="","",IF(COUNTIFS($B$5:$B$2004,B679,$D$5:$D$2004,D679)&gt;1,"DUPLICATE",IF(ISNA(MATCH(D679,Players!$B$5:$B$304,0)),"UID not found",IF(INDEX(Players!$H$5:$H$304,MATCH(D679,Players!$B$5:$B$304,0))&lt;0,"LOW BALANCE","OK"))))</f>
        <v/>
      </c>
      <c r="G679" s="1"/>
      <c r="H679" s="1"/>
      <c r="I679" s="1"/>
    </row>
    <row r="680" customFormat="false" ht="21.75" hidden="false" customHeight="true" outlineLevel="0" collapsed="false">
      <c r="A680" s="1"/>
      <c r="B680" s="16"/>
      <c r="C680" s="16"/>
      <c r="D680" s="15"/>
      <c r="E680" s="11" t="str">
        <f aca="false">IF(D680="","",IFERROR(INDEX(Players!$C$5:$C$304,MATCH(D680,Players!$B$5:$B$304,0)),""))</f>
        <v/>
      </c>
      <c r="F680" s="22" t="str">
        <f aca="false">IF(D680="","",IF(COUNTIFS($B$5:$B$2004,B680,$D$5:$D$2004,D680)&gt;1,"DUPLICATE",IF(ISNA(MATCH(D680,Players!$B$5:$B$304,0)),"UID not found",IF(INDEX(Players!$H$5:$H$304,MATCH(D680,Players!$B$5:$B$304,0))&lt;0,"LOW BALANCE","OK"))))</f>
        <v/>
      </c>
      <c r="G680" s="1"/>
      <c r="H680" s="1"/>
      <c r="I680" s="1"/>
    </row>
    <row r="681" customFormat="false" ht="21.75" hidden="false" customHeight="true" outlineLevel="0" collapsed="false">
      <c r="A681" s="1"/>
      <c r="B681" s="16"/>
      <c r="C681" s="16"/>
      <c r="D681" s="15"/>
      <c r="E681" s="11" t="str">
        <f aca="false">IF(D681="","",IFERROR(INDEX(Players!$C$5:$C$304,MATCH(D681,Players!$B$5:$B$304,0)),""))</f>
        <v/>
      </c>
      <c r="F681" s="22" t="str">
        <f aca="false">IF(D681="","",IF(COUNTIFS($B$5:$B$2004,B681,$D$5:$D$2004,D681)&gt;1,"DUPLICATE",IF(ISNA(MATCH(D681,Players!$B$5:$B$304,0)),"UID not found",IF(INDEX(Players!$H$5:$H$304,MATCH(D681,Players!$B$5:$B$304,0))&lt;0,"LOW BALANCE","OK"))))</f>
        <v/>
      </c>
      <c r="G681" s="1"/>
      <c r="H681" s="1"/>
      <c r="I681" s="1"/>
    </row>
    <row r="682" customFormat="false" ht="21.75" hidden="false" customHeight="true" outlineLevel="0" collapsed="false">
      <c r="A682" s="1"/>
      <c r="B682" s="16"/>
      <c r="C682" s="16"/>
      <c r="D682" s="15"/>
      <c r="E682" s="11" t="str">
        <f aca="false">IF(D682="","",IFERROR(INDEX(Players!$C$5:$C$304,MATCH(D682,Players!$B$5:$B$304,0)),""))</f>
        <v/>
      </c>
      <c r="F682" s="22" t="str">
        <f aca="false">IF(D682="","",IF(COUNTIFS($B$5:$B$2004,B682,$D$5:$D$2004,D682)&gt;1,"DUPLICATE",IF(ISNA(MATCH(D682,Players!$B$5:$B$304,0)),"UID not found",IF(INDEX(Players!$H$5:$H$304,MATCH(D682,Players!$B$5:$B$304,0))&lt;0,"LOW BALANCE","OK"))))</f>
        <v/>
      </c>
      <c r="G682" s="1"/>
      <c r="H682" s="1"/>
      <c r="I682" s="1"/>
    </row>
    <row r="683" customFormat="false" ht="21.75" hidden="false" customHeight="true" outlineLevel="0" collapsed="false">
      <c r="A683" s="1"/>
      <c r="B683" s="16"/>
      <c r="C683" s="16"/>
      <c r="D683" s="15"/>
      <c r="E683" s="11" t="str">
        <f aca="false">IF(D683="","",IFERROR(INDEX(Players!$C$5:$C$304,MATCH(D683,Players!$B$5:$B$304,0)),""))</f>
        <v/>
      </c>
      <c r="F683" s="22" t="str">
        <f aca="false">IF(D683="","",IF(COUNTIFS($B$5:$B$2004,B683,$D$5:$D$2004,D683)&gt;1,"DUPLICATE",IF(ISNA(MATCH(D683,Players!$B$5:$B$304,0)),"UID not found",IF(INDEX(Players!$H$5:$H$304,MATCH(D683,Players!$B$5:$B$304,0))&lt;0,"LOW BALANCE","OK"))))</f>
        <v/>
      </c>
      <c r="G683" s="1"/>
      <c r="H683" s="1"/>
      <c r="I683" s="1"/>
    </row>
    <row r="684" customFormat="false" ht="21.75" hidden="false" customHeight="true" outlineLevel="0" collapsed="false">
      <c r="A684" s="1"/>
      <c r="B684" s="16"/>
      <c r="C684" s="16"/>
      <c r="D684" s="15"/>
      <c r="E684" s="11" t="str">
        <f aca="false">IF(D684="","",IFERROR(INDEX(Players!$C$5:$C$304,MATCH(D684,Players!$B$5:$B$304,0)),""))</f>
        <v/>
      </c>
      <c r="F684" s="22" t="str">
        <f aca="false">IF(D684="","",IF(COUNTIFS($B$5:$B$2004,B684,$D$5:$D$2004,D684)&gt;1,"DUPLICATE",IF(ISNA(MATCH(D684,Players!$B$5:$B$304,0)),"UID not found",IF(INDEX(Players!$H$5:$H$304,MATCH(D684,Players!$B$5:$B$304,0))&lt;0,"LOW BALANCE","OK"))))</f>
        <v/>
      </c>
      <c r="G684" s="1"/>
      <c r="H684" s="1"/>
      <c r="I684" s="1"/>
    </row>
    <row r="685" customFormat="false" ht="21.75" hidden="false" customHeight="true" outlineLevel="0" collapsed="false">
      <c r="A685" s="1"/>
      <c r="B685" s="16"/>
      <c r="C685" s="16"/>
      <c r="D685" s="15"/>
      <c r="E685" s="11" t="str">
        <f aca="false">IF(D685="","",IFERROR(INDEX(Players!$C$5:$C$304,MATCH(D685,Players!$B$5:$B$304,0)),""))</f>
        <v/>
      </c>
      <c r="F685" s="22" t="str">
        <f aca="false">IF(D685="","",IF(COUNTIFS($B$5:$B$2004,B685,$D$5:$D$2004,D685)&gt;1,"DUPLICATE",IF(ISNA(MATCH(D685,Players!$B$5:$B$304,0)),"UID not found",IF(INDEX(Players!$H$5:$H$304,MATCH(D685,Players!$B$5:$B$304,0))&lt;0,"LOW BALANCE","OK"))))</f>
        <v/>
      </c>
      <c r="G685" s="1"/>
      <c r="H685" s="1"/>
      <c r="I685" s="1"/>
    </row>
    <row r="686" customFormat="false" ht="21.75" hidden="false" customHeight="true" outlineLevel="0" collapsed="false">
      <c r="A686" s="1"/>
      <c r="B686" s="16"/>
      <c r="C686" s="16"/>
      <c r="D686" s="15"/>
      <c r="E686" s="11" t="str">
        <f aca="false">IF(D686="","",IFERROR(INDEX(Players!$C$5:$C$304,MATCH(D686,Players!$B$5:$B$304,0)),""))</f>
        <v/>
      </c>
      <c r="F686" s="22" t="str">
        <f aca="false">IF(D686="","",IF(COUNTIFS($B$5:$B$2004,B686,$D$5:$D$2004,D686)&gt;1,"DUPLICATE",IF(ISNA(MATCH(D686,Players!$B$5:$B$304,0)),"UID not found",IF(INDEX(Players!$H$5:$H$304,MATCH(D686,Players!$B$5:$B$304,0))&lt;0,"LOW BALANCE","OK"))))</f>
        <v/>
      </c>
      <c r="G686" s="1"/>
      <c r="H686" s="1"/>
      <c r="I686" s="1"/>
    </row>
    <row r="687" customFormat="false" ht="21.75" hidden="false" customHeight="true" outlineLevel="0" collapsed="false">
      <c r="A687" s="1"/>
      <c r="B687" s="16"/>
      <c r="C687" s="16"/>
      <c r="D687" s="15"/>
      <c r="E687" s="11" t="str">
        <f aca="false">IF(D687="","",IFERROR(INDEX(Players!$C$5:$C$304,MATCH(D687,Players!$B$5:$B$304,0)),""))</f>
        <v/>
      </c>
      <c r="F687" s="22" t="str">
        <f aca="false">IF(D687="","",IF(COUNTIFS($B$5:$B$2004,B687,$D$5:$D$2004,D687)&gt;1,"DUPLICATE",IF(ISNA(MATCH(D687,Players!$B$5:$B$304,0)),"UID not found",IF(INDEX(Players!$H$5:$H$304,MATCH(D687,Players!$B$5:$B$304,0))&lt;0,"LOW BALANCE","OK"))))</f>
        <v/>
      </c>
      <c r="G687" s="1"/>
      <c r="H687" s="1"/>
      <c r="I687" s="1"/>
    </row>
    <row r="688" customFormat="false" ht="21.75" hidden="false" customHeight="true" outlineLevel="0" collapsed="false">
      <c r="A688" s="1"/>
      <c r="B688" s="16"/>
      <c r="C688" s="16"/>
      <c r="D688" s="15"/>
      <c r="E688" s="11" t="str">
        <f aca="false">IF(D688="","",IFERROR(INDEX(Players!$C$5:$C$304,MATCH(D688,Players!$B$5:$B$304,0)),""))</f>
        <v/>
      </c>
      <c r="F688" s="22" t="str">
        <f aca="false">IF(D688="","",IF(COUNTIFS($B$5:$B$2004,B688,$D$5:$D$2004,D688)&gt;1,"DUPLICATE",IF(ISNA(MATCH(D688,Players!$B$5:$B$304,0)),"UID not found",IF(INDEX(Players!$H$5:$H$304,MATCH(D688,Players!$B$5:$B$304,0))&lt;0,"LOW BALANCE","OK"))))</f>
        <v/>
      </c>
      <c r="G688" s="1"/>
      <c r="H688" s="1"/>
      <c r="I688" s="1"/>
    </row>
    <row r="689" customFormat="false" ht="21.75" hidden="false" customHeight="true" outlineLevel="0" collapsed="false">
      <c r="A689" s="1"/>
      <c r="B689" s="16"/>
      <c r="C689" s="16"/>
      <c r="D689" s="15"/>
      <c r="E689" s="11" t="str">
        <f aca="false">IF(D689="","",IFERROR(INDEX(Players!$C$5:$C$304,MATCH(D689,Players!$B$5:$B$304,0)),""))</f>
        <v/>
      </c>
      <c r="F689" s="22" t="str">
        <f aca="false">IF(D689="","",IF(COUNTIFS($B$5:$B$2004,B689,$D$5:$D$2004,D689)&gt;1,"DUPLICATE",IF(ISNA(MATCH(D689,Players!$B$5:$B$304,0)),"UID not found",IF(INDEX(Players!$H$5:$H$304,MATCH(D689,Players!$B$5:$B$304,0))&lt;0,"LOW BALANCE","OK"))))</f>
        <v/>
      </c>
      <c r="G689" s="1"/>
      <c r="H689" s="1"/>
      <c r="I689" s="1"/>
    </row>
    <row r="690" customFormat="false" ht="21.75" hidden="false" customHeight="true" outlineLevel="0" collapsed="false">
      <c r="A690" s="1"/>
      <c r="B690" s="16"/>
      <c r="C690" s="16"/>
      <c r="D690" s="15"/>
      <c r="E690" s="11" t="str">
        <f aca="false">IF(D690="","",IFERROR(INDEX(Players!$C$5:$C$304,MATCH(D690,Players!$B$5:$B$304,0)),""))</f>
        <v/>
      </c>
      <c r="F690" s="22" t="str">
        <f aca="false">IF(D690="","",IF(COUNTIFS($B$5:$B$2004,B690,$D$5:$D$2004,D690)&gt;1,"DUPLICATE",IF(ISNA(MATCH(D690,Players!$B$5:$B$304,0)),"UID not found",IF(INDEX(Players!$H$5:$H$304,MATCH(D690,Players!$B$5:$B$304,0))&lt;0,"LOW BALANCE","OK"))))</f>
        <v/>
      </c>
      <c r="G690" s="1"/>
      <c r="H690" s="1"/>
      <c r="I690" s="1"/>
    </row>
    <row r="691" customFormat="false" ht="21.75" hidden="false" customHeight="true" outlineLevel="0" collapsed="false">
      <c r="A691" s="1"/>
      <c r="B691" s="16"/>
      <c r="C691" s="16"/>
      <c r="D691" s="15"/>
      <c r="E691" s="11" t="str">
        <f aca="false">IF(D691="","",IFERROR(INDEX(Players!$C$5:$C$304,MATCH(D691,Players!$B$5:$B$304,0)),""))</f>
        <v/>
      </c>
      <c r="F691" s="22" t="str">
        <f aca="false">IF(D691="","",IF(COUNTIFS($B$5:$B$2004,B691,$D$5:$D$2004,D691)&gt;1,"DUPLICATE",IF(ISNA(MATCH(D691,Players!$B$5:$B$304,0)),"UID not found",IF(INDEX(Players!$H$5:$H$304,MATCH(D691,Players!$B$5:$B$304,0))&lt;0,"LOW BALANCE","OK"))))</f>
        <v/>
      </c>
      <c r="G691" s="1"/>
      <c r="H691" s="1"/>
      <c r="I691" s="1"/>
    </row>
    <row r="692" customFormat="false" ht="21.75" hidden="false" customHeight="true" outlineLevel="0" collapsed="false">
      <c r="A692" s="1"/>
      <c r="B692" s="16"/>
      <c r="C692" s="16"/>
      <c r="D692" s="15"/>
      <c r="E692" s="11" t="str">
        <f aca="false">IF(D692="","",IFERROR(INDEX(Players!$C$5:$C$304,MATCH(D692,Players!$B$5:$B$304,0)),""))</f>
        <v/>
      </c>
      <c r="F692" s="22" t="str">
        <f aca="false">IF(D692="","",IF(COUNTIFS($B$5:$B$2004,B692,$D$5:$D$2004,D692)&gt;1,"DUPLICATE",IF(ISNA(MATCH(D692,Players!$B$5:$B$304,0)),"UID not found",IF(INDEX(Players!$H$5:$H$304,MATCH(D692,Players!$B$5:$B$304,0))&lt;0,"LOW BALANCE","OK"))))</f>
        <v/>
      </c>
      <c r="G692" s="1"/>
      <c r="H692" s="1"/>
      <c r="I692" s="1"/>
    </row>
    <row r="693" customFormat="false" ht="21.75" hidden="false" customHeight="true" outlineLevel="0" collapsed="false">
      <c r="A693" s="1"/>
      <c r="B693" s="16"/>
      <c r="C693" s="16"/>
      <c r="D693" s="15"/>
      <c r="E693" s="11" t="str">
        <f aca="false">IF(D693="","",IFERROR(INDEX(Players!$C$5:$C$304,MATCH(D693,Players!$B$5:$B$304,0)),""))</f>
        <v/>
      </c>
      <c r="F693" s="22" t="str">
        <f aca="false">IF(D693="","",IF(COUNTIFS($B$5:$B$2004,B693,$D$5:$D$2004,D693)&gt;1,"DUPLICATE",IF(ISNA(MATCH(D693,Players!$B$5:$B$304,0)),"UID not found",IF(INDEX(Players!$H$5:$H$304,MATCH(D693,Players!$B$5:$B$304,0))&lt;0,"LOW BALANCE","OK"))))</f>
        <v/>
      </c>
      <c r="G693" s="1"/>
      <c r="H693" s="1"/>
      <c r="I693" s="1"/>
    </row>
    <row r="694" customFormat="false" ht="21.75" hidden="false" customHeight="true" outlineLevel="0" collapsed="false">
      <c r="A694" s="1"/>
      <c r="B694" s="16"/>
      <c r="C694" s="16"/>
      <c r="D694" s="15"/>
      <c r="E694" s="11" t="str">
        <f aca="false">IF(D694="","",IFERROR(INDEX(Players!$C$5:$C$304,MATCH(D694,Players!$B$5:$B$304,0)),""))</f>
        <v/>
      </c>
      <c r="F694" s="22" t="str">
        <f aca="false">IF(D694="","",IF(COUNTIFS($B$5:$B$2004,B694,$D$5:$D$2004,D694)&gt;1,"DUPLICATE",IF(ISNA(MATCH(D694,Players!$B$5:$B$304,0)),"UID not found",IF(INDEX(Players!$H$5:$H$304,MATCH(D694,Players!$B$5:$B$304,0))&lt;0,"LOW BALANCE","OK"))))</f>
        <v/>
      </c>
      <c r="G694" s="1"/>
      <c r="H694" s="1"/>
      <c r="I694" s="1"/>
    </row>
    <row r="695" customFormat="false" ht="21.75" hidden="false" customHeight="true" outlineLevel="0" collapsed="false">
      <c r="A695" s="1"/>
      <c r="B695" s="16"/>
      <c r="C695" s="16"/>
      <c r="D695" s="15"/>
      <c r="E695" s="11" t="str">
        <f aca="false">IF(D695="","",IFERROR(INDEX(Players!$C$5:$C$304,MATCH(D695,Players!$B$5:$B$304,0)),""))</f>
        <v/>
      </c>
      <c r="F695" s="22" t="str">
        <f aca="false">IF(D695="","",IF(COUNTIFS($B$5:$B$2004,B695,$D$5:$D$2004,D695)&gt;1,"DUPLICATE",IF(ISNA(MATCH(D695,Players!$B$5:$B$304,0)),"UID not found",IF(INDEX(Players!$H$5:$H$304,MATCH(D695,Players!$B$5:$B$304,0))&lt;0,"LOW BALANCE","OK"))))</f>
        <v/>
      </c>
      <c r="G695" s="1"/>
      <c r="H695" s="1"/>
      <c r="I695" s="1"/>
    </row>
    <row r="696" customFormat="false" ht="21.75" hidden="false" customHeight="true" outlineLevel="0" collapsed="false">
      <c r="A696" s="1"/>
      <c r="B696" s="16"/>
      <c r="C696" s="16"/>
      <c r="D696" s="15"/>
      <c r="E696" s="11" t="str">
        <f aca="false">IF(D696="","",IFERROR(INDEX(Players!$C$5:$C$304,MATCH(D696,Players!$B$5:$B$304,0)),""))</f>
        <v/>
      </c>
      <c r="F696" s="22" t="str">
        <f aca="false">IF(D696="","",IF(COUNTIFS($B$5:$B$2004,B696,$D$5:$D$2004,D696)&gt;1,"DUPLICATE",IF(ISNA(MATCH(D696,Players!$B$5:$B$304,0)),"UID not found",IF(INDEX(Players!$H$5:$H$304,MATCH(D696,Players!$B$5:$B$304,0))&lt;0,"LOW BALANCE","OK"))))</f>
        <v/>
      </c>
      <c r="G696" s="1"/>
      <c r="H696" s="1"/>
      <c r="I696" s="1"/>
    </row>
    <row r="697" customFormat="false" ht="21.75" hidden="false" customHeight="true" outlineLevel="0" collapsed="false">
      <c r="A697" s="1"/>
      <c r="B697" s="16"/>
      <c r="C697" s="16"/>
      <c r="D697" s="15"/>
      <c r="E697" s="11" t="str">
        <f aca="false">IF(D697="","",IFERROR(INDEX(Players!$C$5:$C$304,MATCH(D697,Players!$B$5:$B$304,0)),""))</f>
        <v/>
      </c>
      <c r="F697" s="22" t="str">
        <f aca="false">IF(D697="","",IF(COUNTIFS($B$5:$B$2004,B697,$D$5:$D$2004,D697)&gt;1,"DUPLICATE",IF(ISNA(MATCH(D697,Players!$B$5:$B$304,0)),"UID not found",IF(INDEX(Players!$H$5:$H$304,MATCH(D697,Players!$B$5:$B$304,0))&lt;0,"LOW BALANCE","OK"))))</f>
        <v/>
      </c>
      <c r="G697" s="1"/>
      <c r="H697" s="1"/>
      <c r="I697" s="1"/>
    </row>
    <row r="698" customFormat="false" ht="21.75" hidden="false" customHeight="true" outlineLevel="0" collapsed="false">
      <c r="A698" s="1"/>
      <c r="B698" s="16"/>
      <c r="C698" s="16"/>
      <c r="D698" s="15"/>
      <c r="E698" s="11" t="str">
        <f aca="false">IF(D698="","",IFERROR(INDEX(Players!$C$5:$C$304,MATCH(D698,Players!$B$5:$B$304,0)),""))</f>
        <v/>
      </c>
      <c r="F698" s="22" t="str">
        <f aca="false">IF(D698="","",IF(COUNTIFS($B$5:$B$2004,B698,$D$5:$D$2004,D698)&gt;1,"DUPLICATE",IF(ISNA(MATCH(D698,Players!$B$5:$B$304,0)),"UID not found",IF(INDEX(Players!$H$5:$H$304,MATCH(D698,Players!$B$5:$B$304,0))&lt;0,"LOW BALANCE","OK"))))</f>
        <v/>
      </c>
      <c r="G698" s="1"/>
      <c r="H698" s="1"/>
      <c r="I698" s="1"/>
    </row>
    <row r="699" customFormat="false" ht="21.75" hidden="false" customHeight="true" outlineLevel="0" collapsed="false">
      <c r="A699" s="1"/>
      <c r="B699" s="16"/>
      <c r="C699" s="16"/>
      <c r="D699" s="15"/>
      <c r="E699" s="11" t="str">
        <f aca="false">IF(D699="","",IFERROR(INDEX(Players!$C$5:$C$304,MATCH(D699,Players!$B$5:$B$304,0)),""))</f>
        <v/>
      </c>
      <c r="F699" s="22" t="str">
        <f aca="false">IF(D699="","",IF(COUNTIFS($B$5:$B$2004,B699,$D$5:$D$2004,D699)&gt;1,"DUPLICATE",IF(ISNA(MATCH(D699,Players!$B$5:$B$304,0)),"UID not found",IF(INDEX(Players!$H$5:$H$304,MATCH(D699,Players!$B$5:$B$304,0))&lt;0,"LOW BALANCE","OK"))))</f>
        <v/>
      </c>
      <c r="G699" s="1"/>
      <c r="H699" s="1"/>
      <c r="I699" s="1"/>
    </row>
    <row r="700" customFormat="false" ht="21.75" hidden="false" customHeight="true" outlineLevel="0" collapsed="false">
      <c r="A700" s="1"/>
      <c r="B700" s="16"/>
      <c r="C700" s="16"/>
      <c r="D700" s="15"/>
      <c r="E700" s="11" t="str">
        <f aca="false">IF(D700="","",IFERROR(INDEX(Players!$C$5:$C$304,MATCH(D700,Players!$B$5:$B$304,0)),""))</f>
        <v/>
      </c>
      <c r="F700" s="22" t="str">
        <f aca="false">IF(D700="","",IF(COUNTIFS($B$5:$B$2004,B700,$D$5:$D$2004,D700)&gt;1,"DUPLICATE",IF(ISNA(MATCH(D700,Players!$B$5:$B$304,0)),"UID not found",IF(INDEX(Players!$H$5:$H$304,MATCH(D700,Players!$B$5:$B$304,0))&lt;0,"LOW BALANCE","OK"))))</f>
        <v/>
      </c>
      <c r="G700" s="1"/>
      <c r="H700" s="1"/>
      <c r="I700" s="1"/>
    </row>
    <row r="701" customFormat="false" ht="21.75" hidden="false" customHeight="true" outlineLevel="0" collapsed="false">
      <c r="A701" s="1"/>
      <c r="B701" s="16"/>
      <c r="C701" s="16"/>
      <c r="D701" s="15"/>
      <c r="E701" s="11" t="str">
        <f aca="false">IF(D701="","",IFERROR(INDEX(Players!$C$5:$C$304,MATCH(D701,Players!$B$5:$B$304,0)),""))</f>
        <v/>
      </c>
      <c r="F701" s="22" t="str">
        <f aca="false">IF(D701="","",IF(COUNTIFS($B$5:$B$2004,B701,$D$5:$D$2004,D701)&gt;1,"DUPLICATE",IF(ISNA(MATCH(D701,Players!$B$5:$B$304,0)),"UID not found",IF(INDEX(Players!$H$5:$H$304,MATCH(D701,Players!$B$5:$B$304,0))&lt;0,"LOW BALANCE","OK"))))</f>
        <v/>
      </c>
      <c r="G701" s="1"/>
      <c r="H701" s="1"/>
      <c r="I701" s="1"/>
    </row>
    <row r="702" customFormat="false" ht="21.75" hidden="false" customHeight="true" outlineLevel="0" collapsed="false">
      <c r="A702" s="1"/>
      <c r="B702" s="16"/>
      <c r="C702" s="16"/>
      <c r="D702" s="15"/>
      <c r="E702" s="11" t="str">
        <f aca="false">IF(D702="","",IFERROR(INDEX(Players!$C$5:$C$304,MATCH(D702,Players!$B$5:$B$304,0)),""))</f>
        <v/>
      </c>
      <c r="F702" s="22" t="str">
        <f aca="false">IF(D702="","",IF(COUNTIFS($B$5:$B$2004,B702,$D$5:$D$2004,D702)&gt;1,"DUPLICATE",IF(ISNA(MATCH(D702,Players!$B$5:$B$304,0)),"UID not found",IF(INDEX(Players!$H$5:$H$304,MATCH(D702,Players!$B$5:$B$304,0))&lt;0,"LOW BALANCE","OK"))))</f>
        <v/>
      </c>
      <c r="G702" s="1"/>
      <c r="H702" s="1"/>
      <c r="I702" s="1"/>
    </row>
    <row r="703" customFormat="false" ht="21.75" hidden="false" customHeight="true" outlineLevel="0" collapsed="false">
      <c r="A703" s="1"/>
      <c r="B703" s="16"/>
      <c r="C703" s="16"/>
      <c r="D703" s="15"/>
      <c r="E703" s="11" t="str">
        <f aca="false">IF(D703="","",IFERROR(INDEX(Players!$C$5:$C$304,MATCH(D703,Players!$B$5:$B$304,0)),""))</f>
        <v/>
      </c>
      <c r="F703" s="22" t="str">
        <f aca="false">IF(D703="","",IF(COUNTIFS($B$5:$B$2004,B703,$D$5:$D$2004,D703)&gt;1,"DUPLICATE",IF(ISNA(MATCH(D703,Players!$B$5:$B$304,0)),"UID not found",IF(INDEX(Players!$H$5:$H$304,MATCH(D703,Players!$B$5:$B$304,0))&lt;0,"LOW BALANCE","OK"))))</f>
        <v/>
      </c>
      <c r="G703" s="1"/>
      <c r="H703" s="1"/>
      <c r="I703" s="1"/>
    </row>
    <row r="704" customFormat="false" ht="21.75" hidden="false" customHeight="true" outlineLevel="0" collapsed="false">
      <c r="A704" s="1"/>
      <c r="B704" s="16"/>
      <c r="C704" s="16"/>
      <c r="D704" s="15"/>
      <c r="E704" s="11" t="str">
        <f aca="false">IF(D704="","",IFERROR(INDEX(Players!$C$5:$C$304,MATCH(D704,Players!$B$5:$B$304,0)),""))</f>
        <v/>
      </c>
      <c r="F704" s="22" t="str">
        <f aca="false">IF(D704="","",IF(COUNTIFS($B$5:$B$2004,B704,$D$5:$D$2004,D704)&gt;1,"DUPLICATE",IF(ISNA(MATCH(D704,Players!$B$5:$B$304,0)),"UID not found",IF(INDEX(Players!$H$5:$H$304,MATCH(D704,Players!$B$5:$B$304,0))&lt;0,"LOW BALANCE","OK"))))</f>
        <v/>
      </c>
      <c r="G704" s="1"/>
      <c r="H704" s="1"/>
      <c r="I704" s="1"/>
    </row>
    <row r="705" customFormat="false" ht="21.75" hidden="false" customHeight="true" outlineLevel="0" collapsed="false">
      <c r="A705" s="1"/>
      <c r="B705" s="16"/>
      <c r="C705" s="16"/>
      <c r="D705" s="15"/>
      <c r="E705" s="11" t="str">
        <f aca="false">IF(D705="","",IFERROR(INDEX(Players!$C$5:$C$304,MATCH(D705,Players!$B$5:$B$304,0)),""))</f>
        <v/>
      </c>
      <c r="F705" s="22" t="str">
        <f aca="false">IF(D705="","",IF(COUNTIFS($B$5:$B$2004,B705,$D$5:$D$2004,D705)&gt;1,"DUPLICATE",IF(ISNA(MATCH(D705,Players!$B$5:$B$304,0)),"UID not found",IF(INDEX(Players!$H$5:$H$304,MATCH(D705,Players!$B$5:$B$304,0))&lt;0,"LOW BALANCE","OK"))))</f>
        <v/>
      </c>
      <c r="G705" s="1"/>
      <c r="H705" s="1"/>
      <c r="I705" s="1"/>
    </row>
    <row r="706" customFormat="false" ht="21.75" hidden="false" customHeight="true" outlineLevel="0" collapsed="false">
      <c r="A706" s="1"/>
      <c r="B706" s="16"/>
      <c r="C706" s="16"/>
      <c r="D706" s="15"/>
      <c r="E706" s="11" t="str">
        <f aca="false">IF(D706="","",IFERROR(INDEX(Players!$C$5:$C$304,MATCH(D706,Players!$B$5:$B$304,0)),""))</f>
        <v/>
      </c>
      <c r="F706" s="22" t="str">
        <f aca="false">IF(D706="","",IF(COUNTIFS($B$5:$B$2004,B706,$D$5:$D$2004,D706)&gt;1,"DUPLICATE",IF(ISNA(MATCH(D706,Players!$B$5:$B$304,0)),"UID not found",IF(INDEX(Players!$H$5:$H$304,MATCH(D706,Players!$B$5:$B$304,0))&lt;0,"LOW BALANCE","OK"))))</f>
        <v/>
      </c>
      <c r="G706" s="1"/>
      <c r="H706" s="1"/>
      <c r="I706" s="1"/>
    </row>
    <row r="707" customFormat="false" ht="21.75" hidden="false" customHeight="true" outlineLevel="0" collapsed="false">
      <c r="A707" s="1"/>
      <c r="B707" s="16"/>
      <c r="C707" s="16"/>
      <c r="D707" s="15"/>
      <c r="E707" s="11" t="str">
        <f aca="false">IF(D707="","",IFERROR(INDEX(Players!$C$5:$C$304,MATCH(D707,Players!$B$5:$B$304,0)),""))</f>
        <v/>
      </c>
      <c r="F707" s="22" t="str">
        <f aca="false">IF(D707="","",IF(COUNTIFS($B$5:$B$2004,B707,$D$5:$D$2004,D707)&gt;1,"DUPLICATE",IF(ISNA(MATCH(D707,Players!$B$5:$B$304,0)),"UID not found",IF(INDEX(Players!$H$5:$H$304,MATCH(D707,Players!$B$5:$B$304,0))&lt;0,"LOW BALANCE","OK"))))</f>
        <v/>
      </c>
      <c r="G707" s="1"/>
      <c r="H707" s="1"/>
      <c r="I707" s="1"/>
    </row>
    <row r="708" customFormat="false" ht="21.75" hidden="false" customHeight="true" outlineLevel="0" collapsed="false">
      <c r="A708" s="1"/>
      <c r="B708" s="16"/>
      <c r="C708" s="16"/>
      <c r="D708" s="15"/>
      <c r="E708" s="11" t="str">
        <f aca="false">IF(D708="","",IFERROR(INDEX(Players!$C$5:$C$304,MATCH(D708,Players!$B$5:$B$304,0)),""))</f>
        <v/>
      </c>
      <c r="F708" s="22" t="str">
        <f aca="false">IF(D708="","",IF(COUNTIFS($B$5:$B$2004,B708,$D$5:$D$2004,D708)&gt;1,"DUPLICATE",IF(ISNA(MATCH(D708,Players!$B$5:$B$304,0)),"UID not found",IF(INDEX(Players!$H$5:$H$304,MATCH(D708,Players!$B$5:$B$304,0))&lt;0,"LOW BALANCE","OK"))))</f>
        <v/>
      </c>
      <c r="G708" s="1"/>
      <c r="H708" s="1"/>
      <c r="I708" s="1"/>
    </row>
    <row r="709" customFormat="false" ht="21.75" hidden="false" customHeight="true" outlineLevel="0" collapsed="false">
      <c r="A709" s="1"/>
      <c r="B709" s="16"/>
      <c r="C709" s="16"/>
      <c r="D709" s="15"/>
      <c r="E709" s="11" t="str">
        <f aca="false">IF(D709="","",IFERROR(INDEX(Players!$C$5:$C$304,MATCH(D709,Players!$B$5:$B$304,0)),""))</f>
        <v/>
      </c>
      <c r="F709" s="22" t="str">
        <f aca="false">IF(D709="","",IF(COUNTIFS($B$5:$B$2004,B709,$D$5:$D$2004,D709)&gt;1,"DUPLICATE",IF(ISNA(MATCH(D709,Players!$B$5:$B$304,0)),"UID not found",IF(INDEX(Players!$H$5:$H$304,MATCH(D709,Players!$B$5:$B$304,0))&lt;0,"LOW BALANCE","OK"))))</f>
        <v/>
      </c>
      <c r="G709" s="1"/>
      <c r="H709" s="1"/>
      <c r="I709" s="1"/>
    </row>
    <row r="710" customFormat="false" ht="21.75" hidden="false" customHeight="true" outlineLevel="0" collapsed="false">
      <c r="A710" s="1"/>
      <c r="B710" s="16"/>
      <c r="C710" s="16"/>
      <c r="D710" s="15"/>
      <c r="E710" s="11" t="str">
        <f aca="false">IF(D710="","",IFERROR(INDEX(Players!$C$5:$C$304,MATCH(D710,Players!$B$5:$B$304,0)),""))</f>
        <v/>
      </c>
      <c r="F710" s="22" t="str">
        <f aca="false">IF(D710="","",IF(COUNTIFS($B$5:$B$2004,B710,$D$5:$D$2004,D710)&gt;1,"DUPLICATE",IF(ISNA(MATCH(D710,Players!$B$5:$B$304,0)),"UID not found",IF(INDEX(Players!$H$5:$H$304,MATCH(D710,Players!$B$5:$B$304,0))&lt;0,"LOW BALANCE","OK"))))</f>
        <v/>
      </c>
      <c r="G710" s="1"/>
      <c r="H710" s="1"/>
      <c r="I710" s="1"/>
    </row>
    <row r="711" customFormat="false" ht="21.75" hidden="false" customHeight="true" outlineLevel="0" collapsed="false">
      <c r="A711" s="1"/>
      <c r="B711" s="16"/>
      <c r="C711" s="16"/>
      <c r="D711" s="15"/>
      <c r="E711" s="11" t="str">
        <f aca="false">IF(D711="","",IFERROR(INDEX(Players!$C$5:$C$304,MATCH(D711,Players!$B$5:$B$304,0)),""))</f>
        <v/>
      </c>
      <c r="F711" s="22" t="str">
        <f aca="false">IF(D711="","",IF(COUNTIFS($B$5:$B$2004,B711,$D$5:$D$2004,D711)&gt;1,"DUPLICATE",IF(ISNA(MATCH(D711,Players!$B$5:$B$304,0)),"UID not found",IF(INDEX(Players!$H$5:$H$304,MATCH(D711,Players!$B$5:$B$304,0))&lt;0,"LOW BALANCE","OK"))))</f>
        <v/>
      </c>
      <c r="G711" s="1"/>
      <c r="H711" s="1"/>
      <c r="I711" s="1"/>
    </row>
    <row r="712" customFormat="false" ht="21.75" hidden="false" customHeight="true" outlineLevel="0" collapsed="false">
      <c r="A712" s="1"/>
      <c r="B712" s="16"/>
      <c r="C712" s="16"/>
      <c r="D712" s="15"/>
      <c r="E712" s="11" t="str">
        <f aca="false">IF(D712="","",IFERROR(INDEX(Players!$C$5:$C$304,MATCH(D712,Players!$B$5:$B$304,0)),""))</f>
        <v/>
      </c>
      <c r="F712" s="22" t="str">
        <f aca="false">IF(D712="","",IF(COUNTIFS($B$5:$B$2004,B712,$D$5:$D$2004,D712)&gt;1,"DUPLICATE",IF(ISNA(MATCH(D712,Players!$B$5:$B$304,0)),"UID not found",IF(INDEX(Players!$H$5:$H$304,MATCH(D712,Players!$B$5:$B$304,0))&lt;0,"LOW BALANCE","OK"))))</f>
        <v/>
      </c>
      <c r="G712" s="1"/>
      <c r="H712" s="1"/>
      <c r="I712" s="1"/>
    </row>
    <row r="713" customFormat="false" ht="21.75" hidden="false" customHeight="true" outlineLevel="0" collapsed="false">
      <c r="A713" s="1"/>
      <c r="B713" s="16"/>
      <c r="C713" s="16"/>
      <c r="D713" s="15"/>
      <c r="E713" s="11" t="str">
        <f aca="false">IF(D713="","",IFERROR(INDEX(Players!$C$5:$C$304,MATCH(D713,Players!$B$5:$B$304,0)),""))</f>
        <v/>
      </c>
      <c r="F713" s="22" t="str">
        <f aca="false">IF(D713="","",IF(COUNTIFS($B$5:$B$2004,B713,$D$5:$D$2004,D713)&gt;1,"DUPLICATE",IF(ISNA(MATCH(D713,Players!$B$5:$B$304,0)),"UID not found",IF(INDEX(Players!$H$5:$H$304,MATCH(D713,Players!$B$5:$B$304,0))&lt;0,"LOW BALANCE","OK"))))</f>
        <v/>
      </c>
      <c r="G713" s="1"/>
      <c r="H713" s="1"/>
      <c r="I713" s="1"/>
    </row>
    <row r="714" customFormat="false" ht="21.75" hidden="false" customHeight="true" outlineLevel="0" collapsed="false">
      <c r="A714" s="1"/>
      <c r="B714" s="16"/>
      <c r="C714" s="16"/>
      <c r="D714" s="15"/>
      <c r="E714" s="11" t="str">
        <f aca="false">IF(D714="","",IFERROR(INDEX(Players!$C$5:$C$304,MATCH(D714,Players!$B$5:$B$304,0)),""))</f>
        <v/>
      </c>
      <c r="F714" s="22" t="str">
        <f aca="false">IF(D714="","",IF(COUNTIFS($B$5:$B$2004,B714,$D$5:$D$2004,D714)&gt;1,"DUPLICATE",IF(ISNA(MATCH(D714,Players!$B$5:$B$304,0)),"UID not found",IF(INDEX(Players!$H$5:$H$304,MATCH(D714,Players!$B$5:$B$304,0))&lt;0,"LOW BALANCE","OK"))))</f>
        <v/>
      </c>
      <c r="G714" s="1"/>
      <c r="H714" s="1"/>
      <c r="I714" s="1"/>
    </row>
    <row r="715" customFormat="false" ht="21.75" hidden="false" customHeight="true" outlineLevel="0" collapsed="false">
      <c r="A715" s="1"/>
      <c r="B715" s="16"/>
      <c r="C715" s="16"/>
      <c r="D715" s="15"/>
      <c r="E715" s="11" t="str">
        <f aca="false">IF(D715="","",IFERROR(INDEX(Players!$C$5:$C$304,MATCH(D715,Players!$B$5:$B$304,0)),""))</f>
        <v/>
      </c>
      <c r="F715" s="22" t="str">
        <f aca="false">IF(D715="","",IF(COUNTIFS($B$5:$B$2004,B715,$D$5:$D$2004,D715)&gt;1,"DUPLICATE",IF(ISNA(MATCH(D715,Players!$B$5:$B$304,0)),"UID not found",IF(INDEX(Players!$H$5:$H$304,MATCH(D715,Players!$B$5:$B$304,0))&lt;0,"LOW BALANCE","OK"))))</f>
        <v/>
      </c>
      <c r="G715" s="1"/>
      <c r="H715" s="1"/>
      <c r="I715" s="1"/>
    </row>
    <row r="716" customFormat="false" ht="21.75" hidden="false" customHeight="true" outlineLevel="0" collapsed="false">
      <c r="A716" s="1"/>
      <c r="B716" s="16"/>
      <c r="C716" s="16"/>
      <c r="D716" s="15"/>
      <c r="E716" s="11" t="str">
        <f aca="false">IF(D716="","",IFERROR(INDEX(Players!$C$5:$C$304,MATCH(D716,Players!$B$5:$B$304,0)),""))</f>
        <v/>
      </c>
      <c r="F716" s="22" t="str">
        <f aca="false">IF(D716="","",IF(COUNTIFS($B$5:$B$2004,B716,$D$5:$D$2004,D716)&gt;1,"DUPLICATE",IF(ISNA(MATCH(D716,Players!$B$5:$B$304,0)),"UID not found",IF(INDEX(Players!$H$5:$H$304,MATCH(D716,Players!$B$5:$B$304,0))&lt;0,"LOW BALANCE","OK"))))</f>
        <v/>
      </c>
      <c r="G716" s="1"/>
      <c r="H716" s="1"/>
      <c r="I716" s="1"/>
    </row>
    <row r="717" customFormat="false" ht="21.75" hidden="false" customHeight="true" outlineLevel="0" collapsed="false">
      <c r="A717" s="1"/>
      <c r="B717" s="16"/>
      <c r="C717" s="16"/>
      <c r="D717" s="15"/>
      <c r="E717" s="11" t="str">
        <f aca="false">IF(D717="","",IFERROR(INDEX(Players!$C$5:$C$304,MATCH(D717,Players!$B$5:$B$304,0)),""))</f>
        <v/>
      </c>
      <c r="F717" s="22" t="str">
        <f aca="false">IF(D717="","",IF(COUNTIFS($B$5:$B$2004,B717,$D$5:$D$2004,D717)&gt;1,"DUPLICATE",IF(ISNA(MATCH(D717,Players!$B$5:$B$304,0)),"UID not found",IF(INDEX(Players!$H$5:$H$304,MATCH(D717,Players!$B$5:$B$304,0))&lt;0,"LOW BALANCE","OK"))))</f>
        <v/>
      </c>
      <c r="G717" s="1"/>
      <c r="H717" s="1"/>
      <c r="I717" s="1"/>
    </row>
    <row r="718" customFormat="false" ht="21.75" hidden="false" customHeight="true" outlineLevel="0" collapsed="false">
      <c r="A718" s="1"/>
      <c r="B718" s="16"/>
      <c r="C718" s="16"/>
      <c r="D718" s="15"/>
      <c r="E718" s="11" t="str">
        <f aca="false">IF(D718="","",IFERROR(INDEX(Players!$C$5:$C$304,MATCH(D718,Players!$B$5:$B$304,0)),""))</f>
        <v/>
      </c>
      <c r="F718" s="22" t="str">
        <f aca="false">IF(D718="","",IF(COUNTIFS($B$5:$B$2004,B718,$D$5:$D$2004,D718)&gt;1,"DUPLICATE",IF(ISNA(MATCH(D718,Players!$B$5:$B$304,0)),"UID not found",IF(INDEX(Players!$H$5:$H$304,MATCH(D718,Players!$B$5:$B$304,0))&lt;0,"LOW BALANCE","OK"))))</f>
        <v/>
      </c>
      <c r="G718" s="1"/>
      <c r="H718" s="1"/>
      <c r="I718" s="1"/>
    </row>
    <row r="719" customFormat="false" ht="21.75" hidden="false" customHeight="true" outlineLevel="0" collapsed="false">
      <c r="A719" s="1"/>
      <c r="B719" s="16"/>
      <c r="C719" s="16"/>
      <c r="D719" s="15"/>
      <c r="E719" s="11" t="str">
        <f aca="false">IF(D719="","",IFERROR(INDEX(Players!$C$5:$C$304,MATCH(D719,Players!$B$5:$B$304,0)),""))</f>
        <v/>
      </c>
      <c r="F719" s="22" t="str">
        <f aca="false">IF(D719="","",IF(COUNTIFS($B$5:$B$2004,B719,$D$5:$D$2004,D719)&gt;1,"DUPLICATE",IF(ISNA(MATCH(D719,Players!$B$5:$B$304,0)),"UID not found",IF(INDEX(Players!$H$5:$H$304,MATCH(D719,Players!$B$5:$B$304,0))&lt;0,"LOW BALANCE","OK"))))</f>
        <v/>
      </c>
      <c r="G719" s="1"/>
      <c r="H719" s="1"/>
      <c r="I719" s="1"/>
    </row>
    <row r="720" customFormat="false" ht="21.75" hidden="false" customHeight="true" outlineLevel="0" collapsed="false">
      <c r="A720" s="1"/>
      <c r="B720" s="16"/>
      <c r="C720" s="16"/>
      <c r="D720" s="15"/>
      <c r="E720" s="11" t="str">
        <f aca="false">IF(D720="","",IFERROR(INDEX(Players!$C$5:$C$304,MATCH(D720,Players!$B$5:$B$304,0)),""))</f>
        <v/>
      </c>
      <c r="F720" s="22" t="str">
        <f aca="false">IF(D720="","",IF(COUNTIFS($B$5:$B$2004,B720,$D$5:$D$2004,D720)&gt;1,"DUPLICATE",IF(ISNA(MATCH(D720,Players!$B$5:$B$304,0)),"UID not found",IF(INDEX(Players!$H$5:$H$304,MATCH(D720,Players!$B$5:$B$304,0))&lt;0,"LOW BALANCE","OK"))))</f>
        <v/>
      </c>
      <c r="G720" s="1"/>
      <c r="H720" s="1"/>
      <c r="I720" s="1"/>
    </row>
    <row r="721" customFormat="false" ht="21.75" hidden="false" customHeight="true" outlineLevel="0" collapsed="false">
      <c r="A721" s="1"/>
      <c r="B721" s="16"/>
      <c r="C721" s="16"/>
      <c r="D721" s="15"/>
      <c r="E721" s="11" t="str">
        <f aca="false">IF(D721="","",IFERROR(INDEX(Players!$C$5:$C$304,MATCH(D721,Players!$B$5:$B$304,0)),""))</f>
        <v/>
      </c>
      <c r="F721" s="22" t="str">
        <f aca="false">IF(D721="","",IF(COUNTIFS($B$5:$B$2004,B721,$D$5:$D$2004,D721)&gt;1,"DUPLICATE",IF(ISNA(MATCH(D721,Players!$B$5:$B$304,0)),"UID not found",IF(INDEX(Players!$H$5:$H$304,MATCH(D721,Players!$B$5:$B$304,0))&lt;0,"LOW BALANCE","OK"))))</f>
        <v/>
      </c>
      <c r="G721" s="1"/>
      <c r="H721" s="1"/>
      <c r="I721" s="1"/>
    </row>
    <row r="722" customFormat="false" ht="21.75" hidden="false" customHeight="true" outlineLevel="0" collapsed="false">
      <c r="A722" s="1"/>
      <c r="B722" s="16"/>
      <c r="C722" s="16"/>
      <c r="D722" s="15"/>
      <c r="E722" s="11" t="str">
        <f aca="false">IF(D722="","",IFERROR(INDEX(Players!$C$5:$C$304,MATCH(D722,Players!$B$5:$B$304,0)),""))</f>
        <v/>
      </c>
      <c r="F722" s="22" t="str">
        <f aca="false">IF(D722="","",IF(COUNTIFS($B$5:$B$2004,B722,$D$5:$D$2004,D722)&gt;1,"DUPLICATE",IF(ISNA(MATCH(D722,Players!$B$5:$B$304,0)),"UID not found",IF(INDEX(Players!$H$5:$H$304,MATCH(D722,Players!$B$5:$B$304,0))&lt;0,"LOW BALANCE","OK"))))</f>
        <v/>
      </c>
      <c r="G722" s="1"/>
      <c r="H722" s="1"/>
      <c r="I722" s="1"/>
    </row>
    <row r="723" customFormat="false" ht="21.75" hidden="false" customHeight="true" outlineLevel="0" collapsed="false">
      <c r="A723" s="1"/>
      <c r="B723" s="16"/>
      <c r="C723" s="16"/>
      <c r="D723" s="15"/>
      <c r="E723" s="11" t="str">
        <f aca="false">IF(D723="","",IFERROR(INDEX(Players!$C$5:$C$304,MATCH(D723,Players!$B$5:$B$304,0)),""))</f>
        <v/>
      </c>
      <c r="F723" s="22" t="str">
        <f aca="false">IF(D723="","",IF(COUNTIFS($B$5:$B$2004,B723,$D$5:$D$2004,D723)&gt;1,"DUPLICATE",IF(ISNA(MATCH(D723,Players!$B$5:$B$304,0)),"UID not found",IF(INDEX(Players!$H$5:$H$304,MATCH(D723,Players!$B$5:$B$304,0))&lt;0,"LOW BALANCE","OK"))))</f>
        <v/>
      </c>
      <c r="G723" s="1"/>
      <c r="H723" s="1"/>
      <c r="I723" s="1"/>
    </row>
    <row r="724" customFormat="false" ht="21.75" hidden="false" customHeight="true" outlineLevel="0" collapsed="false">
      <c r="A724" s="1"/>
      <c r="B724" s="16"/>
      <c r="C724" s="16"/>
      <c r="D724" s="15"/>
      <c r="E724" s="11" t="str">
        <f aca="false">IF(D724="","",IFERROR(INDEX(Players!$C$5:$C$304,MATCH(D724,Players!$B$5:$B$304,0)),""))</f>
        <v/>
      </c>
      <c r="F724" s="22" t="str">
        <f aca="false">IF(D724="","",IF(COUNTIFS($B$5:$B$2004,B724,$D$5:$D$2004,D724)&gt;1,"DUPLICATE",IF(ISNA(MATCH(D724,Players!$B$5:$B$304,0)),"UID not found",IF(INDEX(Players!$H$5:$H$304,MATCH(D724,Players!$B$5:$B$304,0))&lt;0,"LOW BALANCE","OK"))))</f>
        <v/>
      </c>
      <c r="G724" s="1"/>
      <c r="H724" s="1"/>
      <c r="I724" s="1"/>
    </row>
    <row r="725" customFormat="false" ht="21.75" hidden="false" customHeight="true" outlineLevel="0" collapsed="false">
      <c r="A725" s="1"/>
      <c r="B725" s="16"/>
      <c r="C725" s="16"/>
      <c r="D725" s="15"/>
      <c r="E725" s="11" t="str">
        <f aca="false">IF(D725="","",IFERROR(INDEX(Players!$C$5:$C$304,MATCH(D725,Players!$B$5:$B$304,0)),""))</f>
        <v/>
      </c>
      <c r="F725" s="22" t="str">
        <f aca="false">IF(D725="","",IF(COUNTIFS($B$5:$B$2004,B725,$D$5:$D$2004,D725)&gt;1,"DUPLICATE",IF(ISNA(MATCH(D725,Players!$B$5:$B$304,0)),"UID not found",IF(INDEX(Players!$H$5:$H$304,MATCH(D725,Players!$B$5:$B$304,0))&lt;0,"LOW BALANCE","OK"))))</f>
        <v/>
      </c>
      <c r="G725" s="1"/>
      <c r="H725" s="1"/>
      <c r="I725" s="1"/>
    </row>
    <row r="726" customFormat="false" ht="21.75" hidden="false" customHeight="true" outlineLevel="0" collapsed="false">
      <c r="A726" s="1"/>
      <c r="B726" s="16"/>
      <c r="C726" s="16"/>
      <c r="D726" s="15"/>
      <c r="E726" s="11" t="str">
        <f aca="false">IF(D726="","",IFERROR(INDEX(Players!$C$5:$C$304,MATCH(D726,Players!$B$5:$B$304,0)),""))</f>
        <v/>
      </c>
      <c r="F726" s="22" t="str">
        <f aca="false">IF(D726="","",IF(COUNTIFS($B$5:$B$2004,B726,$D$5:$D$2004,D726)&gt;1,"DUPLICATE",IF(ISNA(MATCH(D726,Players!$B$5:$B$304,0)),"UID not found",IF(INDEX(Players!$H$5:$H$304,MATCH(D726,Players!$B$5:$B$304,0))&lt;0,"LOW BALANCE","OK"))))</f>
        <v/>
      </c>
      <c r="G726" s="1"/>
      <c r="H726" s="1"/>
      <c r="I726" s="1"/>
    </row>
    <row r="727" customFormat="false" ht="21.75" hidden="false" customHeight="true" outlineLevel="0" collapsed="false">
      <c r="A727" s="1"/>
      <c r="B727" s="16"/>
      <c r="C727" s="16"/>
      <c r="D727" s="15"/>
      <c r="E727" s="11" t="str">
        <f aca="false">IF(D727="","",IFERROR(INDEX(Players!$C$5:$C$304,MATCH(D727,Players!$B$5:$B$304,0)),""))</f>
        <v/>
      </c>
      <c r="F727" s="22" t="str">
        <f aca="false">IF(D727="","",IF(COUNTIFS($B$5:$B$2004,B727,$D$5:$D$2004,D727)&gt;1,"DUPLICATE",IF(ISNA(MATCH(D727,Players!$B$5:$B$304,0)),"UID not found",IF(INDEX(Players!$H$5:$H$304,MATCH(D727,Players!$B$5:$B$304,0))&lt;0,"LOW BALANCE","OK"))))</f>
        <v/>
      </c>
      <c r="G727" s="1"/>
      <c r="H727" s="1"/>
      <c r="I727" s="1"/>
    </row>
    <row r="728" customFormat="false" ht="21.75" hidden="false" customHeight="true" outlineLevel="0" collapsed="false">
      <c r="A728" s="1"/>
      <c r="B728" s="16"/>
      <c r="C728" s="16"/>
      <c r="D728" s="15"/>
      <c r="E728" s="11" t="str">
        <f aca="false">IF(D728="","",IFERROR(INDEX(Players!$C$5:$C$304,MATCH(D728,Players!$B$5:$B$304,0)),""))</f>
        <v/>
      </c>
      <c r="F728" s="22" t="str">
        <f aca="false">IF(D728="","",IF(COUNTIFS($B$5:$B$2004,B728,$D$5:$D$2004,D728)&gt;1,"DUPLICATE",IF(ISNA(MATCH(D728,Players!$B$5:$B$304,0)),"UID not found",IF(INDEX(Players!$H$5:$H$304,MATCH(D728,Players!$B$5:$B$304,0))&lt;0,"LOW BALANCE","OK"))))</f>
        <v/>
      </c>
      <c r="G728" s="1"/>
      <c r="H728" s="1"/>
      <c r="I728" s="1"/>
    </row>
    <row r="729" customFormat="false" ht="21.75" hidden="false" customHeight="true" outlineLevel="0" collapsed="false">
      <c r="A729" s="1"/>
      <c r="B729" s="16"/>
      <c r="C729" s="16"/>
      <c r="D729" s="15"/>
      <c r="E729" s="11" t="str">
        <f aca="false">IF(D729="","",IFERROR(INDEX(Players!$C$5:$C$304,MATCH(D729,Players!$B$5:$B$304,0)),""))</f>
        <v/>
      </c>
      <c r="F729" s="22" t="str">
        <f aca="false">IF(D729="","",IF(COUNTIFS($B$5:$B$2004,B729,$D$5:$D$2004,D729)&gt;1,"DUPLICATE",IF(ISNA(MATCH(D729,Players!$B$5:$B$304,0)),"UID not found",IF(INDEX(Players!$H$5:$H$304,MATCH(D729,Players!$B$5:$B$304,0))&lt;0,"LOW BALANCE","OK"))))</f>
        <v/>
      </c>
      <c r="G729" s="1"/>
      <c r="H729" s="1"/>
      <c r="I729" s="1"/>
    </row>
    <row r="730" customFormat="false" ht="21.75" hidden="false" customHeight="true" outlineLevel="0" collapsed="false">
      <c r="A730" s="1"/>
      <c r="B730" s="16"/>
      <c r="C730" s="16"/>
      <c r="D730" s="15"/>
      <c r="E730" s="11" t="str">
        <f aca="false">IF(D730="","",IFERROR(INDEX(Players!$C$5:$C$304,MATCH(D730,Players!$B$5:$B$304,0)),""))</f>
        <v/>
      </c>
      <c r="F730" s="22" t="str">
        <f aca="false">IF(D730="","",IF(COUNTIFS($B$5:$B$2004,B730,$D$5:$D$2004,D730)&gt;1,"DUPLICATE",IF(ISNA(MATCH(D730,Players!$B$5:$B$304,0)),"UID not found",IF(INDEX(Players!$H$5:$H$304,MATCH(D730,Players!$B$5:$B$304,0))&lt;0,"LOW BALANCE","OK"))))</f>
        <v/>
      </c>
      <c r="G730" s="1"/>
      <c r="H730" s="1"/>
      <c r="I730" s="1"/>
    </row>
    <row r="731" customFormat="false" ht="21.75" hidden="false" customHeight="true" outlineLevel="0" collapsed="false">
      <c r="A731" s="1"/>
      <c r="B731" s="16"/>
      <c r="C731" s="16"/>
      <c r="D731" s="15"/>
      <c r="E731" s="11" t="str">
        <f aca="false">IF(D731="","",IFERROR(INDEX(Players!$C$5:$C$304,MATCH(D731,Players!$B$5:$B$304,0)),""))</f>
        <v/>
      </c>
      <c r="F731" s="22" t="str">
        <f aca="false">IF(D731="","",IF(COUNTIFS($B$5:$B$2004,B731,$D$5:$D$2004,D731)&gt;1,"DUPLICATE",IF(ISNA(MATCH(D731,Players!$B$5:$B$304,0)),"UID not found",IF(INDEX(Players!$H$5:$H$304,MATCH(D731,Players!$B$5:$B$304,0))&lt;0,"LOW BALANCE","OK"))))</f>
        <v/>
      </c>
      <c r="G731" s="1"/>
      <c r="H731" s="1"/>
      <c r="I731" s="1"/>
    </row>
    <row r="732" customFormat="false" ht="21.75" hidden="false" customHeight="true" outlineLevel="0" collapsed="false">
      <c r="A732" s="1"/>
      <c r="B732" s="16"/>
      <c r="C732" s="16"/>
      <c r="D732" s="15"/>
      <c r="E732" s="11" t="str">
        <f aca="false">IF(D732="","",IFERROR(INDEX(Players!$C$5:$C$304,MATCH(D732,Players!$B$5:$B$304,0)),""))</f>
        <v/>
      </c>
      <c r="F732" s="22" t="str">
        <f aca="false">IF(D732="","",IF(COUNTIFS($B$5:$B$2004,B732,$D$5:$D$2004,D732)&gt;1,"DUPLICATE",IF(ISNA(MATCH(D732,Players!$B$5:$B$304,0)),"UID not found",IF(INDEX(Players!$H$5:$H$304,MATCH(D732,Players!$B$5:$B$304,0))&lt;0,"LOW BALANCE","OK"))))</f>
        <v/>
      </c>
      <c r="G732" s="1"/>
      <c r="H732" s="1"/>
      <c r="I732" s="1"/>
    </row>
    <row r="733" customFormat="false" ht="21.75" hidden="false" customHeight="true" outlineLevel="0" collapsed="false">
      <c r="A733" s="1"/>
      <c r="B733" s="16"/>
      <c r="C733" s="16"/>
      <c r="D733" s="15"/>
      <c r="E733" s="11" t="str">
        <f aca="false">IF(D733="","",IFERROR(INDEX(Players!$C$5:$C$304,MATCH(D733,Players!$B$5:$B$304,0)),""))</f>
        <v/>
      </c>
      <c r="F733" s="22" t="str">
        <f aca="false">IF(D733="","",IF(COUNTIFS($B$5:$B$2004,B733,$D$5:$D$2004,D733)&gt;1,"DUPLICATE",IF(ISNA(MATCH(D733,Players!$B$5:$B$304,0)),"UID not found",IF(INDEX(Players!$H$5:$H$304,MATCH(D733,Players!$B$5:$B$304,0))&lt;0,"LOW BALANCE","OK"))))</f>
        <v/>
      </c>
      <c r="G733" s="1"/>
      <c r="H733" s="1"/>
      <c r="I733" s="1"/>
    </row>
    <row r="734" customFormat="false" ht="21.75" hidden="false" customHeight="true" outlineLevel="0" collapsed="false">
      <c r="A734" s="1"/>
      <c r="B734" s="16"/>
      <c r="C734" s="16"/>
      <c r="D734" s="15"/>
      <c r="E734" s="11" t="str">
        <f aca="false">IF(D734="","",IFERROR(INDEX(Players!$C$5:$C$304,MATCH(D734,Players!$B$5:$B$304,0)),""))</f>
        <v/>
      </c>
      <c r="F734" s="22" t="str">
        <f aca="false">IF(D734="","",IF(COUNTIFS($B$5:$B$2004,B734,$D$5:$D$2004,D734)&gt;1,"DUPLICATE",IF(ISNA(MATCH(D734,Players!$B$5:$B$304,0)),"UID not found",IF(INDEX(Players!$H$5:$H$304,MATCH(D734,Players!$B$5:$B$304,0))&lt;0,"LOW BALANCE","OK"))))</f>
        <v/>
      </c>
      <c r="G734" s="1"/>
      <c r="H734" s="1"/>
      <c r="I734" s="1"/>
    </row>
    <row r="735" customFormat="false" ht="21.75" hidden="false" customHeight="true" outlineLevel="0" collapsed="false">
      <c r="A735" s="1"/>
      <c r="B735" s="16"/>
      <c r="C735" s="16"/>
      <c r="D735" s="15"/>
      <c r="E735" s="11" t="str">
        <f aca="false">IF(D735="","",IFERROR(INDEX(Players!$C$5:$C$304,MATCH(D735,Players!$B$5:$B$304,0)),""))</f>
        <v/>
      </c>
      <c r="F735" s="22" t="str">
        <f aca="false">IF(D735="","",IF(COUNTIFS($B$5:$B$2004,B735,$D$5:$D$2004,D735)&gt;1,"DUPLICATE",IF(ISNA(MATCH(D735,Players!$B$5:$B$304,0)),"UID not found",IF(INDEX(Players!$H$5:$H$304,MATCH(D735,Players!$B$5:$B$304,0))&lt;0,"LOW BALANCE","OK"))))</f>
        <v/>
      </c>
      <c r="G735" s="1"/>
      <c r="H735" s="1"/>
      <c r="I735" s="1"/>
    </row>
    <row r="736" customFormat="false" ht="21.75" hidden="false" customHeight="true" outlineLevel="0" collapsed="false">
      <c r="A736" s="1"/>
      <c r="B736" s="16"/>
      <c r="C736" s="16"/>
      <c r="D736" s="15"/>
      <c r="E736" s="11" t="str">
        <f aca="false">IF(D736="","",IFERROR(INDEX(Players!$C$5:$C$304,MATCH(D736,Players!$B$5:$B$304,0)),""))</f>
        <v/>
      </c>
      <c r="F736" s="22" t="str">
        <f aca="false">IF(D736="","",IF(COUNTIFS($B$5:$B$2004,B736,$D$5:$D$2004,D736)&gt;1,"DUPLICATE",IF(ISNA(MATCH(D736,Players!$B$5:$B$304,0)),"UID not found",IF(INDEX(Players!$H$5:$H$304,MATCH(D736,Players!$B$5:$B$304,0))&lt;0,"LOW BALANCE","OK"))))</f>
        <v/>
      </c>
      <c r="G736" s="1"/>
      <c r="H736" s="1"/>
      <c r="I736" s="1"/>
    </row>
    <row r="737" customFormat="false" ht="21.75" hidden="false" customHeight="true" outlineLevel="0" collapsed="false">
      <c r="A737" s="1"/>
      <c r="B737" s="16"/>
      <c r="C737" s="16"/>
      <c r="D737" s="15"/>
      <c r="E737" s="11" t="str">
        <f aca="false">IF(D737="","",IFERROR(INDEX(Players!$C$5:$C$304,MATCH(D737,Players!$B$5:$B$304,0)),""))</f>
        <v/>
      </c>
      <c r="F737" s="22" t="str">
        <f aca="false">IF(D737="","",IF(COUNTIFS($B$5:$B$2004,B737,$D$5:$D$2004,D737)&gt;1,"DUPLICATE",IF(ISNA(MATCH(D737,Players!$B$5:$B$304,0)),"UID not found",IF(INDEX(Players!$H$5:$H$304,MATCH(D737,Players!$B$5:$B$304,0))&lt;0,"LOW BALANCE","OK"))))</f>
        <v/>
      </c>
      <c r="G737" s="1"/>
      <c r="H737" s="1"/>
      <c r="I737" s="1"/>
    </row>
    <row r="738" customFormat="false" ht="21.75" hidden="false" customHeight="true" outlineLevel="0" collapsed="false">
      <c r="A738" s="1"/>
      <c r="B738" s="16"/>
      <c r="C738" s="16"/>
      <c r="D738" s="15"/>
      <c r="E738" s="11" t="str">
        <f aca="false">IF(D738="","",IFERROR(INDEX(Players!$C$5:$C$304,MATCH(D738,Players!$B$5:$B$304,0)),""))</f>
        <v/>
      </c>
      <c r="F738" s="22" t="str">
        <f aca="false">IF(D738="","",IF(COUNTIFS($B$5:$B$2004,B738,$D$5:$D$2004,D738)&gt;1,"DUPLICATE",IF(ISNA(MATCH(D738,Players!$B$5:$B$304,0)),"UID not found",IF(INDEX(Players!$H$5:$H$304,MATCH(D738,Players!$B$5:$B$304,0))&lt;0,"LOW BALANCE","OK"))))</f>
        <v/>
      </c>
      <c r="G738" s="1"/>
      <c r="H738" s="1"/>
      <c r="I738" s="1"/>
    </row>
    <row r="739" customFormat="false" ht="21.75" hidden="false" customHeight="true" outlineLevel="0" collapsed="false">
      <c r="A739" s="1"/>
      <c r="B739" s="16"/>
      <c r="C739" s="16"/>
      <c r="D739" s="15"/>
      <c r="E739" s="11" t="str">
        <f aca="false">IF(D739="","",IFERROR(INDEX(Players!$C$5:$C$304,MATCH(D739,Players!$B$5:$B$304,0)),""))</f>
        <v/>
      </c>
      <c r="F739" s="22" t="str">
        <f aca="false">IF(D739="","",IF(COUNTIFS($B$5:$B$2004,B739,$D$5:$D$2004,D739)&gt;1,"DUPLICATE",IF(ISNA(MATCH(D739,Players!$B$5:$B$304,0)),"UID not found",IF(INDEX(Players!$H$5:$H$304,MATCH(D739,Players!$B$5:$B$304,0))&lt;0,"LOW BALANCE","OK"))))</f>
        <v/>
      </c>
      <c r="G739" s="1"/>
      <c r="H739" s="1"/>
      <c r="I739" s="1"/>
    </row>
    <row r="740" customFormat="false" ht="21.75" hidden="false" customHeight="true" outlineLevel="0" collapsed="false">
      <c r="A740" s="1"/>
      <c r="B740" s="16"/>
      <c r="C740" s="16"/>
      <c r="D740" s="15"/>
      <c r="E740" s="11" t="str">
        <f aca="false">IF(D740="","",IFERROR(INDEX(Players!$C$5:$C$304,MATCH(D740,Players!$B$5:$B$304,0)),""))</f>
        <v/>
      </c>
      <c r="F740" s="22" t="str">
        <f aca="false">IF(D740="","",IF(COUNTIFS($B$5:$B$2004,B740,$D$5:$D$2004,D740)&gt;1,"DUPLICATE",IF(ISNA(MATCH(D740,Players!$B$5:$B$304,0)),"UID not found",IF(INDEX(Players!$H$5:$H$304,MATCH(D740,Players!$B$5:$B$304,0))&lt;0,"LOW BALANCE","OK"))))</f>
        <v/>
      </c>
      <c r="G740" s="1"/>
      <c r="H740" s="1"/>
      <c r="I740" s="1"/>
    </row>
    <row r="741" customFormat="false" ht="21.75" hidden="false" customHeight="true" outlineLevel="0" collapsed="false">
      <c r="A741" s="1"/>
      <c r="B741" s="16"/>
      <c r="C741" s="16"/>
      <c r="D741" s="15"/>
      <c r="E741" s="11" t="str">
        <f aca="false">IF(D741="","",IFERROR(INDEX(Players!$C$5:$C$304,MATCH(D741,Players!$B$5:$B$304,0)),""))</f>
        <v/>
      </c>
      <c r="F741" s="22" t="str">
        <f aca="false">IF(D741="","",IF(COUNTIFS($B$5:$B$2004,B741,$D$5:$D$2004,D741)&gt;1,"DUPLICATE",IF(ISNA(MATCH(D741,Players!$B$5:$B$304,0)),"UID not found",IF(INDEX(Players!$H$5:$H$304,MATCH(D741,Players!$B$5:$B$304,0))&lt;0,"LOW BALANCE","OK"))))</f>
        <v/>
      </c>
      <c r="G741" s="1"/>
      <c r="H741" s="1"/>
      <c r="I741" s="1"/>
    </row>
    <row r="742" customFormat="false" ht="21.75" hidden="false" customHeight="true" outlineLevel="0" collapsed="false">
      <c r="A742" s="1"/>
      <c r="B742" s="16"/>
      <c r="C742" s="16"/>
      <c r="D742" s="15"/>
      <c r="E742" s="11" t="str">
        <f aca="false">IF(D742="","",IFERROR(INDEX(Players!$C$5:$C$304,MATCH(D742,Players!$B$5:$B$304,0)),""))</f>
        <v/>
      </c>
      <c r="F742" s="22" t="str">
        <f aca="false">IF(D742="","",IF(COUNTIFS($B$5:$B$2004,B742,$D$5:$D$2004,D742)&gt;1,"DUPLICATE",IF(ISNA(MATCH(D742,Players!$B$5:$B$304,0)),"UID not found",IF(INDEX(Players!$H$5:$H$304,MATCH(D742,Players!$B$5:$B$304,0))&lt;0,"LOW BALANCE","OK"))))</f>
        <v/>
      </c>
      <c r="G742" s="1"/>
      <c r="H742" s="1"/>
      <c r="I742" s="1"/>
    </row>
    <row r="743" customFormat="false" ht="21.75" hidden="false" customHeight="true" outlineLevel="0" collapsed="false">
      <c r="A743" s="1"/>
      <c r="B743" s="16"/>
      <c r="C743" s="16"/>
      <c r="D743" s="15"/>
      <c r="E743" s="11" t="str">
        <f aca="false">IF(D743="","",IFERROR(INDEX(Players!$C$5:$C$304,MATCH(D743,Players!$B$5:$B$304,0)),""))</f>
        <v/>
      </c>
      <c r="F743" s="22" t="str">
        <f aca="false">IF(D743="","",IF(COUNTIFS($B$5:$B$2004,B743,$D$5:$D$2004,D743)&gt;1,"DUPLICATE",IF(ISNA(MATCH(D743,Players!$B$5:$B$304,0)),"UID not found",IF(INDEX(Players!$H$5:$H$304,MATCH(D743,Players!$B$5:$B$304,0))&lt;0,"LOW BALANCE","OK"))))</f>
        <v/>
      </c>
      <c r="G743" s="1"/>
      <c r="H743" s="1"/>
      <c r="I743" s="1"/>
    </row>
    <row r="744" customFormat="false" ht="21.75" hidden="false" customHeight="true" outlineLevel="0" collapsed="false">
      <c r="A744" s="1"/>
      <c r="B744" s="16"/>
      <c r="C744" s="16"/>
      <c r="D744" s="15"/>
      <c r="E744" s="11" t="str">
        <f aca="false">IF(D744="","",IFERROR(INDEX(Players!$C$5:$C$304,MATCH(D744,Players!$B$5:$B$304,0)),""))</f>
        <v/>
      </c>
      <c r="F744" s="22" t="str">
        <f aca="false">IF(D744="","",IF(COUNTIFS($B$5:$B$2004,B744,$D$5:$D$2004,D744)&gt;1,"DUPLICATE",IF(ISNA(MATCH(D744,Players!$B$5:$B$304,0)),"UID not found",IF(INDEX(Players!$H$5:$H$304,MATCH(D744,Players!$B$5:$B$304,0))&lt;0,"LOW BALANCE","OK"))))</f>
        <v/>
      </c>
      <c r="G744" s="1"/>
      <c r="H744" s="1"/>
      <c r="I744" s="1"/>
    </row>
    <row r="745" customFormat="false" ht="21.75" hidden="false" customHeight="true" outlineLevel="0" collapsed="false">
      <c r="A745" s="1"/>
      <c r="B745" s="16"/>
      <c r="C745" s="16"/>
      <c r="D745" s="15"/>
      <c r="E745" s="11" t="str">
        <f aca="false">IF(D745="","",IFERROR(INDEX(Players!$C$5:$C$304,MATCH(D745,Players!$B$5:$B$304,0)),""))</f>
        <v/>
      </c>
      <c r="F745" s="22" t="str">
        <f aca="false">IF(D745="","",IF(COUNTIFS($B$5:$B$2004,B745,$D$5:$D$2004,D745)&gt;1,"DUPLICATE",IF(ISNA(MATCH(D745,Players!$B$5:$B$304,0)),"UID not found",IF(INDEX(Players!$H$5:$H$304,MATCH(D745,Players!$B$5:$B$304,0))&lt;0,"LOW BALANCE","OK"))))</f>
        <v/>
      </c>
      <c r="G745" s="1"/>
      <c r="H745" s="1"/>
      <c r="I745" s="1"/>
    </row>
    <row r="746" customFormat="false" ht="21.75" hidden="false" customHeight="true" outlineLevel="0" collapsed="false">
      <c r="A746" s="1"/>
      <c r="B746" s="16"/>
      <c r="C746" s="16"/>
      <c r="D746" s="15"/>
      <c r="E746" s="11" t="str">
        <f aca="false">IF(D746="","",IFERROR(INDEX(Players!$C$5:$C$304,MATCH(D746,Players!$B$5:$B$304,0)),""))</f>
        <v/>
      </c>
      <c r="F746" s="22" t="str">
        <f aca="false">IF(D746="","",IF(COUNTIFS($B$5:$B$2004,B746,$D$5:$D$2004,D746)&gt;1,"DUPLICATE",IF(ISNA(MATCH(D746,Players!$B$5:$B$304,0)),"UID not found",IF(INDEX(Players!$H$5:$H$304,MATCH(D746,Players!$B$5:$B$304,0))&lt;0,"LOW BALANCE","OK"))))</f>
        <v/>
      </c>
      <c r="G746" s="1"/>
      <c r="H746" s="1"/>
      <c r="I746" s="1"/>
    </row>
    <row r="747" customFormat="false" ht="21.75" hidden="false" customHeight="true" outlineLevel="0" collapsed="false">
      <c r="A747" s="1"/>
      <c r="B747" s="16"/>
      <c r="C747" s="16"/>
      <c r="D747" s="15"/>
      <c r="E747" s="11" t="str">
        <f aca="false">IF(D747="","",IFERROR(INDEX(Players!$C$5:$C$304,MATCH(D747,Players!$B$5:$B$304,0)),""))</f>
        <v/>
      </c>
      <c r="F747" s="22" t="str">
        <f aca="false">IF(D747="","",IF(COUNTIFS($B$5:$B$2004,B747,$D$5:$D$2004,D747)&gt;1,"DUPLICATE",IF(ISNA(MATCH(D747,Players!$B$5:$B$304,0)),"UID not found",IF(INDEX(Players!$H$5:$H$304,MATCH(D747,Players!$B$5:$B$304,0))&lt;0,"LOW BALANCE","OK"))))</f>
        <v/>
      </c>
      <c r="G747" s="1"/>
      <c r="H747" s="1"/>
      <c r="I747" s="1"/>
    </row>
    <row r="748" customFormat="false" ht="21.75" hidden="false" customHeight="true" outlineLevel="0" collapsed="false">
      <c r="A748" s="1"/>
      <c r="B748" s="16"/>
      <c r="C748" s="16"/>
      <c r="D748" s="15"/>
      <c r="E748" s="11" t="str">
        <f aca="false">IF(D748="","",IFERROR(INDEX(Players!$C$5:$C$304,MATCH(D748,Players!$B$5:$B$304,0)),""))</f>
        <v/>
      </c>
      <c r="F748" s="22" t="str">
        <f aca="false">IF(D748="","",IF(COUNTIFS($B$5:$B$2004,B748,$D$5:$D$2004,D748)&gt;1,"DUPLICATE",IF(ISNA(MATCH(D748,Players!$B$5:$B$304,0)),"UID not found",IF(INDEX(Players!$H$5:$H$304,MATCH(D748,Players!$B$5:$B$304,0))&lt;0,"LOW BALANCE","OK"))))</f>
        <v/>
      </c>
      <c r="G748" s="1"/>
      <c r="H748" s="1"/>
      <c r="I748" s="1"/>
    </row>
    <row r="749" customFormat="false" ht="21.75" hidden="false" customHeight="true" outlineLevel="0" collapsed="false">
      <c r="A749" s="1"/>
      <c r="B749" s="16"/>
      <c r="C749" s="16"/>
      <c r="D749" s="15"/>
      <c r="E749" s="11" t="str">
        <f aca="false">IF(D749="","",IFERROR(INDEX(Players!$C$5:$C$304,MATCH(D749,Players!$B$5:$B$304,0)),""))</f>
        <v/>
      </c>
      <c r="F749" s="22" t="str">
        <f aca="false">IF(D749="","",IF(COUNTIFS($B$5:$B$2004,B749,$D$5:$D$2004,D749)&gt;1,"DUPLICATE",IF(ISNA(MATCH(D749,Players!$B$5:$B$304,0)),"UID not found",IF(INDEX(Players!$H$5:$H$304,MATCH(D749,Players!$B$5:$B$304,0))&lt;0,"LOW BALANCE","OK"))))</f>
        <v/>
      </c>
      <c r="G749" s="1"/>
      <c r="H749" s="1"/>
      <c r="I749" s="1"/>
    </row>
    <row r="750" customFormat="false" ht="21.75" hidden="false" customHeight="true" outlineLevel="0" collapsed="false">
      <c r="A750" s="1"/>
      <c r="B750" s="16"/>
      <c r="C750" s="16"/>
      <c r="D750" s="15"/>
      <c r="E750" s="11" t="str">
        <f aca="false">IF(D750="","",IFERROR(INDEX(Players!$C$5:$C$304,MATCH(D750,Players!$B$5:$B$304,0)),""))</f>
        <v/>
      </c>
      <c r="F750" s="22" t="str">
        <f aca="false">IF(D750="","",IF(COUNTIFS($B$5:$B$2004,B750,$D$5:$D$2004,D750)&gt;1,"DUPLICATE",IF(ISNA(MATCH(D750,Players!$B$5:$B$304,0)),"UID not found",IF(INDEX(Players!$H$5:$H$304,MATCH(D750,Players!$B$5:$B$304,0))&lt;0,"LOW BALANCE","OK"))))</f>
        <v/>
      </c>
      <c r="G750" s="1"/>
      <c r="H750" s="1"/>
      <c r="I750" s="1"/>
    </row>
    <row r="751" customFormat="false" ht="21.75" hidden="false" customHeight="true" outlineLevel="0" collapsed="false">
      <c r="A751" s="1"/>
      <c r="B751" s="16"/>
      <c r="C751" s="16"/>
      <c r="D751" s="15"/>
      <c r="E751" s="11" t="str">
        <f aca="false">IF(D751="","",IFERROR(INDEX(Players!$C$5:$C$304,MATCH(D751,Players!$B$5:$B$304,0)),""))</f>
        <v/>
      </c>
      <c r="F751" s="22" t="str">
        <f aca="false">IF(D751="","",IF(COUNTIFS($B$5:$B$2004,B751,$D$5:$D$2004,D751)&gt;1,"DUPLICATE",IF(ISNA(MATCH(D751,Players!$B$5:$B$304,0)),"UID not found",IF(INDEX(Players!$H$5:$H$304,MATCH(D751,Players!$B$5:$B$304,0))&lt;0,"LOW BALANCE","OK"))))</f>
        <v/>
      </c>
      <c r="G751" s="1"/>
      <c r="H751" s="1"/>
      <c r="I751" s="1"/>
    </row>
    <row r="752" customFormat="false" ht="21.75" hidden="false" customHeight="true" outlineLevel="0" collapsed="false">
      <c r="A752" s="1"/>
      <c r="B752" s="16"/>
      <c r="C752" s="16"/>
      <c r="D752" s="15"/>
      <c r="E752" s="11" t="str">
        <f aca="false">IF(D752="","",IFERROR(INDEX(Players!$C$5:$C$304,MATCH(D752,Players!$B$5:$B$304,0)),""))</f>
        <v/>
      </c>
      <c r="F752" s="22" t="str">
        <f aca="false">IF(D752="","",IF(COUNTIFS($B$5:$B$2004,B752,$D$5:$D$2004,D752)&gt;1,"DUPLICATE",IF(ISNA(MATCH(D752,Players!$B$5:$B$304,0)),"UID not found",IF(INDEX(Players!$H$5:$H$304,MATCH(D752,Players!$B$5:$B$304,0))&lt;0,"LOW BALANCE","OK"))))</f>
        <v/>
      </c>
      <c r="G752" s="1"/>
      <c r="H752" s="1"/>
      <c r="I752" s="1"/>
    </row>
    <row r="753" customFormat="false" ht="21.75" hidden="false" customHeight="true" outlineLevel="0" collapsed="false">
      <c r="A753" s="1"/>
      <c r="B753" s="16"/>
      <c r="C753" s="16"/>
      <c r="D753" s="15"/>
      <c r="E753" s="11" t="str">
        <f aca="false">IF(D753="","",IFERROR(INDEX(Players!$C$5:$C$304,MATCH(D753,Players!$B$5:$B$304,0)),""))</f>
        <v/>
      </c>
      <c r="F753" s="22" t="str">
        <f aca="false">IF(D753="","",IF(COUNTIFS($B$5:$B$2004,B753,$D$5:$D$2004,D753)&gt;1,"DUPLICATE",IF(ISNA(MATCH(D753,Players!$B$5:$B$304,0)),"UID not found",IF(INDEX(Players!$H$5:$H$304,MATCH(D753,Players!$B$5:$B$304,0))&lt;0,"LOW BALANCE","OK"))))</f>
        <v/>
      </c>
      <c r="G753" s="1"/>
      <c r="H753" s="1"/>
      <c r="I753" s="1"/>
    </row>
    <row r="754" customFormat="false" ht="21.75" hidden="false" customHeight="true" outlineLevel="0" collapsed="false">
      <c r="A754" s="1"/>
      <c r="B754" s="16"/>
      <c r="C754" s="16"/>
      <c r="D754" s="15"/>
      <c r="E754" s="11" t="str">
        <f aca="false">IF(D754="","",IFERROR(INDEX(Players!$C$5:$C$304,MATCH(D754,Players!$B$5:$B$304,0)),""))</f>
        <v/>
      </c>
      <c r="F754" s="22" t="str">
        <f aca="false">IF(D754="","",IF(COUNTIFS($B$5:$B$2004,B754,$D$5:$D$2004,D754)&gt;1,"DUPLICATE",IF(ISNA(MATCH(D754,Players!$B$5:$B$304,0)),"UID not found",IF(INDEX(Players!$H$5:$H$304,MATCH(D754,Players!$B$5:$B$304,0))&lt;0,"LOW BALANCE","OK"))))</f>
        <v/>
      </c>
      <c r="G754" s="1"/>
      <c r="H754" s="1"/>
      <c r="I754" s="1"/>
    </row>
    <row r="755" customFormat="false" ht="21.75" hidden="false" customHeight="true" outlineLevel="0" collapsed="false">
      <c r="A755" s="1"/>
      <c r="B755" s="16"/>
      <c r="C755" s="16"/>
      <c r="D755" s="15"/>
      <c r="E755" s="11" t="str">
        <f aca="false">IF(D755="","",IFERROR(INDEX(Players!$C$5:$C$304,MATCH(D755,Players!$B$5:$B$304,0)),""))</f>
        <v/>
      </c>
      <c r="F755" s="22" t="str">
        <f aca="false">IF(D755="","",IF(COUNTIFS($B$5:$B$2004,B755,$D$5:$D$2004,D755)&gt;1,"DUPLICATE",IF(ISNA(MATCH(D755,Players!$B$5:$B$304,0)),"UID not found",IF(INDEX(Players!$H$5:$H$304,MATCH(D755,Players!$B$5:$B$304,0))&lt;0,"LOW BALANCE","OK"))))</f>
        <v/>
      </c>
      <c r="G755" s="1"/>
      <c r="H755" s="1"/>
      <c r="I755" s="1"/>
    </row>
    <row r="756" customFormat="false" ht="21.75" hidden="false" customHeight="true" outlineLevel="0" collapsed="false">
      <c r="A756" s="1"/>
      <c r="B756" s="16"/>
      <c r="C756" s="16"/>
      <c r="D756" s="15"/>
      <c r="E756" s="11" t="str">
        <f aca="false">IF(D756="","",IFERROR(INDEX(Players!$C$5:$C$304,MATCH(D756,Players!$B$5:$B$304,0)),""))</f>
        <v/>
      </c>
      <c r="F756" s="22" t="str">
        <f aca="false">IF(D756="","",IF(COUNTIFS($B$5:$B$2004,B756,$D$5:$D$2004,D756)&gt;1,"DUPLICATE",IF(ISNA(MATCH(D756,Players!$B$5:$B$304,0)),"UID not found",IF(INDEX(Players!$H$5:$H$304,MATCH(D756,Players!$B$5:$B$304,0))&lt;0,"LOW BALANCE","OK"))))</f>
        <v/>
      </c>
      <c r="G756" s="1"/>
      <c r="H756" s="1"/>
      <c r="I756" s="1"/>
    </row>
    <row r="757" customFormat="false" ht="21.75" hidden="false" customHeight="true" outlineLevel="0" collapsed="false">
      <c r="A757" s="1"/>
      <c r="B757" s="16"/>
      <c r="C757" s="16"/>
      <c r="D757" s="15"/>
      <c r="E757" s="11" t="str">
        <f aca="false">IF(D757="","",IFERROR(INDEX(Players!$C$5:$C$304,MATCH(D757,Players!$B$5:$B$304,0)),""))</f>
        <v/>
      </c>
      <c r="F757" s="22" t="str">
        <f aca="false">IF(D757="","",IF(COUNTIFS($B$5:$B$2004,B757,$D$5:$D$2004,D757)&gt;1,"DUPLICATE",IF(ISNA(MATCH(D757,Players!$B$5:$B$304,0)),"UID not found",IF(INDEX(Players!$H$5:$H$304,MATCH(D757,Players!$B$5:$B$304,0))&lt;0,"LOW BALANCE","OK"))))</f>
        <v/>
      </c>
      <c r="G757" s="1"/>
      <c r="H757" s="1"/>
      <c r="I757" s="1"/>
    </row>
    <row r="758" customFormat="false" ht="21.75" hidden="false" customHeight="true" outlineLevel="0" collapsed="false">
      <c r="A758" s="1"/>
      <c r="B758" s="16"/>
      <c r="C758" s="16"/>
      <c r="D758" s="15"/>
      <c r="E758" s="11" t="str">
        <f aca="false">IF(D758="","",IFERROR(INDEX(Players!$C$5:$C$304,MATCH(D758,Players!$B$5:$B$304,0)),""))</f>
        <v/>
      </c>
      <c r="F758" s="22" t="str">
        <f aca="false">IF(D758="","",IF(COUNTIFS($B$5:$B$2004,B758,$D$5:$D$2004,D758)&gt;1,"DUPLICATE",IF(ISNA(MATCH(D758,Players!$B$5:$B$304,0)),"UID not found",IF(INDEX(Players!$H$5:$H$304,MATCH(D758,Players!$B$5:$B$304,0))&lt;0,"LOW BALANCE","OK"))))</f>
        <v/>
      </c>
      <c r="G758" s="1"/>
      <c r="H758" s="1"/>
      <c r="I758" s="1"/>
    </row>
    <row r="759" customFormat="false" ht="21.75" hidden="false" customHeight="true" outlineLevel="0" collapsed="false">
      <c r="A759" s="1"/>
      <c r="B759" s="16"/>
      <c r="C759" s="16"/>
      <c r="D759" s="15"/>
      <c r="E759" s="11" t="str">
        <f aca="false">IF(D759="","",IFERROR(INDEX(Players!$C$5:$C$304,MATCH(D759,Players!$B$5:$B$304,0)),""))</f>
        <v/>
      </c>
      <c r="F759" s="22" t="str">
        <f aca="false">IF(D759="","",IF(COUNTIFS($B$5:$B$2004,B759,$D$5:$D$2004,D759)&gt;1,"DUPLICATE",IF(ISNA(MATCH(D759,Players!$B$5:$B$304,0)),"UID not found",IF(INDEX(Players!$H$5:$H$304,MATCH(D759,Players!$B$5:$B$304,0))&lt;0,"LOW BALANCE","OK"))))</f>
        <v/>
      </c>
      <c r="G759" s="1"/>
      <c r="H759" s="1"/>
      <c r="I759" s="1"/>
    </row>
    <row r="760" customFormat="false" ht="21.75" hidden="false" customHeight="true" outlineLevel="0" collapsed="false">
      <c r="A760" s="1"/>
      <c r="B760" s="16"/>
      <c r="C760" s="16"/>
      <c r="D760" s="15"/>
      <c r="E760" s="11" t="str">
        <f aca="false">IF(D760="","",IFERROR(INDEX(Players!$C$5:$C$304,MATCH(D760,Players!$B$5:$B$304,0)),""))</f>
        <v/>
      </c>
      <c r="F760" s="22" t="str">
        <f aca="false">IF(D760="","",IF(COUNTIFS($B$5:$B$2004,B760,$D$5:$D$2004,D760)&gt;1,"DUPLICATE",IF(ISNA(MATCH(D760,Players!$B$5:$B$304,0)),"UID not found",IF(INDEX(Players!$H$5:$H$304,MATCH(D760,Players!$B$5:$B$304,0))&lt;0,"LOW BALANCE","OK"))))</f>
        <v/>
      </c>
      <c r="G760" s="1"/>
      <c r="H760" s="1"/>
      <c r="I760" s="1"/>
    </row>
    <row r="761" customFormat="false" ht="21.75" hidden="false" customHeight="true" outlineLevel="0" collapsed="false">
      <c r="A761" s="1"/>
      <c r="B761" s="16"/>
      <c r="C761" s="16"/>
      <c r="D761" s="15"/>
      <c r="E761" s="11" t="str">
        <f aca="false">IF(D761="","",IFERROR(INDEX(Players!$C$5:$C$304,MATCH(D761,Players!$B$5:$B$304,0)),""))</f>
        <v/>
      </c>
      <c r="F761" s="22" t="str">
        <f aca="false">IF(D761="","",IF(COUNTIFS($B$5:$B$2004,B761,$D$5:$D$2004,D761)&gt;1,"DUPLICATE",IF(ISNA(MATCH(D761,Players!$B$5:$B$304,0)),"UID not found",IF(INDEX(Players!$H$5:$H$304,MATCH(D761,Players!$B$5:$B$304,0))&lt;0,"LOW BALANCE","OK"))))</f>
        <v/>
      </c>
      <c r="G761" s="1"/>
      <c r="H761" s="1"/>
      <c r="I761" s="1"/>
    </row>
    <row r="762" customFormat="false" ht="21.75" hidden="false" customHeight="true" outlineLevel="0" collapsed="false">
      <c r="A762" s="1"/>
      <c r="B762" s="16"/>
      <c r="C762" s="16"/>
      <c r="D762" s="15"/>
      <c r="E762" s="11" t="str">
        <f aca="false">IF(D762="","",IFERROR(INDEX(Players!$C$5:$C$304,MATCH(D762,Players!$B$5:$B$304,0)),""))</f>
        <v/>
      </c>
      <c r="F762" s="22" t="str">
        <f aca="false">IF(D762="","",IF(COUNTIFS($B$5:$B$2004,B762,$D$5:$D$2004,D762)&gt;1,"DUPLICATE",IF(ISNA(MATCH(D762,Players!$B$5:$B$304,0)),"UID not found",IF(INDEX(Players!$H$5:$H$304,MATCH(D762,Players!$B$5:$B$304,0))&lt;0,"LOW BALANCE","OK"))))</f>
        <v/>
      </c>
      <c r="G762" s="1"/>
      <c r="H762" s="1"/>
      <c r="I762" s="1"/>
    </row>
    <row r="763" customFormat="false" ht="21.75" hidden="false" customHeight="true" outlineLevel="0" collapsed="false">
      <c r="A763" s="1"/>
      <c r="B763" s="16"/>
      <c r="C763" s="16"/>
      <c r="D763" s="15"/>
      <c r="E763" s="11" t="str">
        <f aca="false">IF(D763="","",IFERROR(INDEX(Players!$C$5:$C$304,MATCH(D763,Players!$B$5:$B$304,0)),""))</f>
        <v/>
      </c>
      <c r="F763" s="22" t="str">
        <f aca="false">IF(D763="","",IF(COUNTIFS($B$5:$B$2004,B763,$D$5:$D$2004,D763)&gt;1,"DUPLICATE",IF(ISNA(MATCH(D763,Players!$B$5:$B$304,0)),"UID not found",IF(INDEX(Players!$H$5:$H$304,MATCH(D763,Players!$B$5:$B$304,0))&lt;0,"LOW BALANCE","OK"))))</f>
        <v/>
      </c>
      <c r="G763" s="1"/>
      <c r="H763" s="1"/>
      <c r="I763" s="1"/>
    </row>
    <row r="764" customFormat="false" ht="21.75" hidden="false" customHeight="true" outlineLevel="0" collapsed="false">
      <c r="A764" s="1"/>
      <c r="B764" s="16"/>
      <c r="C764" s="16"/>
      <c r="D764" s="15"/>
      <c r="E764" s="11" t="str">
        <f aca="false">IF(D764="","",IFERROR(INDEX(Players!$C$5:$C$304,MATCH(D764,Players!$B$5:$B$304,0)),""))</f>
        <v/>
      </c>
      <c r="F764" s="22" t="str">
        <f aca="false">IF(D764="","",IF(COUNTIFS($B$5:$B$2004,B764,$D$5:$D$2004,D764)&gt;1,"DUPLICATE",IF(ISNA(MATCH(D764,Players!$B$5:$B$304,0)),"UID not found",IF(INDEX(Players!$H$5:$H$304,MATCH(D764,Players!$B$5:$B$304,0))&lt;0,"LOW BALANCE","OK"))))</f>
        <v/>
      </c>
      <c r="G764" s="1"/>
      <c r="H764" s="1"/>
      <c r="I764" s="1"/>
    </row>
    <row r="765" customFormat="false" ht="21.75" hidden="false" customHeight="true" outlineLevel="0" collapsed="false">
      <c r="A765" s="1"/>
      <c r="B765" s="16"/>
      <c r="C765" s="16"/>
      <c r="D765" s="15"/>
      <c r="E765" s="11" t="str">
        <f aca="false">IF(D765="","",IFERROR(INDEX(Players!$C$5:$C$304,MATCH(D765,Players!$B$5:$B$304,0)),""))</f>
        <v/>
      </c>
      <c r="F765" s="22" t="str">
        <f aca="false">IF(D765="","",IF(COUNTIFS($B$5:$B$2004,B765,$D$5:$D$2004,D765)&gt;1,"DUPLICATE",IF(ISNA(MATCH(D765,Players!$B$5:$B$304,0)),"UID not found",IF(INDEX(Players!$H$5:$H$304,MATCH(D765,Players!$B$5:$B$304,0))&lt;0,"LOW BALANCE","OK"))))</f>
        <v/>
      </c>
      <c r="G765" s="1"/>
      <c r="H765" s="1"/>
      <c r="I765" s="1"/>
    </row>
    <row r="766" customFormat="false" ht="21.75" hidden="false" customHeight="true" outlineLevel="0" collapsed="false">
      <c r="A766" s="1"/>
      <c r="B766" s="16"/>
      <c r="C766" s="16"/>
      <c r="D766" s="15"/>
      <c r="E766" s="11" t="str">
        <f aca="false">IF(D766="","",IFERROR(INDEX(Players!$C$5:$C$304,MATCH(D766,Players!$B$5:$B$304,0)),""))</f>
        <v/>
      </c>
      <c r="F766" s="22" t="str">
        <f aca="false">IF(D766="","",IF(COUNTIFS($B$5:$B$2004,B766,$D$5:$D$2004,D766)&gt;1,"DUPLICATE",IF(ISNA(MATCH(D766,Players!$B$5:$B$304,0)),"UID not found",IF(INDEX(Players!$H$5:$H$304,MATCH(D766,Players!$B$5:$B$304,0))&lt;0,"LOW BALANCE","OK"))))</f>
        <v/>
      </c>
      <c r="G766" s="1"/>
      <c r="H766" s="1"/>
      <c r="I766" s="1"/>
    </row>
    <row r="767" customFormat="false" ht="21.75" hidden="false" customHeight="true" outlineLevel="0" collapsed="false">
      <c r="A767" s="1"/>
      <c r="B767" s="16"/>
      <c r="C767" s="16"/>
      <c r="D767" s="15"/>
      <c r="E767" s="11" t="str">
        <f aca="false">IF(D767="","",IFERROR(INDEX(Players!$C$5:$C$304,MATCH(D767,Players!$B$5:$B$304,0)),""))</f>
        <v/>
      </c>
      <c r="F767" s="22" t="str">
        <f aca="false">IF(D767="","",IF(COUNTIFS($B$5:$B$2004,B767,$D$5:$D$2004,D767)&gt;1,"DUPLICATE",IF(ISNA(MATCH(D767,Players!$B$5:$B$304,0)),"UID not found",IF(INDEX(Players!$H$5:$H$304,MATCH(D767,Players!$B$5:$B$304,0))&lt;0,"LOW BALANCE","OK"))))</f>
        <v/>
      </c>
      <c r="G767" s="1"/>
      <c r="H767" s="1"/>
      <c r="I767" s="1"/>
    </row>
    <row r="768" customFormat="false" ht="21.75" hidden="false" customHeight="true" outlineLevel="0" collapsed="false">
      <c r="A768" s="1"/>
      <c r="B768" s="16"/>
      <c r="C768" s="16"/>
      <c r="D768" s="15"/>
      <c r="E768" s="11" t="str">
        <f aca="false">IF(D768="","",IFERROR(INDEX(Players!$C$5:$C$304,MATCH(D768,Players!$B$5:$B$304,0)),""))</f>
        <v/>
      </c>
      <c r="F768" s="22" t="str">
        <f aca="false">IF(D768="","",IF(COUNTIFS($B$5:$B$2004,B768,$D$5:$D$2004,D768)&gt;1,"DUPLICATE",IF(ISNA(MATCH(D768,Players!$B$5:$B$304,0)),"UID not found",IF(INDEX(Players!$H$5:$H$304,MATCH(D768,Players!$B$5:$B$304,0))&lt;0,"LOW BALANCE","OK"))))</f>
        <v/>
      </c>
      <c r="G768" s="1"/>
      <c r="H768" s="1"/>
      <c r="I768" s="1"/>
    </row>
    <row r="769" customFormat="false" ht="21.75" hidden="false" customHeight="true" outlineLevel="0" collapsed="false">
      <c r="A769" s="1"/>
      <c r="B769" s="16"/>
      <c r="C769" s="16"/>
      <c r="D769" s="15"/>
      <c r="E769" s="11" t="str">
        <f aca="false">IF(D769="","",IFERROR(INDEX(Players!$C$5:$C$304,MATCH(D769,Players!$B$5:$B$304,0)),""))</f>
        <v/>
      </c>
      <c r="F769" s="22" t="str">
        <f aca="false">IF(D769="","",IF(COUNTIFS($B$5:$B$2004,B769,$D$5:$D$2004,D769)&gt;1,"DUPLICATE",IF(ISNA(MATCH(D769,Players!$B$5:$B$304,0)),"UID not found",IF(INDEX(Players!$H$5:$H$304,MATCH(D769,Players!$B$5:$B$304,0))&lt;0,"LOW BALANCE","OK"))))</f>
        <v/>
      </c>
      <c r="G769" s="1"/>
      <c r="H769" s="1"/>
      <c r="I769" s="1"/>
    </row>
    <row r="770" customFormat="false" ht="21.75" hidden="false" customHeight="true" outlineLevel="0" collapsed="false">
      <c r="A770" s="1"/>
      <c r="B770" s="16"/>
      <c r="C770" s="16"/>
      <c r="D770" s="15"/>
      <c r="E770" s="11" t="str">
        <f aca="false">IF(D770="","",IFERROR(INDEX(Players!$C$5:$C$304,MATCH(D770,Players!$B$5:$B$304,0)),""))</f>
        <v/>
      </c>
      <c r="F770" s="22" t="str">
        <f aca="false">IF(D770="","",IF(COUNTIFS($B$5:$B$2004,B770,$D$5:$D$2004,D770)&gt;1,"DUPLICATE",IF(ISNA(MATCH(D770,Players!$B$5:$B$304,0)),"UID not found",IF(INDEX(Players!$H$5:$H$304,MATCH(D770,Players!$B$5:$B$304,0))&lt;0,"LOW BALANCE","OK"))))</f>
        <v/>
      </c>
      <c r="G770" s="1"/>
      <c r="H770" s="1"/>
      <c r="I770" s="1"/>
    </row>
    <row r="771" customFormat="false" ht="21.75" hidden="false" customHeight="true" outlineLevel="0" collapsed="false">
      <c r="A771" s="1"/>
      <c r="B771" s="16"/>
      <c r="C771" s="16"/>
      <c r="D771" s="15"/>
      <c r="E771" s="11" t="str">
        <f aca="false">IF(D771="","",IFERROR(INDEX(Players!$C$5:$C$304,MATCH(D771,Players!$B$5:$B$304,0)),""))</f>
        <v/>
      </c>
      <c r="F771" s="22" t="str">
        <f aca="false">IF(D771="","",IF(COUNTIFS($B$5:$B$2004,B771,$D$5:$D$2004,D771)&gt;1,"DUPLICATE",IF(ISNA(MATCH(D771,Players!$B$5:$B$304,0)),"UID not found",IF(INDEX(Players!$H$5:$H$304,MATCH(D771,Players!$B$5:$B$304,0))&lt;0,"LOW BALANCE","OK"))))</f>
        <v/>
      </c>
      <c r="G771" s="1"/>
      <c r="H771" s="1"/>
      <c r="I771" s="1"/>
    </row>
    <row r="772" customFormat="false" ht="21.75" hidden="false" customHeight="true" outlineLevel="0" collapsed="false">
      <c r="A772" s="1"/>
      <c r="B772" s="16"/>
      <c r="C772" s="16"/>
      <c r="D772" s="15"/>
      <c r="E772" s="11" t="str">
        <f aca="false">IF(D772="","",IFERROR(INDEX(Players!$C$5:$C$304,MATCH(D772,Players!$B$5:$B$304,0)),""))</f>
        <v/>
      </c>
      <c r="F772" s="22" t="str">
        <f aca="false">IF(D772="","",IF(COUNTIFS($B$5:$B$2004,B772,$D$5:$D$2004,D772)&gt;1,"DUPLICATE",IF(ISNA(MATCH(D772,Players!$B$5:$B$304,0)),"UID not found",IF(INDEX(Players!$H$5:$H$304,MATCH(D772,Players!$B$5:$B$304,0))&lt;0,"LOW BALANCE","OK"))))</f>
        <v/>
      </c>
      <c r="G772" s="1"/>
      <c r="H772" s="1"/>
      <c r="I772" s="1"/>
    </row>
    <row r="773" customFormat="false" ht="21.75" hidden="false" customHeight="true" outlineLevel="0" collapsed="false">
      <c r="A773" s="1"/>
      <c r="B773" s="16"/>
      <c r="C773" s="16"/>
      <c r="D773" s="15"/>
      <c r="E773" s="11" t="str">
        <f aca="false">IF(D773="","",IFERROR(INDEX(Players!$C$5:$C$304,MATCH(D773,Players!$B$5:$B$304,0)),""))</f>
        <v/>
      </c>
      <c r="F773" s="22" t="str">
        <f aca="false">IF(D773="","",IF(COUNTIFS($B$5:$B$2004,B773,$D$5:$D$2004,D773)&gt;1,"DUPLICATE",IF(ISNA(MATCH(D773,Players!$B$5:$B$304,0)),"UID not found",IF(INDEX(Players!$H$5:$H$304,MATCH(D773,Players!$B$5:$B$304,0))&lt;0,"LOW BALANCE","OK"))))</f>
        <v/>
      </c>
      <c r="G773" s="1"/>
      <c r="H773" s="1"/>
      <c r="I773" s="1"/>
    </row>
    <row r="774" customFormat="false" ht="21.75" hidden="false" customHeight="true" outlineLevel="0" collapsed="false">
      <c r="A774" s="1"/>
      <c r="B774" s="16"/>
      <c r="C774" s="16"/>
      <c r="D774" s="15"/>
      <c r="E774" s="11" t="str">
        <f aca="false">IF(D774="","",IFERROR(INDEX(Players!$C$5:$C$304,MATCH(D774,Players!$B$5:$B$304,0)),""))</f>
        <v/>
      </c>
      <c r="F774" s="22" t="str">
        <f aca="false">IF(D774="","",IF(COUNTIFS($B$5:$B$2004,B774,$D$5:$D$2004,D774)&gt;1,"DUPLICATE",IF(ISNA(MATCH(D774,Players!$B$5:$B$304,0)),"UID not found",IF(INDEX(Players!$H$5:$H$304,MATCH(D774,Players!$B$5:$B$304,0))&lt;0,"LOW BALANCE","OK"))))</f>
        <v/>
      </c>
      <c r="G774" s="1"/>
      <c r="H774" s="1"/>
      <c r="I774" s="1"/>
    </row>
    <row r="775" customFormat="false" ht="21.75" hidden="false" customHeight="true" outlineLevel="0" collapsed="false">
      <c r="A775" s="1"/>
      <c r="B775" s="16"/>
      <c r="C775" s="16"/>
      <c r="D775" s="15"/>
      <c r="E775" s="11" t="str">
        <f aca="false">IF(D775="","",IFERROR(INDEX(Players!$C$5:$C$304,MATCH(D775,Players!$B$5:$B$304,0)),""))</f>
        <v/>
      </c>
      <c r="F775" s="22" t="str">
        <f aca="false">IF(D775="","",IF(COUNTIFS($B$5:$B$2004,B775,$D$5:$D$2004,D775)&gt;1,"DUPLICATE",IF(ISNA(MATCH(D775,Players!$B$5:$B$304,0)),"UID not found",IF(INDEX(Players!$H$5:$H$304,MATCH(D775,Players!$B$5:$B$304,0))&lt;0,"LOW BALANCE","OK"))))</f>
        <v/>
      </c>
      <c r="G775" s="1"/>
      <c r="H775" s="1"/>
      <c r="I775" s="1"/>
    </row>
    <row r="776" customFormat="false" ht="21.75" hidden="false" customHeight="true" outlineLevel="0" collapsed="false">
      <c r="A776" s="1"/>
      <c r="B776" s="16"/>
      <c r="C776" s="16"/>
      <c r="D776" s="15"/>
      <c r="E776" s="11" t="str">
        <f aca="false">IF(D776="","",IFERROR(INDEX(Players!$C$5:$C$304,MATCH(D776,Players!$B$5:$B$304,0)),""))</f>
        <v/>
      </c>
      <c r="F776" s="22" t="str">
        <f aca="false">IF(D776="","",IF(COUNTIFS($B$5:$B$2004,B776,$D$5:$D$2004,D776)&gt;1,"DUPLICATE",IF(ISNA(MATCH(D776,Players!$B$5:$B$304,0)),"UID not found",IF(INDEX(Players!$H$5:$H$304,MATCH(D776,Players!$B$5:$B$304,0))&lt;0,"LOW BALANCE","OK"))))</f>
        <v/>
      </c>
      <c r="G776" s="1"/>
      <c r="H776" s="1"/>
      <c r="I776" s="1"/>
    </row>
    <row r="777" customFormat="false" ht="21.75" hidden="false" customHeight="true" outlineLevel="0" collapsed="false">
      <c r="A777" s="1"/>
      <c r="B777" s="16"/>
      <c r="C777" s="16"/>
      <c r="D777" s="15"/>
      <c r="E777" s="11" t="str">
        <f aca="false">IF(D777="","",IFERROR(INDEX(Players!$C$5:$C$304,MATCH(D777,Players!$B$5:$B$304,0)),""))</f>
        <v/>
      </c>
      <c r="F777" s="22" t="str">
        <f aca="false">IF(D777="","",IF(COUNTIFS($B$5:$B$2004,B777,$D$5:$D$2004,D777)&gt;1,"DUPLICATE",IF(ISNA(MATCH(D777,Players!$B$5:$B$304,0)),"UID not found",IF(INDEX(Players!$H$5:$H$304,MATCH(D777,Players!$B$5:$B$304,0))&lt;0,"LOW BALANCE","OK"))))</f>
        <v/>
      </c>
      <c r="G777" s="1"/>
      <c r="H777" s="1"/>
      <c r="I777" s="1"/>
    </row>
    <row r="778" customFormat="false" ht="21.75" hidden="false" customHeight="true" outlineLevel="0" collapsed="false">
      <c r="A778" s="1"/>
      <c r="B778" s="16"/>
      <c r="C778" s="16"/>
      <c r="D778" s="15"/>
      <c r="E778" s="11" t="str">
        <f aca="false">IF(D778="","",IFERROR(INDEX(Players!$C$5:$C$304,MATCH(D778,Players!$B$5:$B$304,0)),""))</f>
        <v/>
      </c>
      <c r="F778" s="22" t="str">
        <f aca="false">IF(D778="","",IF(COUNTIFS($B$5:$B$2004,B778,$D$5:$D$2004,D778)&gt;1,"DUPLICATE",IF(ISNA(MATCH(D778,Players!$B$5:$B$304,0)),"UID not found",IF(INDEX(Players!$H$5:$H$304,MATCH(D778,Players!$B$5:$B$304,0))&lt;0,"LOW BALANCE","OK"))))</f>
        <v/>
      </c>
      <c r="G778" s="1"/>
      <c r="H778" s="1"/>
      <c r="I778" s="1"/>
    </row>
    <row r="779" customFormat="false" ht="21.75" hidden="false" customHeight="true" outlineLevel="0" collapsed="false">
      <c r="A779" s="1"/>
      <c r="B779" s="16"/>
      <c r="C779" s="16"/>
      <c r="D779" s="15"/>
      <c r="E779" s="11" t="str">
        <f aca="false">IF(D779="","",IFERROR(INDEX(Players!$C$5:$C$304,MATCH(D779,Players!$B$5:$B$304,0)),""))</f>
        <v/>
      </c>
      <c r="F779" s="22" t="str">
        <f aca="false">IF(D779="","",IF(COUNTIFS($B$5:$B$2004,B779,$D$5:$D$2004,D779)&gt;1,"DUPLICATE",IF(ISNA(MATCH(D779,Players!$B$5:$B$304,0)),"UID not found",IF(INDEX(Players!$H$5:$H$304,MATCH(D779,Players!$B$5:$B$304,0))&lt;0,"LOW BALANCE","OK"))))</f>
        <v/>
      </c>
      <c r="G779" s="1"/>
      <c r="H779" s="1"/>
      <c r="I779" s="1"/>
    </row>
    <row r="780" customFormat="false" ht="21.75" hidden="false" customHeight="true" outlineLevel="0" collapsed="false">
      <c r="A780" s="1"/>
      <c r="B780" s="16"/>
      <c r="C780" s="16"/>
      <c r="D780" s="15"/>
      <c r="E780" s="11" t="str">
        <f aca="false">IF(D780="","",IFERROR(INDEX(Players!$C$5:$C$304,MATCH(D780,Players!$B$5:$B$304,0)),""))</f>
        <v/>
      </c>
      <c r="F780" s="22" t="str">
        <f aca="false">IF(D780="","",IF(COUNTIFS($B$5:$B$2004,B780,$D$5:$D$2004,D780)&gt;1,"DUPLICATE",IF(ISNA(MATCH(D780,Players!$B$5:$B$304,0)),"UID not found",IF(INDEX(Players!$H$5:$H$304,MATCH(D780,Players!$B$5:$B$304,0))&lt;0,"LOW BALANCE","OK"))))</f>
        <v/>
      </c>
      <c r="G780" s="1"/>
      <c r="H780" s="1"/>
      <c r="I780" s="1"/>
    </row>
    <row r="781" customFormat="false" ht="21.75" hidden="false" customHeight="true" outlineLevel="0" collapsed="false">
      <c r="A781" s="1"/>
      <c r="B781" s="16"/>
      <c r="C781" s="16"/>
      <c r="D781" s="15"/>
      <c r="E781" s="11" t="str">
        <f aca="false">IF(D781="","",IFERROR(INDEX(Players!$C$5:$C$304,MATCH(D781,Players!$B$5:$B$304,0)),""))</f>
        <v/>
      </c>
      <c r="F781" s="22" t="str">
        <f aca="false">IF(D781="","",IF(COUNTIFS($B$5:$B$2004,B781,$D$5:$D$2004,D781)&gt;1,"DUPLICATE",IF(ISNA(MATCH(D781,Players!$B$5:$B$304,0)),"UID not found",IF(INDEX(Players!$H$5:$H$304,MATCH(D781,Players!$B$5:$B$304,0))&lt;0,"LOW BALANCE","OK"))))</f>
        <v/>
      </c>
      <c r="G781" s="1"/>
      <c r="H781" s="1"/>
      <c r="I781" s="1"/>
    </row>
    <row r="782" customFormat="false" ht="21.75" hidden="false" customHeight="true" outlineLevel="0" collapsed="false">
      <c r="A782" s="1"/>
      <c r="B782" s="16"/>
      <c r="C782" s="16"/>
      <c r="D782" s="15"/>
      <c r="E782" s="11" t="str">
        <f aca="false">IF(D782="","",IFERROR(INDEX(Players!$C$5:$C$304,MATCH(D782,Players!$B$5:$B$304,0)),""))</f>
        <v/>
      </c>
      <c r="F782" s="22" t="str">
        <f aca="false">IF(D782="","",IF(COUNTIFS($B$5:$B$2004,B782,$D$5:$D$2004,D782)&gt;1,"DUPLICATE",IF(ISNA(MATCH(D782,Players!$B$5:$B$304,0)),"UID not found",IF(INDEX(Players!$H$5:$H$304,MATCH(D782,Players!$B$5:$B$304,0))&lt;0,"LOW BALANCE","OK"))))</f>
        <v/>
      </c>
      <c r="G782" s="1"/>
      <c r="H782" s="1"/>
      <c r="I782" s="1"/>
    </row>
    <row r="783" customFormat="false" ht="21.75" hidden="false" customHeight="true" outlineLevel="0" collapsed="false">
      <c r="A783" s="1"/>
      <c r="B783" s="16"/>
      <c r="C783" s="16"/>
      <c r="D783" s="15"/>
      <c r="E783" s="11" t="str">
        <f aca="false">IF(D783="","",IFERROR(INDEX(Players!$C$5:$C$304,MATCH(D783,Players!$B$5:$B$304,0)),""))</f>
        <v/>
      </c>
      <c r="F783" s="22" t="str">
        <f aca="false">IF(D783="","",IF(COUNTIFS($B$5:$B$2004,B783,$D$5:$D$2004,D783)&gt;1,"DUPLICATE",IF(ISNA(MATCH(D783,Players!$B$5:$B$304,0)),"UID not found",IF(INDEX(Players!$H$5:$H$304,MATCH(D783,Players!$B$5:$B$304,0))&lt;0,"LOW BALANCE","OK"))))</f>
        <v/>
      </c>
      <c r="G783" s="1"/>
      <c r="H783" s="1"/>
      <c r="I783" s="1"/>
    </row>
    <row r="784" customFormat="false" ht="21.75" hidden="false" customHeight="true" outlineLevel="0" collapsed="false">
      <c r="A784" s="1"/>
      <c r="B784" s="16"/>
      <c r="C784" s="16"/>
      <c r="D784" s="15"/>
      <c r="E784" s="11" t="str">
        <f aca="false">IF(D784="","",IFERROR(INDEX(Players!$C$5:$C$304,MATCH(D784,Players!$B$5:$B$304,0)),""))</f>
        <v/>
      </c>
      <c r="F784" s="22" t="str">
        <f aca="false">IF(D784="","",IF(COUNTIFS($B$5:$B$2004,B784,$D$5:$D$2004,D784)&gt;1,"DUPLICATE",IF(ISNA(MATCH(D784,Players!$B$5:$B$304,0)),"UID not found",IF(INDEX(Players!$H$5:$H$304,MATCH(D784,Players!$B$5:$B$304,0))&lt;0,"LOW BALANCE","OK"))))</f>
        <v/>
      </c>
      <c r="G784" s="1"/>
      <c r="H784" s="1"/>
      <c r="I784" s="1"/>
    </row>
    <row r="785" customFormat="false" ht="21.75" hidden="false" customHeight="true" outlineLevel="0" collapsed="false">
      <c r="A785" s="1"/>
      <c r="B785" s="16"/>
      <c r="C785" s="16"/>
      <c r="D785" s="15"/>
      <c r="E785" s="11" t="str">
        <f aca="false">IF(D785="","",IFERROR(INDEX(Players!$C$5:$C$304,MATCH(D785,Players!$B$5:$B$304,0)),""))</f>
        <v/>
      </c>
      <c r="F785" s="22" t="str">
        <f aca="false">IF(D785="","",IF(COUNTIFS($B$5:$B$2004,B785,$D$5:$D$2004,D785)&gt;1,"DUPLICATE",IF(ISNA(MATCH(D785,Players!$B$5:$B$304,0)),"UID not found",IF(INDEX(Players!$H$5:$H$304,MATCH(D785,Players!$B$5:$B$304,0))&lt;0,"LOW BALANCE","OK"))))</f>
        <v/>
      </c>
      <c r="G785" s="1"/>
      <c r="H785" s="1"/>
      <c r="I785" s="1"/>
    </row>
    <row r="786" customFormat="false" ht="21.75" hidden="false" customHeight="true" outlineLevel="0" collapsed="false">
      <c r="A786" s="1"/>
      <c r="B786" s="16"/>
      <c r="C786" s="16"/>
      <c r="D786" s="15"/>
      <c r="E786" s="11" t="str">
        <f aca="false">IF(D786="","",IFERROR(INDEX(Players!$C$5:$C$304,MATCH(D786,Players!$B$5:$B$304,0)),""))</f>
        <v/>
      </c>
      <c r="F786" s="22" t="str">
        <f aca="false">IF(D786="","",IF(COUNTIFS($B$5:$B$2004,B786,$D$5:$D$2004,D786)&gt;1,"DUPLICATE",IF(ISNA(MATCH(D786,Players!$B$5:$B$304,0)),"UID not found",IF(INDEX(Players!$H$5:$H$304,MATCH(D786,Players!$B$5:$B$304,0))&lt;0,"LOW BALANCE","OK"))))</f>
        <v/>
      </c>
      <c r="G786" s="1"/>
      <c r="H786" s="1"/>
      <c r="I786" s="1"/>
    </row>
    <row r="787" customFormat="false" ht="21.75" hidden="false" customHeight="true" outlineLevel="0" collapsed="false">
      <c r="A787" s="1"/>
      <c r="B787" s="16"/>
      <c r="C787" s="16"/>
      <c r="D787" s="15"/>
      <c r="E787" s="11" t="str">
        <f aca="false">IF(D787="","",IFERROR(INDEX(Players!$C$5:$C$304,MATCH(D787,Players!$B$5:$B$304,0)),""))</f>
        <v/>
      </c>
      <c r="F787" s="22" t="str">
        <f aca="false">IF(D787="","",IF(COUNTIFS($B$5:$B$2004,B787,$D$5:$D$2004,D787)&gt;1,"DUPLICATE",IF(ISNA(MATCH(D787,Players!$B$5:$B$304,0)),"UID not found",IF(INDEX(Players!$H$5:$H$304,MATCH(D787,Players!$B$5:$B$304,0))&lt;0,"LOW BALANCE","OK"))))</f>
        <v/>
      </c>
      <c r="G787" s="1"/>
      <c r="H787" s="1"/>
      <c r="I787" s="1"/>
    </row>
    <row r="788" customFormat="false" ht="21.75" hidden="false" customHeight="true" outlineLevel="0" collapsed="false">
      <c r="A788" s="1"/>
      <c r="B788" s="16"/>
      <c r="C788" s="16"/>
      <c r="D788" s="15"/>
      <c r="E788" s="11" t="str">
        <f aca="false">IF(D788="","",IFERROR(INDEX(Players!$C$5:$C$304,MATCH(D788,Players!$B$5:$B$304,0)),""))</f>
        <v/>
      </c>
      <c r="F788" s="22" t="str">
        <f aca="false">IF(D788="","",IF(COUNTIFS($B$5:$B$2004,B788,$D$5:$D$2004,D788)&gt;1,"DUPLICATE",IF(ISNA(MATCH(D788,Players!$B$5:$B$304,0)),"UID not found",IF(INDEX(Players!$H$5:$H$304,MATCH(D788,Players!$B$5:$B$304,0))&lt;0,"LOW BALANCE","OK"))))</f>
        <v/>
      </c>
      <c r="G788" s="1"/>
      <c r="H788" s="1"/>
      <c r="I788" s="1"/>
    </row>
    <row r="789" customFormat="false" ht="21.75" hidden="false" customHeight="true" outlineLevel="0" collapsed="false">
      <c r="A789" s="1"/>
      <c r="B789" s="16"/>
      <c r="C789" s="16"/>
      <c r="D789" s="15"/>
      <c r="E789" s="11" t="str">
        <f aca="false">IF(D789="","",IFERROR(INDEX(Players!$C$5:$C$304,MATCH(D789,Players!$B$5:$B$304,0)),""))</f>
        <v/>
      </c>
      <c r="F789" s="22" t="str">
        <f aca="false">IF(D789="","",IF(COUNTIFS($B$5:$B$2004,B789,$D$5:$D$2004,D789)&gt;1,"DUPLICATE",IF(ISNA(MATCH(D789,Players!$B$5:$B$304,0)),"UID not found",IF(INDEX(Players!$H$5:$H$304,MATCH(D789,Players!$B$5:$B$304,0))&lt;0,"LOW BALANCE","OK"))))</f>
        <v/>
      </c>
      <c r="G789" s="1"/>
      <c r="H789" s="1"/>
      <c r="I789" s="1"/>
    </row>
    <row r="790" customFormat="false" ht="21.75" hidden="false" customHeight="true" outlineLevel="0" collapsed="false">
      <c r="A790" s="1"/>
      <c r="B790" s="16"/>
      <c r="C790" s="16"/>
      <c r="D790" s="15"/>
      <c r="E790" s="11" t="str">
        <f aca="false">IF(D790="","",IFERROR(INDEX(Players!$C$5:$C$304,MATCH(D790,Players!$B$5:$B$304,0)),""))</f>
        <v/>
      </c>
      <c r="F790" s="22" t="str">
        <f aca="false">IF(D790="","",IF(COUNTIFS($B$5:$B$2004,B790,$D$5:$D$2004,D790)&gt;1,"DUPLICATE",IF(ISNA(MATCH(D790,Players!$B$5:$B$304,0)),"UID not found",IF(INDEX(Players!$H$5:$H$304,MATCH(D790,Players!$B$5:$B$304,0))&lt;0,"LOW BALANCE","OK"))))</f>
        <v/>
      </c>
      <c r="G790" s="1"/>
      <c r="H790" s="1"/>
      <c r="I790" s="1"/>
    </row>
    <row r="791" customFormat="false" ht="21.75" hidden="false" customHeight="true" outlineLevel="0" collapsed="false">
      <c r="A791" s="1"/>
      <c r="B791" s="16"/>
      <c r="C791" s="16"/>
      <c r="D791" s="15"/>
      <c r="E791" s="11" t="str">
        <f aca="false">IF(D791="","",IFERROR(INDEX(Players!$C$5:$C$304,MATCH(D791,Players!$B$5:$B$304,0)),""))</f>
        <v/>
      </c>
      <c r="F791" s="22" t="str">
        <f aca="false">IF(D791="","",IF(COUNTIFS($B$5:$B$2004,B791,$D$5:$D$2004,D791)&gt;1,"DUPLICATE",IF(ISNA(MATCH(D791,Players!$B$5:$B$304,0)),"UID not found",IF(INDEX(Players!$H$5:$H$304,MATCH(D791,Players!$B$5:$B$304,0))&lt;0,"LOW BALANCE","OK"))))</f>
        <v/>
      </c>
      <c r="G791" s="1"/>
      <c r="H791" s="1"/>
      <c r="I791" s="1"/>
    </row>
    <row r="792" customFormat="false" ht="21.75" hidden="false" customHeight="true" outlineLevel="0" collapsed="false">
      <c r="A792" s="1"/>
      <c r="B792" s="16"/>
      <c r="C792" s="16"/>
      <c r="D792" s="15"/>
      <c r="E792" s="11" t="str">
        <f aca="false">IF(D792="","",IFERROR(INDEX(Players!$C$5:$C$304,MATCH(D792,Players!$B$5:$B$304,0)),""))</f>
        <v/>
      </c>
      <c r="F792" s="22" t="str">
        <f aca="false">IF(D792="","",IF(COUNTIFS($B$5:$B$2004,B792,$D$5:$D$2004,D792)&gt;1,"DUPLICATE",IF(ISNA(MATCH(D792,Players!$B$5:$B$304,0)),"UID not found",IF(INDEX(Players!$H$5:$H$304,MATCH(D792,Players!$B$5:$B$304,0))&lt;0,"LOW BALANCE","OK"))))</f>
        <v/>
      </c>
      <c r="G792" s="1"/>
      <c r="H792" s="1"/>
      <c r="I792" s="1"/>
    </row>
    <row r="793" customFormat="false" ht="21.75" hidden="false" customHeight="true" outlineLevel="0" collapsed="false">
      <c r="A793" s="1"/>
      <c r="B793" s="16"/>
      <c r="C793" s="16"/>
      <c r="D793" s="15"/>
      <c r="E793" s="11" t="str">
        <f aca="false">IF(D793="","",IFERROR(INDEX(Players!$C$5:$C$304,MATCH(D793,Players!$B$5:$B$304,0)),""))</f>
        <v/>
      </c>
      <c r="F793" s="22" t="str">
        <f aca="false">IF(D793="","",IF(COUNTIFS($B$5:$B$2004,B793,$D$5:$D$2004,D793)&gt;1,"DUPLICATE",IF(ISNA(MATCH(D793,Players!$B$5:$B$304,0)),"UID not found",IF(INDEX(Players!$H$5:$H$304,MATCH(D793,Players!$B$5:$B$304,0))&lt;0,"LOW BALANCE","OK"))))</f>
        <v/>
      </c>
      <c r="G793" s="1"/>
      <c r="H793" s="1"/>
      <c r="I793" s="1"/>
    </row>
    <row r="794" customFormat="false" ht="21.75" hidden="false" customHeight="true" outlineLevel="0" collapsed="false">
      <c r="A794" s="1"/>
      <c r="B794" s="16"/>
      <c r="C794" s="16"/>
      <c r="D794" s="15"/>
      <c r="E794" s="11" t="str">
        <f aca="false">IF(D794="","",IFERROR(INDEX(Players!$C$5:$C$304,MATCH(D794,Players!$B$5:$B$304,0)),""))</f>
        <v/>
      </c>
      <c r="F794" s="22" t="str">
        <f aca="false">IF(D794="","",IF(COUNTIFS($B$5:$B$2004,B794,$D$5:$D$2004,D794)&gt;1,"DUPLICATE",IF(ISNA(MATCH(D794,Players!$B$5:$B$304,0)),"UID not found",IF(INDEX(Players!$H$5:$H$304,MATCH(D794,Players!$B$5:$B$304,0))&lt;0,"LOW BALANCE","OK"))))</f>
        <v/>
      </c>
      <c r="G794" s="1"/>
      <c r="H794" s="1"/>
      <c r="I794" s="1"/>
    </row>
    <row r="795" customFormat="false" ht="21.75" hidden="false" customHeight="true" outlineLevel="0" collapsed="false">
      <c r="A795" s="1"/>
      <c r="B795" s="16"/>
      <c r="C795" s="16"/>
      <c r="D795" s="15"/>
      <c r="E795" s="11" t="str">
        <f aca="false">IF(D795="","",IFERROR(INDEX(Players!$C$5:$C$304,MATCH(D795,Players!$B$5:$B$304,0)),""))</f>
        <v/>
      </c>
      <c r="F795" s="22" t="str">
        <f aca="false">IF(D795="","",IF(COUNTIFS($B$5:$B$2004,B795,$D$5:$D$2004,D795)&gt;1,"DUPLICATE",IF(ISNA(MATCH(D795,Players!$B$5:$B$304,0)),"UID not found",IF(INDEX(Players!$H$5:$H$304,MATCH(D795,Players!$B$5:$B$304,0))&lt;0,"LOW BALANCE","OK"))))</f>
        <v/>
      </c>
      <c r="G795" s="1"/>
      <c r="H795" s="1"/>
      <c r="I795" s="1"/>
    </row>
    <row r="796" customFormat="false" ht="21.75" hidden="false" customHeight="true" outlineLevel="0" collapsed="false">
      <c r="A796" s="1"/>
      <c r="B796" s="16"/>
      <c r="C796" s="16"/>
      <c r="D796" s="15"/>
      <c r="E796" s="11" t="str">
        <f aca="false">IF(D796="","",IFERROR(INDEX(Players!$C$5:$C$304,MATCH(D796,Players!$B$5:$B$304,0)),""))</f>
        <v/>
      </c>
      <c r="F796" s="22" t="str">
        <f aca="false">IF(D796="","",IF(COUNTIFS($B$5:$B$2004,B796,$D$5:$D$2004,D796)&gt;1,"DUPLICATE",IF(ISNA(MATCH(D796,Players!$B$5:$B$304,0)),"UID not found",IF(INDEX(Players!$H$5:$H$304,MATCH(D796,Players!$B$5:$B$304,0))&lt;0,"LOW BALANCE","OK"))))</f>
        <v/>
      </c>
      <c r="G796" s="1"/>
      <c r="H796" s="1"/>
      <c r="I796" s="1"/>
    </row>
    <row r="797" customFormat="false" ht="21.75" hidden="false" customHeight="true" outlineLevel="0" collapsed="false">
      <c r="A797" s="1"/>
      <c r="B797" s="16"/>
      <c r="C797" s="16"/>
      <c r="D797" s="15"/>
      <c r="E797" s="11" t="str">
        <f aca="false">IF(D797="","",IFERROR(INDEX(Players!$C$5:$C$304,MATCH(D797,Players!$B$5:$B$304,0)),""))</f>
        <v/>
      </c>
      <c r="F797" s="22" t="str">
        <f aca="false">IF(D797="","",IF(COUNTIFS($B$5:$B$2004,B797,$D$5:$D$2004,D797)&gt;1,"DUPLICATE",IF(ISNA(MATCH(D797,Players!$B$5:$B$304,0)),"UID not found",IF(INDEX(Players!$H$5:$H$304,MATCH(D797,Players!$B$5:$B$304,0))&lt;0,"LOW BALANCE","OK"))))</f>
        <v/>
      </c>
      <c r="G797" s="1"/>
      <c r="H797" s="1"/>
      <c r="I797" s="1"/>
    </row>
    <row r="798" customFormat="false" ht="21.75" hidden="false" customHeight="true" outlineLevel="0" collapsed="false">
      <c r="A798" s="1"/>
      <c r="B798" s="16"/>
      <c r="C798" s="16"/>
      <c r="D798" s="15"/>
      <c r="E798" s="11" t="str">
        <f aca="false">IF(D798="","",IFERROR(INDEX(Players!$C$5:$C$304,MATCH(D798,Players!$B$5:$B$304,0)),""))</f>
        <v/>
      </c>
      <c r="F798" s="22" t="str">
        <f aca="false">IF(D798="","",IF(COUNTIFS($B$5:$B$2004,B798,$D$5:$D$2004,D798)&gt;1,"DUPLICATE",IF(ISNA(MATCH(D798,Players!$B$5:$B$304,0)),"UID not found",IF(INDEX(Players!$H$5:$H$304,MATCH(D798,Players!$B$5:$B$304,0))&lt;0,"LOW BALANCE","OK"))))</f>
        <v/>
      </c>
      <c r="G798" s="1"/>
      <c r="H798" s="1"/>
      <c r="I798" s="1"/>
    </row>
    <row r="799" customFormat="false" ht="21.75" hidden="false" customHeight="true" outlineLevel="0" collapsed="false">
      <c r="A799" s="1"/>
      <c r="B799" s="16"/>
      <c r="C799" s="16"/>
      <c r="D799" s="15"/>
      <c r="E799" s="11" t="str">
        <f aca="false">IF(D799="","",IFERROR(INDEX(Players!$C$5:$C$304,MATCH(D799,Players!$B$5:$B$304,0)),""))</f>
        <v/>
      </c>
      <c r="F799" s="22" t="str">
        <f aca="false">IF(D799="","",IF(COUNTIFS($B$5:$B$2004,B799,$D$5:$D$2004,D799)&gt;1,"DUPLICATE",IF(ISNA(MATCH(D799,Players!$B$5:$B$304,0)),"UID not found",IF(INDEX(Players!$H$5:$H$304,MATCH(D799,Players!$B$5:$B$304,0))&lt;0,"LOW BALANCE","OK"))))</f>
        <v/>
      </c>
      <c r="G799" s="1"/>
      <c r="H799" s="1"/>
      <c r="I799" s="1"/>
    </row>
    <row r="800" customFormat="false" ht="21.75" hidden="false" customHeight="true" outlineLevel="0" collapsed="false">
      <c r="A800" s="1"/>
      <c r="B800" s="16"/>
      <c r="C800" s="16"/>
      <c r="D800" s="15"/>
      <c r="E800" s="11" t="str">
        <f aca="false">IF(D800="","",IFERROR(INDEX(Players!$C$5:$C$304,MATCH(D800,Players!$B$5:$B$304,0)),""))</f>
        <v/>
      </c>
      <c r="F800" s="22" t="str">
        <f aca="false">IF(D800="","",IF(COUNTIFS($B$5:$B$2004,B800,$D$5:$D$2004,D800)&gt;1,"DUPLICATE",IF(ISNA(MATCH(D800,Players!$B$5:$B$304,0)),"UID not found",IF(INDEX(Players!$H$5:$H$304,MATCH(D800,Players!$B$5:$B$304,0))&lt;0,"LOW BALANCE","OK"))))</f>
        <v/>
      </c>
      <c r="G800" s="1"/>
      <c r="H800" s="1"/>
      <c r="I800" s="1"/>
    </row>
    <row r="801" customFormat="false" ht="21.75" hidden="false" customHeight="true" outlineLevel="0" collapsed="false">
      <c r="A801" s="1"/>
      <c r="B801" s="16"/>
      <c r="C801" s="16"/>
      <c r="D801" s="15"/>
      <c r="E801" s="11" t="str">
        <f aca="false">IF(D801="","",IFERROR(INDEX(Players!$C$5:$C$304,MATCH(D801,Players!$B$5:$B$304,0)),""))</f>
        <v/>
      </c>
      <c r="F801" s="22" t="str">
        <f aca="false">IF(D801="","",IF(COUNTIFS($B$5:$B$2004,B801,$D$5:$D$2004,D801)&gt;1,"DUPLICATE",IF(ISNA(MATCH(D801,Players!$B$5:$B$304,0)),"UID not found",IF(INDEX(Players!$H$5:$H$304,MATCH(D801,Players!$B$5:$B$304,0))&lt;0,"LOW BALANCE","OK"))))</f>
        <v/>
      </c>
      <c r="G801" s="1"/>
      <c r="H801" s="1"/>
      <c r="I801" s="1"/>
    </row>
    <row r="802" customFormat="false" ht="21.75" hidden="false" customHeight="true" outlineLevel="0" collapsed="false">
      <c r="A802" s="1"/>
      <c r="B802" s="16"/>
      <c r="C802" s="16"/>
      <c r="D802" s="15"/>
      <c r="E802" s="11" t="str">
        <f aca="false">IF(D802="","",IFERROR(INDEX(Players!$C$5:$C$304,MATCH(D802,Players!$B$5:$B$304,0)),""))</f>
        <v/>
      </c>
      <c r="F802" s="22" t="str">
        <f aca="false">IF(D802="","",IF(COUNTIFS($B$5:$B$2004,B802,$D$5:$D$2004,D802)&gt;1,"DUPLICATE",IF(ISNA(MATCH(D802,Players!$B$5:$B$304,0)),"UID not found",IF(INDEX(Players!$H$5:$H$304,MATCH(D802,Players!$B$5:$B$304,0))&lt;0,"LOW BALANCE","OK"))))</f>
        <v/>
      </c>
      <c r="G802" s="1"/>
      <c r="H802" s="1"/>
      <c r="I802" s="1"/>
    </row>
    <row r="803" customFormat="false" ht="21.75" hidden="false" customHeight="true" outlineLevel="0" collapsed="false">
      <c r="A803" s="1"/>
      <c r="B803" s="16"/>
      <c r="C803" s="16"/>
      <c r="D803" s="15"/>
      <c r="E803" s="11" t="str">
        <f aca="false">IF(D803="","",IFERROR(INDEX(Players!$C$5:$C$304,MATCH(D803,Players!$B$5:$B$304,0)),""))</f>
        <v/>
      </c>
      <c r="F803" s="22" t="str">
        <f aca="false">IF(D803="","",IF(COUNTIFS($B$5:$B$2004,B803,$D$5:$D$2004,D803)&gt;1,"DUPLICATE",IF(ISNA(MATCH(D803,Players!$B$5:$B$304,0)),"UID not found",IF(INDEX(Players!$H$5:$H$304,MATCH(D803,Players!$B$5:$B$304,0))&lt;0,"LOW BALANCE","OK"))))</f>
        <v/>
      </c>
      <c r="G803" s="1"/>
      <c r="H803" s="1"/>
      <c r="I803" s="1"/>
    </row>
    <row r="804" customFormat="false" ht="21.75" hidden="false" customHeight="true" outlineLevel="0" collapsed="false">
      <c r="A804" s="1"/>
      <c r="B804" s="16"/>
      <c r="C804" s="16"/>
      <c r="D804" s="15"/>
      <c r="E804" s="11" t="str">
        <f aca="false">IF(D804="","",IFERROR(INDEX(Players!$C$5:$C$304,MATCH(D804,Players!$B$5:$B$304,0)),""))</f>
        <v/>
      </c>
      <c r="F804" s="22" t="str">
        <f aca="false">IF(D804="","",IF(COUNTIFS($B$5:$B$2004,B804,$D$5:$D$2004,D804)&gt;1,"DUPLICATE",IF(ISNA(MATCH(D804,Players!$B$5:$B$304,0)),"UID not found",IF(INDEX(Players!$H$5:$H$304,MATCH(D804,Players!$B$5:$B$304,0))&lt;0,"LOW BALANCE","OK"))))</f>
        <v/>
      </c>
      <c r="G804" s="1"/>
      <c r="H804" s="1"/>
      <c r="I804" s="1"/>
    </row>
    <row r="805" customFormat="false" ht="21.75" hidden="false" customHeight="true" outlineLevel="0" collapsed="false">
      <c r="A805" s="1"/>
      <c r="B805" s="16"/>
      <c r="C805" s="16"/>
      <c r="D805" s="15"/>
      <c r="E805" s="11" t="str">
        <f aca="false">IF(D805="","",IFERROR(INDEX(Players!$C$5:$C$304,MATCH(D805,Players!$B$5:$B$304,0)),""))</f>
        <v/>
      </c>
      <c r="F805" s="22" t="str">
        <f aca="false">IF(D805="","",IF(COUNTIFS($B$5:$B$2004,B805,$D$5:$D$2004,D805)&gt;1,"DUPLICATE",IF(ISNA(MATCH(D805,Players!$B$5:$B$304,0)),"UID not found",IF(INDEX(Players!$H$5:$H$304,MATCH(D805,Players!$B$5:$B$304,0))&lt;0,"LOW BALANCE","OK"))))</f>
        <v/>
      </c>
      <c r="G805" s="1"/>
      <c r="H805" s="1"/>
      <c r="I805" s="1"/>
    </row>
    <row r="806" customFormat="false" ht="21.75" hidden="false" customHeight="true" outlineLevel="0" collapsed="false">
      <c r="A806" s="1"/>
      <c r="B806" s="16"/>
      <c r="C806" s="16"/>
      <c r="D806" s="15"/>
      <c r="E806" s="11" t="str">
        <f aca="false">IF(D806="","",IFERROR(INDEX(Players!$C$5:$C$304,MATCH(D806,Players!$B$5:$B$304,0)),""))</f>
        <v/>
      </c>
      <c r="F806" s="22" t="str">
        <f aca="false">IF(D806="","",IF(COUNTIFS($B$5:$B$2004,B806,$D$5:$D$2004,D806)&gt;1,"DUPLICATE",IF(ISNA(MATCH(D806,Players!$B$5:$B$304,0)),"UID not found",IF(INDEX(Players!$H$5:$H$304,MATCH(D806,Players!$B$5:$B$304,0))&lt;0,"LOW BALANCE","OK"))))</f>
        <v/>
      </c>
      <c r="G806" s="1"/>
      <c r="H806" s="1"/>
      <c r="I806" s="1"/>
    </row>
    <row r="807" customFormat="false" ht="21.75" hidden="false" customHeight="true" outlineLevel="0" collapsed="false">
      <c r="A807" s="1"/>
      <c r="B807" s="16"/>
      <c r="C807" s="16"/>
      <c r="D807" s="15"/>
      <c r="E807" s="11" t="str">
        <f aca="false">IF(D807="","",IFERROR(INDEX(Players!$C$5:$C$304,MATCH(D807,Players!$B$5:$B$304,0)),""))</f>
        <v/>
      </c>
      <c r="F807" s="22" t="str">
        <f aca="false">IF(D807="","",IF(COUNTIFS($B$5:$B$2004,B807,$D$5:$D$2004,D807)&gt;1,"DUPLICATE",IF(ISNA(MATCH(D807,Players!$B$5:$B$304,0)),"UID not found",IF(INDEX(Players!$H$5:$H$304,MATCH(D807,Players!$B$5:$B$304,0))&lt;0,"LOW BALANCE","OK"))))</f>
        <v/>
      </c>
      <c r="G807" s="1"/>
      <c r="H807" s="1"/>
      <c r="I807" s="1"/>
    </row>
    <row r="808" customFormat="false" ht="21.75" hidden="false" customHeight="true" outlineLevel="0" collapsed="false">
      <c r="A808" s="1"/>
      <c r="B808" s="16"/>
      <c r="C808" s="16"/>
      <c r="D808" s="15"/>
      <c r="E808" s="11" t="str">
        <f aca="false">IF(D808="","",IFERROR(INDEX(Players!$C$5:$C$304,MATCH(D808,Players!$B$5:$B$304,0)),""))</f>
        <v/>
      </c>
      <c r="F808" s="22" t="str">
        <f aca="false">IF(D808="","",IF(COUNTIFS($B$5:$B$2004,B808,$D$5:$D$2004,D808)&gt;1,"DUPLICATE",IF(ISNA(MATCH(D808,Players!$B$5:$B$304,0)),"UID not found",IF(INDEX(Players!$H$5:$H$304,MATCH(D808,Players!$B$5:$B$304,0))&lt;0,"LOW BALANCE","OK"))))</f>
        <v/>
      </c>
      <c r="G808" s="1"/>
      <c r="H808" s="1"/>
      <c r="I808" s="1"/>
    </row>
    <row r="809" customFormat="false" ht="21.75" hidden="false" customHeight="true" outlineLevel="0" collapsed="false">
      <c r="A809" s="1"/>
      <c r="B809" s="16"/>
      <c r="C809" s="16"/>
      <c r="D809" s="15"/>
      <c r="E809" s="11" t="str">
        <f aca="false">IF(D809="","",IFERROR(INDEX(Players!$C$5:$C$304,MATCH(D809,Players!$B$5:$B$304,0)),""))</f>
        <v/>
      </c>
      <c r="F809" s="22" t="str">
        <f aca="false">IF(D809="","",IF(COUNTIFS($B$5:$B$2004,B809,$D$5:$D$2004,D809)&gt;1,"DUPLICATE",IF(ISNA(MATCH(D809,Players!$B$5:$B$304,0)),"UID not found",IF(INDEX(Players!$H$5:$H$304,MATCH(D809,Players!$B$5:$B$304,0))&lt;0,"LOW BALANCE","OK"))))</f>
        <v/>
      </c>
      <c r="G809" s="1"/>
      <c r="H809" s="1"/>
      <c r="I809" s="1"/>
    </row>
    <row r="810" customFormat="false" ht="21.75" hidden="false" customHeight="true" outlineLevel="0" collapsed="false">
      <c r="A810" s="1"/>
      <c r="B810" s="16"/>
      <c r="C810" s="16"/>
      <c r="D810" s="15"/>
      <c r="E810" s="11" t="str">
        <f aca="false">IF(D810="","",IFERROR(INDEX(Players!$C$5:$C$304,MATCH(D810,Players!$B$5:$B$304,0)),""))</f>
        <v/>
      </c>
      <c r="F810" s="22" t="str">
        <f aca="false">IF(D810="","",IF(COUNTIFS($B$5:$B$2004,B810,$D$5:$D$2004,D810)&gt;1,"DUPLICATE",IF(ISNA(MATCH(D810,Players!$B$5:$B$304,0)),"UID not found",IF(INDEX(Players!$H$5:$H$304,MATCH(D810,Players!$B$5:$B$304,0))&lt;0,"LOW BALANCE","OK"))))</f>
        <v/>
      </c>
      <c r="G810" s="1"/>
      <c r="H810" s="1"/>
      <c r="I810" s="1"/>
    </row>
    <row r="811" customFormat="false" ht="21.75" hidden="false" customHeight="true" outlineLevel="0" collapsed="false">
      <c r="A811" s="1"/>
      <c r="B811" s="16"/>
      <c r="C811" s="16"/>
      <c r="D811" s="15"/>
      <c r="E811" s="11" t="str">
        <f aca="false">IF(D811="","",IFERROR(INDEX(Players!$C$5:$C$304,MATCH(D811,Players!$B$5:$B$304,0)),""))</f>
        <v/>
      </c>
      <c r="F811" s="22" t="str">
        <f aca="false">IF(D811="","",IF(COUNTIFS($B$5:$B$2004,B811,$D$5:$D$2004,D811)&gt;1,"DUPLICATE",IF(ISNA(MATCH(D811,Players!$B$5:$B$304,0)),"UID not found",IF(INDEX(Players!$H$5:$H$304,MATCH(D811,Players!$B$5:$B$304,0))&lt;0,"LOW BALANCE","OK"))))</f>
        <v/>
      </c>
      <c r="G811" s="1"/>
      <c r="H811" s="1"/>
      <c r="I811" s="1"/>
    </row>
    <row r="812" customFormat="false" ht="21.75" hidden="false" customHeight="true" outlineLevel="0" collapsed="false">
      <c r="A812" s="1"/>
      <c r="B812" s="16"/>
      <c r="C812" s="16"/>
      <c r="D812" s="15"/>
      <c r="E812" s="11" t="str">
        <f aca="false">IF(D812="","",IFERROR(INDEX(Players!$C$5:$C$304,MATCH(D812,Players!$B$5:$B$304,0)),""))</f>
        <v/>
      </c>
      <c r="F812" s="22" t="str">
        <f aca="false">IF(D812="","",IF(COUNTIFS($B$5:$B$2004,B812,$D$5:$D$2004,D812)&gt;1,"DUPLICATE",IF(ISNA(MATCH(D812,Players!$B$5:$B$304,0)),"UID not found",IF(INDEX(Players!$H$5:$H$304,MATCH(D812,Players!$B$5:$B$304,0))&lt;0,"LOW BALANCE","OK"))))</f>
        <v/>
      </c>
      <c r="G812" s="1"/>
      <c r="H812" s="1"/>
      <c r="I812" s="1"/>
    </row>
    <row r="813" customFormat="false" ht="21.75" hidden="false" customHeight="true" outlineLevel="0" collapsed="false">
      <c r="A813" s="1"/>
      <c r="B813" s="16"/>
      <c r="C813" s="16"/>
      <c r="D813" s="15"/>
      <c r="E813" s="11" t="str">
        <f aca="false">IF(D813="","",IFERROR(INDEX(Players!$C$5:$C$304,MATCH(D813,Players!$B$5:$B$304,0)),""))</f>
        <v/>
      </c>
      <c r="F813" s="22" t="str">
        <f aca="false">IF(D813="","",IF(COUNTIFS($B$5:$B$2004,B813,$D$5:$D$2004,D813)&gt;1,"DUPLICATE",IF(ISNA(MATCH(D813,Players!$B$5:$B$304,0)),"UID not found",IF(INDEX(Players!$H$5:$H$304,MATCH(D813,Players!$B$5:$B$304,0))&lt;0,"LOW BALANCE","OK"))))</f>
        <v/>
      </c>
      <c r="G813" s="1"/>
      <c r="H813" s="1"/>
      <c r="I813" s="1"/>
    </row>
    <row r="814" customFormat="false" ht="21.75" hidden="false" customHeight="true" outlineLevel="0" collapsed="false">
      <c r="A814" s="1"/>
      <c r="B814" s="16"/>
      <c r="C814" s="16"/>
      <c r="D814" s="15"/>
      <c r="E814" s="11" t="str">
        <f aca="false">IF(D814="","",IFERROR(INDEX(Players!$C$5:$C$304,MATCH(D814,Players!$B$5:$B$304,0)),""))</f>
        <v/>
      </c>
      <c r="F814" s="22" t="str">
        <f aca="false">IF(D814="","",IF(COUNTIFS($B$5:$B$2004,B814,$D$5:$D$2004,D814)&gt;1,"DUPLICATE",IF(ISNA(MATCH(D814,Players!$B$5:$B$304,0)),"UID not found",IF(INDEX(Players!$H$5:$H$304,MATCH(D814,Players!$B$5:$B$304,0))&lt;0,"LOW BALANCE","OK"))))</f>
        <v/>
      </c>
      <c r="G814" s="1"/>
      <c r="H814" s="1"/>
      <c r="I814" s="1"/>
    </row>
    <row r="815" customFormat="false" ht="21.75" hidden="false" customHeight="true" outlineLevel="0" collapsed="false">
      <c r="A815" s="1"/>
      <c r="B815" s="16"/>
      <c r="C815" s="16"/>
      <c r="D815" s="15"/>
      <c r="E815" s="11" t="str">
        <f aca="false">IF(D815="","",IFERROR(INDEX(Players!$C$5:$C$304,MATCH(D815,Players!$B$5:$B$304,0)),""))</f>
        <v/>
      </c>
      <c r="F815" s="22" t="str">
        <f aca="false">IF(D815="","",IF(COUNTIFS($B$5:$B$2004,B815,$D$5:$D$2004,D815)&gt;1,"DUPLICATE",IF(ISNA(MATCH(D815,Players!$B$5:$B$304,0)),"UID not found",IF(INDEX(Players!$H$5:$H$304,MATCH(D815,Players!$B$5:$B$304,0))&lt;0,"LOW BALANCE","OK"))))</f>
        <v/>
      </c>
      <c r="G815" s="1"/>
      <c r="H815" s="1"/>
      <c r="I815" s="1"/>
    </row>
    <row r="816" customFormat="false" ht="21.75" hidden="false" customHeight="true" outlineLevel="0" collapsed="false">
      <c r="A816" s="1"/>
      <c r="B816" s="16"/>
      <c r="C816" s="16"/>
      <c r="D816" s="15"/>
      <c r="E816" s="11" t="str">
        <f aca="false">IF(D816="","",IFERROR(INDEX(Players!$C$5:$C$304,MATCH(D816,Players!$B$5:$B$304,0)),""))</f>
        <v/>
      </c>
      <c r="F816" s="22" t="str">
        <f aca="false">IF(D816="","",IF(COUNTIFS($B$5:$B$2004,B816,$D$5:$D$2004,D816)&gt;1,"DUPLICATE",IF(ISNA(MATCH(D816,Players!$B$5:$B$304,0)),"UID not found",IF(INDEX(Players!$H$5:$H$304,MATCH(D816,Players!$B$5:$B$304,0))&lt;0,"LOW BALANCE","OK"))))</f>
        <v/>
      </c>
      <c r="G816" s="1"/>
      <c r="H816" s="1"/>
      <c r="I816" s="1"/>
    </row>
    <row r="817" customFormat="false" ht="21.75" hidden="false" customHeight="true" outlineLevel="0" collapsed="false">
      <c r="A817" s="1"/>
      <c r="B817" s="16"/>
      <c r="C817" s="16"/>
      <c r="D817" s="15"/>
      <c r="E817" s="11" t="str">
        <f aca="false">IF(D817="","",IFERROR(INDEX(Players!$C$5:$C$304,MATCH(D817,Players!$B$5:$B$304,0)),""))</f>
        <v/>
      </c>
      <c r="F817" s="22" t="str">
        <f aca="false">IF(D817="","",IF(COUNTIFS($B$5:$B$2004,B817,$D$5:$D$2004,D817)&gt;1,"DUPLICATE",IF(ISNA(MATCH(D817,Players!$B$5:$B$304,0)),"UID not found",IF(INDEX(Players!$H$5:$H$304,MATCH(D817,Players!$B$5:$B$304,0))&lt;0,"LOW BALANCE","OK"))))</f>
        <v/>
      </c>
      <c r="G817" s="1"/>
      <c r="H817" s="1"/>
      <c r="I817" s="1"/>
    </row>
    <row r="818" customFormat="false" ht="21.75" hidden="false" customHeight="true" outlineLevel="0" collapsed="false">
      <c r="A818" s="1"/>
      <c r="B818" s="16"/>
      <c r="C818" s="16"/>
      <c r="D818" s="15"/>
      <c r="E818" s="11" t="str">
        <f aca="false">IF(D818="","",IFERROR(INDEX(Players!$C$5:$C$304,MATCH(D818,Players!$B$5:$B$304,0)),""))</f>
        <v/>
      </c>
      <c r="F818" s="22" t="str">
        <f aca="false">IF(D818="","",IF(COUNTIFS($B$5:$B$2004,B818,$D$5:$D$2004,D818)&gt;1,"DUPLICATE",IF(ISNA(MATCH(D818,Players!$B$5:$B$304,0)),"UID not found",IF(INDEX(Players!$H$5:$H$304,MATCH(D818,Players!$B$5:$B$304,0))&lt;0,"LOW BALANCE","OK"))))</f>
        <v/>
      </c>
      <c r="G818" s="1"/>
      <c r="H818" s="1"/>
      <c r="I818" s="1"/>
    </row>
    <row r="819" customFormat="false" ht="21.75" hidden="false" customHeight="true" outlineLevel="0" collapsed="false">
      <c r="A819" s="1"/>
      <c r="B819" s="16"/>
      <c r="C819" s="16"/>
      <c r="D819" s="15"/>
      <c r="E819" s="11" t="str">
        <f aca="false">IF(D819="","",IFERROR(INDEX(Players!$C$5:$C$304,MATCH(D819,Players!$B$5:$B$304,0)),""))</f>
        <v/>
      </c>
      <c r="F819" s="22" t="str">
        <f aca="false">IF(D819="","",IF(COUNTIFS($B$5:$B$2004,B819,$D$5:$D$2004,D819)&gt;1,"DUPLICATE",IF(ISNA(MATCH(D819,Players!$B$5:$B$304,0)),"UID not found",IF(INDEX(Players!$H$5:$H$304,MATCH(D819,Players!$B$5:$B$304,0))&lt;0,"LOW BALANCE","OK"))))</f>
        <v/>
      </c>
      <c r="G819" s="1"/>
      <c r="H819" s="1"/>
      <c r="I819" s="1"/>
    </row>
    <row r="820" customFormat="false" ht="21.75" hidden="false" customHeight="true" outlineLevel="0" collapsed="false">
      <c r="A820" s="1"/>
      <c r="B820" s="16"/>
      <c r="C820" s="16"/>
      <c r="D820" s="15"/>
      <c r="E820" s="11" t="str">
        <f aca="false">IF(D820="","",IFERROR(INDEX(Players!$C$5:$C$304,MATCH(D820,Players!$B$5:$B$304,0)),""))</f>
        <v/>
      </c>
      <c r="F820" s="22" t="str">
        <f aca="false">IF(D820="","",IF(COUNTIFS($B$5:$B$2004,B820,$D$5:$D$2004,D820)&gt;1,"DUPLICATE",IF(ISNA(MATCH(D820,Players!$B$5:$B$304,0)),"UID not found",IF(INDEX(Players!$H$5:$H$304,MATCH(D820,Players!$B$5:$B$304,0))&lt;0,"LOW BALANCE","OK"))))</f>
        <v/>
      </c>
      <c r="G820" s="1"/>
      <c r="H820" s="1"/>
      <c r="I820" s="1"/>
    </row>
    <row r="821" customFormat="false" ht="21.75" hidden="false" customHeight="true" outlineLevel="0" collapsed="false">
      <c r="A821" s="1"/>
      <c r="B821" s="16"/>
      <c r="C821" s="16"/>
      <c r="D821" s="15"/>
      <c r="E821" s="11" t="str">
        <f aca="false">IF(D821="","",IFERROR(INDEX(Players!$C$5:$C$304,MATCH(D821,Players!$B$5:$B$304,0)),""))</f>
        <v/>
      </c>
      <c r="F821" s="22" t="str">
        <f aca="false">IF(D821="","",IF(COUNTIFS($B$5:$B$2004,B821,$D$5:$D$2004,D821)&gt;1,"DUPLICATE",IF(ISNA(MATCH(D821,Players!$B$5:$B$304,0)),"UID not found",IF(INDEX(Players!$H$5:$H$304,MATCH(D821,Players!$B$5:$B$304,0))&lt;0,"LOW BALANCE","OK"))))</f>
        <v/>
      </c>
      <c r="G821" s="1"/>
      <c r="H821" s="1"/>
      <c r="I821" s="1"/>
    </row>
    <row r="822" customFormat="false" ht="21.75" hidden="false" customHeight="true" outlineLevel="0" collapsed="false">
      <c r="A822" s="1"/>
      <c r="B822" s="16"/>
      <c r="C822" s="16"/>
      <c r="D822" s="15"/>
      <c r="E822" s="11" t="str">
        <f aca="false">IF(D822="","",IFERROR(INDEX(Players!$C$5:$C$304,MATCH(D822,Players!$B$5:$B$304,0)),""))</f>
        <v/>
      </c>
      <c r="F822" s="22" t="str">
        <f aca="false">IF(D822="","",IF(COUNTIFS($B$5:$B$2004,B822,$D$5:$D$2004,D822)&gt;1,"DUPLICATE",IF(ISNA(MATCH(D822,Players!$B$5:$B$304,0)),"UID not found",IF(INDEX(Players!$H$5:$H$304,MATCH(D822,Players!$B$5:$B$304,0))&lt;0,"LOW BALANCE","OK"))))</f>
        <v/>
      </c>
      <c r="G822" s="1"/>
      <c r="H822" s="1"/>
      <c r="I822" s="1"/>
    </row>
    <row r="823" customFormat="false" ht="21.75" hidden="false" customHeight="true" outlineLevel="0" collapsed="false">
      <c r="A823" s="1"/>
      <c r="B823" s="16"/>
      <c r="C823" s="16"/>
      <c r="D823" s="15"/>
      <c r="E823" s="11" t="str">
        <f aca="false">IF(D823="","",IFERROR(INDEX(Players!$C$5:$C$304,MATCH(D823,Players!$B$5:$B$304,0)),""))</f>
        <v/>
      </c>
      <c r="F823" s="22" t="str">
        <f aca="false">IF(D823="","",IF(COUNTIFS($B$5:$B$2004,B823,$D$5:$D$2004,D823)&gt;1,"DUPLICATE",IF(ISNA(MATCH(D823,Players!$B$5:$B$304,0)),"UID not found",IF(INDEX(Players!$H$5:$H$304,MATCH(D823,Players!$B$5:$B$304,0))&lt;0,"LOW BALANCE","OK"))))</f>
        <v/>
      </c>
      <c r="G823" s="1"/>
      <c r="H823" s="1"/>
      <c r="I823" s="1"/>
    </row>
    <row r="824" customFormat="false" ht="21.75" hidden="false" customHeight="true" outlineLevel="0" collapsed="false">
      <c r="A824" s="1"/>
      <c r="B824" s="16"/>
      <c r="C824" s="16"/>
      <c r="D824" s="15"/>
      <c r="E824" s="11" t="str">
        <f aca="false">IF(D824="","",IFERROR(INDEX(Players!$C$5:$C$304,MATCH(D824,Players!$B$5:$B$304,0)),""))</f>
        <v/>
      </c>
      <c r="F824" s="22" t="str">
        <f aca="false">IF(D824="","",IF(COUNTIFS($B$5:$B$2004,B824,$D$5:$D$2004,D824)&gt;1,"DUPLICATE",IF(ISNA(MATCH(D824,Players!$B$5:$B$304,0)),"UID not found",IF(INDEX(Players!$H$5:$H$304,MATCH(D824,Players!$B$5:$B$304,0))&lt;0,"LOW BALANCE","OK"))))</f>
        <v/>
      </c>
      <c r="G824" s="1"/>
      <c r="H824" s="1"/>
      <c r="I824" s="1"/>
    </row>
    <row r="825" customFormat="false" ht="21.75" hidden="false" customHeight="true" outlineLevel="0" collapsed="false">
      <c r="A825" s="1"/>
      <c r="B825" s="16"/>
      <c r="C825" s="16"/>
      <c r="D825" s="15"/>
      <c r="E825" s="11" t="str">
        <f aca="false">IF(D825="","",IFERROR(INDEX(Players!$C$5:$C$304,MATCH(D825,Players!$B$5:$B$304,0)),""))</f>
        <v/>
      </c>
      <c r="F825" s="22" t="str">
        <f aca="false">IF(D825="","",IF(COUNTIFS($B$5:$B$2004,B825,$D$5:$D$2004,D825)&gt;1,"DUPLICATE",IF(ISNA(MATCH(D825,Players!$B$5:$B$304,0)),"UID not found",IF(INDEX(Players!$H$5:$H$304,MATCH(D825,Players!$B$5:$B$304,0))&lt;0,"LOW BALANCE","OK"))))</f>
        <v/>
      </c>
      <c r="G825" s="1"/>
      <c r="H825" s="1"/>
      <c r="I825" s="1"/>
    </row>
    <row r="826" customFormat="false" ht="21.75" hidden="false" customHeight="true" outlineLevel="0" collapsed="false">
      <c r="A826" s="1"/>
      <c r="B826" s="16"/>
      <c r="C826" s="16"/>
      <c r="D826" s="15"/>
      <c r="E826" s="11" t="str">
        <f aca="false">IF(D826="","",IFERROR(INDEX(Players!$C$5:$C$304,MATCH(D826,Players!$B$5:$B$304,0)),""))</f>
        <v/>
      </c>
      <c r="F826" s="22" t="str">
        <f aca="false">IF(D826="","",IF(COUNTIFS($B$5:$B$2004,B826,$D$5:$D$2004,D826)&gt;1,"DUPLICATE",IF(ISNA(MATCH(D826,Players!$B$5:$B$304,0)),"UID not found",IF(INDEX(Players!$H$5:$H$304,MATCH(D826,Players!$B$5:$B$304,0))&lt;0,"LOW BALANCE","OK"))))</f>
        <v/>
      </c>
      <c r="G826" s="1"/>
      <c r="H826" s="1"/>
      <c r="I826" s="1"/>
    </row>
    <row r="827" customFormat="false" ht="21.75" hidden="false" customHeight="true" outlineLevel="0" collapsed="false">
      <c r="A827" s="1"/>
      <c r="B827" s="16"/>
      <c r="C827" s="16"/>
      <c r="D827" s="15"/>
      <c r="E827" s="11" t="str">
        <f aca="false">IF(D827="","",IFERROR(INDEX(Players!$C$5:$C$304,MATCH(D827,Players!$B$5:$B$304,0)),""))</f>
        <v/>
      </c>
      <c r="F827" s="22" t="str">
        <f aca="false">IF(D827="","",IF(COUNTIFS($B$5:$B$2004,B827,$D$5:$D$2004,D827)&gt;1,"DUPLICATE",IF(ISNA(MATCH(D827,Players!$B$5:$B$304,0)),"UID not found",IF(INDEX(Players!$H$5:$H$304,MATCH(D827,Players!$B$5:$B$304,0))&lt;0,"LOW BALANCE","OK"))))</f>
        <v/>
      </c>
      <c r="G827" s="1"/>
      <c r="H827" s="1"/>
      <c r="I827" s="1"/>
    </row>
    <row r="828" customFormat="false" ht="21.75" hidden="false" customHeight="true" outlineLevel="0" collapsed="false">
      <c r="A828" s="1"/>
      <c r="B828" s="16"/>
      <c r="C828" s="16"/>
      <c r="D828" s="15"/>
      <c r="E828" s="11" t="str">
        <f aca="false">IF(D828="","",IFERROR(INDEX(Players!$C$5:$C$304,MATCH(D828,Players!$B$5:$B$304,0)),""))</f>
        <v/>
      </c>
      <c r="F828" s="22" t="str">
        <f aca="false">IF(D828="","",IF(COUNTIFS($B$5:$B$2004,B828,$D$5:$D$2004,D828)&gt;1,"DUPLICATE",IF(ISNA(MATCH(D828,Players!$B$5:$B$304,0)),"UID not found",IF(INDEX(Players!$H$5:$H$304,MATCH(D828,Players!$B$5:$B$304,0))&lt;0,"LOW BALANCE","OK"))))</f>
        <v/>
      </c>
      <c r="G828" s="1"/>
      <c r="H828" s="1"/>
      <c r="I828" s="1"/>
    </row>
    <row r="829" customFormat="false" ht="21.75" hidden="false" customHeight="true" outlineLevel="0" collapsed="false">
      <c r="A829" s="1"/>
      <c r="B829" s="16"/>
      <c r="C829" s="16"/>
      <c r="D829" s="15"/>
      <c r="E829" s="11" t="str">
        <f aca="false">IF(D829="","",IFERROR(INDEX(Players!$C$5:$C$304,MATCH(D829,Players!$B$5:$B$304,0)),""))</f>
        <v/>
      </c>
      <c r="F829" s="22" t="str">
        <f aca="false">IF(D829="","",IF(COUNTIFS($B$5:$B$2004,B829,$D$5:$D$2004,D829)&gt;1,"DUPLICATE",IF(ISNA(MATCH(D829,Players!$B$5:$B$304,0)),"UID not found",IF(INDEX(Players!$H$5:$H$304,MATCH(D829,Players!$B$5:$B$304,0))&lt;0,"LOW BALANCE","OK"))))</f>
        <v/>
      </c>
      <c r="G829" s="1"/>
      <c r="H829" s="1"/>
      <c r="I829" s="1"/>
    </row>
    <row r="830" customFormat="false" ht="21.75" hidden="false" customHeight="true" outlineLevel="0" collapsed="false">
      <c r="A830" s="1"/>
      <c r="B830" s="16"/>
      <c r="C830" s="16"/>
      <c r="D830" s="15"/>
      <c r="E830" s="11" t="str">
        <f aca="false">IF(D830="","",IFERROR(INDEX(Players!$C$5:$C$304,MATCH(D830,Players!$B$5:$B$304,0)),""))</f>
        <v/>
      </c>
      <c r="F830" s="22" t="str">
        <f aca="false">IF(D830="","",IF(COUNTIFS($B$5:$B$2004,B830,$D$5:$D$2004,D830)&gt;1,"DUPLICATE",IF(ISNA(MATCH(D830,Players!$B$5:$B$304,0)),"UID not found",IF(INDEX(Players!$H$5:$H$304,MATCH(D830,Players!$B$5:$B$304,0))&lt;0,"LOW BALANCE","OK"))))</f>
        <v/>
      </c>
      <c r="G830" s="1"/>
      <c r="H830" s="1"/>
      <c r="I830" s="1"/>
    </row>
    <row r="831" customFormat="false" ht="21.75" hidden="false" customHeight="true" outlineLevel="0" collapsed="false">
      <c r="A831" s="1"/>
      <c r="B831" s="16"/>
      <c r="C831" s="16"/>
      <c r="D831" s="15"/>
      <c r="E831" s="11" t="str">
        <f aca="false">IF(D831="","",IFERROR(INDEX(Players!$C$5:$C$304,MATCH(D831,Players!$B$5:$B$304,0)),""))</f>
        <v/>
      </c>
      <c r="F831" s="22" t="str">
        <f aca="false">IF(D831="","",IF(COUNTIFS($B$5:$B$2004,B831,$D$5:$D$2004,D831)&gt;1,"DUPLICATE",IF(ISNA(MATCH(D831,Players!$B$5:$B$304,0)),"UID not found",IF(INDEX(Players!$H$5:$H$304,MATCH(D831,Players!$B$5:$B$304,0))&lt;0,"LOW BALANCE","OK"))))</f>
        <v/>
      </c>
      <c r="G831" s="1"/>
      <c r="H831" s="1"/>
      <c r="I831" s="1"/>
    </row>
    <row r="832" customFormat="false" ht="21.75" hidden="false" customHeight="true" outlineLevel="0" collapsed="false">
      <c r="A832" s="1"/>
      <c r="B832" s="16"/>
      <c r="C832" s="16"/>
      <c r="D832" s="15"/>
      <c r="E832" s="11" t="str">
        <f aca="false">IF(D832="","",IFERROR(INDEX(Players!$C$5:$C$304,MATCH(D832,Players!$B$5:$B$304,0)),""))</f>
        <v/>
      </c>
      <c r="F832" s="22" t="str">
        <f aca="false">IF(D832="","",IF(COUNTIFS($B$5:$B$2004,B832,$D$5:$D$2004,D832)&gt;1,"DUPLICATE",IF(ISNA(MATCH(D832,Players!$B$5:$B$304,0)),"UID not found",IF(INDEX(Players!$H$5:$H$304,MATCH(D832,Players!$B$5:$B$304,0))&lt;0,"LOW BALANCE","OK"))))</f>
        <v/>
      </c>
      <c r="G832" s="1"/>
      <c r="H832" s="1"/>
      <c r="I832" s="1"/>
    </row>
    <row r="833" customFormat="false" ht="21.75" hidden="false" customHeight="true" outlineLevel="0" collapsed="false">
      <c r="A833" s="1"/>
      <c r="B833" s="16"/>
      <c r="C833" s="16"/>
      <c r="D833" s="15"/>
      <c r="E833" s="11" t="str">
        <f aca="false">IF(D833="","",IFERROR(INDEX(Players!$C$5:$C$304,MATCH(D833,Players!$B$5:$B$304,0)),""))</f>
        <v/>
      </c>
      <c r="F833" s="22" t="str">
        <f aca="false">IF(D833="","",IF(COUNTIFS($B$5:$B$2004,B833,$D$5:$D$2004,D833)&gt;1,"DUPLICATE",IF(ISNA(MATCH(D833,Players!$B$5:$B$304,0)),"UID not found",IF(INDEX(Players!$H$5:$H$304,MATCH(D833,Players!$B$5:$B$304,0))&lt;0,"LOW BALANCE","OK"))))</f>
        <v/>
      </c>
      <c r="G833" s="1"/>
      <c r="H833" s="1"/>
      <c r="I833" s="1"/>
    </row>
    <row r="834" customFormat="false" ht="21.75" hidden="false" customHeight="true" outlineLevel="0" collapsed="false">
      <c r="A834" s="1"/>
      <c r="B834" s="16"/>
      <c r="C834" s="16"/>
      <c r="D834" s="15"/>
      <c r="E834" s="11" t="str">
        <f aca="false">IF(D834="","",IFERROR(INDEX(Players!$C$5:$C$304,MATCH(D834,Players!$B$5:$B$304,0)),""))</f>
        <v/>
      </c>
      <c r="F834" s="22" t="str">
        <f aca="false">IF(D834="","",IF(COUNTIFS($B$5:$B$2004,B834,$D$5:$D$2004,D834)&gt;1,"DUPLICATE",IF(ISNA(MATCH(D834,Players!$B$5:$B$304,0)),"UID not found",IF(INDEX(Players!$H$5:$H$304,MATCH(D834,Players!$B$5:$B$304,0))&lt;0,"LOW BALANCE","OK"))))</f>
        <v/>
      </c>
      <c r="G834" s="1"/>
      <c r="H834" s="1"/>
      <c r="I834" s="1"/>
    </row>
    <row r="835" customFormat="false" ht="21.75" hidden="false" customHeight="true" outlineLevel="0" collapsed="false">
      <c r="A835" s="1"/>
      <c r="B835" s="16"/>
      <c r="C835" s="16"/>
      <c r="D835" s="15"/>
      <c r="E835" s="11" t="str">
        <f aca="false">IF(D835="","",IFERROR(INDEX(Players!$C$5:$C$304,MATCH(D835,Players!$B$5:$B$304,0)),""))</f>
        <v/>
      </c>
      <c r="F835" s="22" t="str">
        <f aca="false">IF(D835="","",IF(COUNTIFS($B$5:$B$2004,B835,$D$5:$D$2004,D835)&gt;1,"DUPLICATE",IF(ISNA(MATCH(D835,Players!$B$5:$B$304,0)),"UID not found",IF(INDEX(Players!$H$5:$H$304,MATCH(D835,Players!$B$5:$B$304,0))&lt;0,"LOW BALANCE","OK"))))</f>
        <v/>
      </c>
      <c r="G835" s="1"/>
      <c r="H835" s="1"/>
      <c r="I835" s="1"/>
    </row>
    <row r="836" customFormat="false" ht="21.75" hidden="false" customHeight="true" outlineLevel="0" collapsed="false">
      <c r="A836" s="1"/>
      <c r="B836" s="16"/>
      <c r="C836" s="16"/>
      <c r="D836" s="15"/>
      <c r="E836" s="11" t="str">
        <f aca="false">IF(D836="","",IFERROR(INDEX(Players!$C$5:$C$304,MATCH(D836,Players!$B$5:$B$304,0)),""))</f>
        <v/>
      </c>
      <c r="F836" s="22" t="str">
        <f aca="false">IF(D836="","",IF(COUNTIFS($B$5:$B$2004,B836,$D$5:$D$2004,D836)&gt;1,"DUPLICATE",IF(ISNA(MATCH(D836,Players!$B$5:$B$304,0)),"UID not found",IF(INDEX(Players!$H$5:$H$304,MATCH(D836,Players!$B$5:$B$304,0))&lt;0,"LOW BALANCE","OK"))))</f>
        <v/>
      </c>
      <c r="G836" s="1"/>
      <c r="H836" s="1"/>
      <c r="I836" s="1"/>
    </row>
    <row r="837" customFormat="false" ht="21.75" hidden="false" customHeight="true" outlineLevel="0" collapsed="false">
      <c r="A837" s="1"/>
      <c r="B837" s="16"/>
      <c r="C837" s="16"/>
      <c r="D837" s="15"/>
      <c r="E837" s="11" t="str">
        <f aca="false">IF(D837="","",IFERROR(INDEX(Players!$C$5:$C$304,MATCH(D837,Players!$B$5:$B$304,0)),""))</f>
        <v/>
      </c>
      <c r="F837" s="22" t="str">
        <f aca="false">IF(D837="","",IF(COUNTIFS($B$5:$B$2004,B837,$D$5:$D$2004,D837)&gt;1,"DUPLICATE",IF(ISNA(MATCH(D837,Players!$B$5:$B$304,0)),"UID not found",IF(INDEX(Players!$H$5:$H$304,MATCH(D837,Players!$B$5:$B$304,0))&lt;0,"LOW BALANCE","OK"))))</f>
        <v/>
      </c>
      <c r="G837" s="1"/>
      <c r="H837" s="1"/>
      <c r="I837" s="1"/>
    </row>
    <row r="838" customFormat="false" ht="21.75" hidden="false" customHeight="true" outlineLevel="0" collapsed="false">
      <c r="A838" s="1"/>
      <c r="B838" s="16"/>
      <c r="C838" s="16"/>
      <c r="D838" s="15"/>
      <c r="E838" s="11" t="str">
        <f aca="false">IF(D838="","",IFERROR(INDEX(Players!$C$5:$C$304,MATCH(D838,Players!$B$5:$B$304,0)),""))</f>
        <v/>
      </c>
      <c r="F838" s="22" t="str">
        <f aca="false">IF(D838="","",IF(COUNTIFS($B$5:$B$2004,B838,$D$5:$D$2004,D838)&gt;1,"DUPLICATE",IF(ISNA(MATCH(D838,Players!$B$5:$B$304,0)),"UID not found",IF(INDEX(Players!$H$5:$H$304,MATCH(D838,Players!$B$5:$B$304,0))&lt;0,"LOW BALANCE","OK"))))</f>
        <v/>
      </c>
      <c r="G838" s="1"/>
      <c r="H838" s="1"/>
      <c r="I838" s="1"/>
    </row>
    <row r="839" customFormat="false" ht="21.75" hidden="false" customHeight="true" outlineLevel="0" collapsed="false">
      <c r="A839" s="1"/>
      <c r="B839" s="16"/>
      <c r="C839" s="16"/>
      <c r="D839" s="15"/>
      <c r="E839" s="11" t="str">
        <f aca="false">IF(D839="","",IFERROR(INDEX(Players!$C$5:$C$304,MATCH(D839,Players!$B$5:$B$304,0)),""))</f>
        <v/>
      </c>
      <c r="F839" s="22" t="str">
        <f aca="false">IF(D839="","",IF(COUNTIFS($B$5:$B$2004,B839,$D$5:$D$2004,D839)&gt;1,"DUPLICATE",IF(ISNA(MATCH(D839,Players!$B$5:$B$304,0)),"UID not found",IF(INDEX(Players!$H$5:$H$304,MATCH(D839,Players!$B$5:$B$304,0))&lt;0,"LOW BALANCE","OK"))))</f>
        <v/>
      </c>
      <c r="G839" s="1"/>
      <c r="H839" s="1"/>
      <c r="I839" s="1"/>
    </row>
    <row r="840" customFormat="false" ht="21.75" hidden="false" customHeight="true" outlineLevel="0" collapsed="false">
      <c r="A840" s="1"/>
      <c r="B840" s="16"/>
      <c r="C840" s="16"/>
      <c r="D840" s="15"/>
      <c r="E840" s="11" t="str">
        <f aca="false">IF(D840="","",IFERROR(INDEX(Players!$C$5:$C$304,MATCH(D840,Players!$B$5:$B$304,0)),""))</f>
        <v/>
      </c>
      <c r="F840" s="22" t="str">
        <f aca="false">IF(D840="","",IF(COUNTIFS($B$5:$B$2004,B840,$D$5:$D$2004,D840)&gt;1,"DUPLICATE",IF(ISNA(MATCH(D840,Players!$B$5:$B$304,0)),"UID not found",IF(INDEX(Players!$H$5:$H$304,MATCH(D840,Players!$B$5:$B$304,0))&lt;0,"LOW BALANCE","OK"))))</f>
        <v/>
      </c>
      <c r="G840" s="1"/>
      <c r="H840" s="1"/>
      <c r="I840" s="1"/>
    </row>
    <row r="841" customFormat="false" ht="21.75" hidden="false" customHeight="true" outlineLevel="0" collapsed="false">
      <c r="A841" s="1"/>
      <c r="B841" s="16"/>
      <c r="C841" s="16"/>
      <c r="D841" s="15"/>
      <c r="E841" s="11" t="str">
        <f aca="false">IF(D841="","",IFERROR(INDEX(Players!$C$5:$C$304,MATCH(D841,Players!$B$5:$B$304,0)),""))</f>
        <v/>
      </c>
      <c r="F841" s="22" t="str">
        <f aca="false">IF(D841="","",IF(COUNTIFS($B$5:$B$2004,B841,$D$5:$D$2004,D841)&gt;1,"DUPLICATE",IF(ISNA(MATCH(D841,Players!$B$5:$B$304,0)),"UID not found",IF(INDEX(Players!$H$5:$H$304,MATCH(D841,Players!$B$5:$B$304,0))&lt;0,"LOW BALANCE","OK"))))</f>
        <v/>
      </c>
      <c r="G841" s="1"/>
      <c r="H841" s="1"/>
      <c r="I841" s="1"/>
    </row>
    <row r="842" customFormat="false" ht="21.75" hidden="false" customHeight="true" outlineLevel="0" collapsed="false">
      <c r="A842" s="1"/>
      <c r="B842" s="16"/>
      <c r="C842" s="16"/>
      <c r="D842" s="15"/>
      <c r="E842" s="11" t="str">
        <f aca="false">IF(D842="","",IFERROR(INDEX(Players!$C$5:$C$304,MATCH(D842,Players!$B$5:$B$304,0)),""))</f>
        <v/>
      </c>
      <c r="F842" s="22" t="str">
        <f aca="false">IF(D842="","",IF(COUNTIFS($B$5:$B$2004,B842,$D$5:$D$2004,D842)&gt;1,"DUPLICATE",IF(ISNA(MATCH(D842,Players!$B$5:$B$304,0)),"UID not found",IF(INDEX(Players!$H$5:$H$304,MATCH(D842,Players!$B$5:$B$304,0))&lt;0,"LOW BALANCE","OK"))))</f>
        <v/>
      </c>
      <c r="G842" s="1"/>
      <c r="H842" s="1"/>
      <c r="I842" s="1"/>
    </row>
    <row r="843" customFormat="false" ht="21.75" hidden="false" customHeight="true" outlineLevel="0" collapsed="false">
      <c r="A843" s="1"/>
      <c r="B843" s="16"/>
      <c r="C843" s="16"/>
      <c r="D843" s="15"/>
      <c r="E843" s="11" t="str">
        <f aca="false">IF(D843="","",IFERROR(INDEX(Players!$C$5:$C$304,MATCH(D843,Players!$B$5:$B$304,0)),""))</f>
        <v/>
      </c>
      <c r="F843" s="22" t="str">
        <f aca="false">IF(D843="","",IF(COUNTIFS($B$5:$B$2004,B843,$D$5:$D$2004,D843)&gt;1,"DUPLICATE",IF(ISNA(MATCH(D843,Players!$B$5:$B$304,0)),"UID not found",IF(INDEX(Players!$H$5:$H$304,MATCH(D843,Players!$B$5:$B$304,0))&lt;0,"LOW BALANCE","OK"))))</f>
        <v/>
      </c>
      <c r="G843" s="1"/>
      <c r="H843" s="1"/>
      <c r="I843" s="1"/>
    </row>
    <row r="844" customFormat="false" ht="21.75" hidden="false" customHeight="true" outlineLevel="0" collapsed="false">
      <c r="A844" s="1"/>
      <c r="B844" s="16"/>
      <c r="C844" s="16"/>
      <c r="D844" s="15"/>
      <c r="E844" s="11" t="str">
        <f aca="false">IF(D844="","",IFERROR(INDEX(Players!$C$5:$C$304,MATCH(D844,Players!$B$5:$B$304,0)),""))</f>
        <v/>
      </c>
      <c r="F844" s="22" t="str">
        <f aca="false">IF(D844="","",IF(COUNTIFS($B$5:$B$2004,B844,$D$5:$D$2004,D844)&gt;1,"DUPLICATE",IF(ISNA(MATCH(D844,Players!$B$5:$B$304,0)),"UID not found",IF(INDEX(Players!$H$5:$H$304,MATCH(D844,Players!$B$5:$B$304,0))&lt;0,"LOW BALANCE","OK"))))</f>
        <v/>
      </c>
      <c r="G844" s="1"/>
      <c r="H844" s="1"/>
      <c r="I844" s="1"/>
    </row>
    <row r="845" customFormat="false" ht="21.75" hidden="false" customHeight="true" outlineLevel="0" collapsed="false">
      <c r="A845" s="1"/>
      <c r="B845" s="16"/>
      <c r="C845" s="16"/>
      <c r="D845" s="15"/>
      <c r="E845" s="11" t="str">
        <f aca="false">IF(D845="","",IFERROR(INDEX(Players!$C$5:$C$304,MATCH(D845,Players!$B$5:$B$304,0)),""))</f>
        <v/>
      </c>
      <c r="F845" s="22" t="str">
        <f aca="false">IF(D845="","",IF(COUNTIFS($B$5:$B$2004,B845,$D$5:$D$2004,D845)&gt;1,"DUPLICATE",IF(ISNA(MATCH(D845,Players!$B$5:$B$304,0)),"UID not found",IF(INDEX(Players!$H$5:$H$304,MATCH(D845,Players!$B$5:$B$304,0))&lt;0,"LOW BALANCE","OK"))))</f>
        <v/>
      </c>
      <c r="G845" s="1"/>
      <c r="H845" s="1"/>
      <c r="I845" s="1"/>
    </row>
    <row r="846" customFormat="false" ht="21.75" hidden="false" customHeight="true" outlineLevel="0" collapsed="false">
      <c r="A846" s="1"/>
      <c r="B846" s="16"/>
      <c r="C846" s="16"/>
      <c r="D846" s="15"/>
      <c r="E846" s="11" t="str">
        <f aca="false">IF(D846="","",IFERROR(INDEX(Players!$C$5:$C$304,MATCH(D846,Players!$B$5:$B$304,0)),""))</f>
        <v/>
      </c>
      <c r="F846" s="22" t="str">
        <f aca="false">IF(D846="","",IF(COUNTIFS($B$5:$B$2004,B846,$D$5:$D$2004,D846)&gt;1,"DUPLICATE",IF(ISNA(MATCH(D846,Players!$B$5:$B$304,0)),"UID not found",IF(INDEX(Players!$H$5:$H$304,MATCH(D846,Players!$B$5:$B$304,0))&lt;0,"LOW BALANCE","OK"))))</f>
        <v/>
      </c>
      <c r="G846" s="1"/>
      <c r="H846" s="1"/>
      <c r="I846" s="1"/>
    </row>
    <row r="847" customFormat="false" ht="21.75" hidden="false" customHeight="true" outlineLevel="0" collapsed="false">
      <c r="A847" s="1"/>
      <c r="B847" s="16"/>
      <c r="C847" s="16"/>
      <c r="D847" s="15"/>
      <c r="E847" s="11" t="str">
        <f aca="false">IF(D847="","",IFERROR(INDEX(Players!$C$5:$C$304,MATCH(D847,Players!$B$5:$B$304,0)),""))</f>
        <v/>
      </c>
      <c r="F847" s="22" t="str">
        <f aca="false">IF(D847="","",IF(COUNTIFS($B$5:$B$2004,B847,$D$5:$D$2004,D847)&gt;1,"DUPLICATE",IF(ISNA(MATCH(D847,Players!$B$5:$B$304,0)),"UID not found",IF(INDEX(Players!$H$5:$H$304,MATCH(D847,Players!$B$5:$B$304,0))&lt;0,"LOW BALANCE","OK"))))</f>
        <v/>
      </c>
      <c r="G847" s="1"/>
      <c r="H847" s="1"/>
      <c r="I847" s="1"/>
    </row>
    <row r="848" customFormat="false" ht="21.75" hidden="false" customHeight="true" outlineLevel="0" collapsed="false">
      <c r="A848" s="1"/>
      <c r="B848" s="16"/>
      <c r="C848" s="16"/>
      <c r="D848" s="15"/>
      <c r="E848" s="11" t="str">
        <f aca="false">IF(D848="","",IFERROR(INDEX(Players!$C$5:$C$304,MATCH(D848,Players!$B$5:$B$304,0)),""))</f>
        <v/>
      </c>
      <c r="F848" s="22" t="str">
        <f aca="false">IF(D848="","",IF(COUNTIFS($B$5:$B$2004,B848,$D$5:$D$2004,D848)&gt;1,"DUPLICATE",IF(ISNA(MATCH(D848,Players!$B$5:$B$304,0)),"UID not found",IF(INDEX(Players!$H$5:$H$304,MATCH(D848,Players!$B$5:$B$304,0))&lt;0,"LOW BALANCE","OK"))))</f>
        <v/>
      </c>
      <c r="G848" s="1"/>
      <c r="H848" s="1"/>
      <c r="I848" s="1"/>
    </row>
    <row r="849" customFormat="false" ht="21.75" hidden="false" customHeight="true" outlineLevel="0" collapsed="false">
      <c r="A849" s="1"/>
      <c r="B849" s="16"/>
      <c r="C849" s="16"/>
      <c r="D849" s="15"/>
      <c r="E849" s="11" t="str">
        <f aca="false">IF(D849="","",IFERROR(INDEX(Players!$C$5:$C$304,MATCH(D849,Players!$B$5:$B$304,0)),""))</f>
        <v/>
      </c>
      <c r="F849" s="22" t="str">
        <f aca="false">IF(D849="","",IF(COUNTIFS($B$5:$B$2004,B849,$D$5:$D$2004,D849)&gt;1,"DUPLICATE",IF(ISNA(MATCH(D849,Players!$B$5:$B$304,0)),"UID not found",IF(INDEX(Players!$H$5:$H$304,MATCH(D849,Players!$B$5:$B$304,0))&lt;0,"LOW BALANCE","OK"))))</f>
        <v/>
      </c>
      <c r="G849" s="1"/>
      <c r="H849" s="1"/>
      <c r="I849" s="1"/>
    </row>
    <row r="850" customFormat="false" ht="21.75" hidden="false" customHeight="true" outlineLevel="0" collapsed="false">
      <c r="A850" s="1"/>
      <c r="B850" s="16"/>
      <c r="C850" s="16"/>
      <c r="D850" s="15"/>
      <c r="E850" s="11" t="str">
        <f aca="false">IF(D850="","",IFERROR(INDEX(Players!$C$5:$C$304,MATCH(D850,Players!$B$5:$B$304,0)),""))</f>
        <v/>
      </c>
      <c r="F850" s="22" t="str">
        <f aca="false">IF(D850="","",IF(COUNTIFS($B$5:$B$2004,B850,$D$5:$D$2004,D850)&gt;1,"DUPLICATE",IF(ISNA(MATCH(D850,Players!$B$5:$B$304,0)),"UID not found",IF(INDEX(Players!$H$5:$H$304,MATCH(D850,Players!$B$5:$B$304,0))&lt;0,"LOW BALANCE","OK"))))</f>
        <v/>
      </c>
      <c r="G850" s="1"/>
      <c r="H850" s="1"/>
      <c r="I850" s="1"/>
    </row>
    <row r="851" customFormat="false" ht="21.75" hidden="false" customHeight="true" outlineLevel="0" collapsed="false">
      <c r="A851" s="1"/>
      <c r="B851" s="16"/>
      <c r="C851" s="16"/>
      <c r="D851" s="15"/>
      <c r="E851" s="11" t="str">
        <f aca="false">IF(D851="","",IFERROR(INDEX(Players!$C$5:$C$304,MATCH(D851,Players!$B$5:$B$304,0)),""))</f>
        <v/>
      </c>
      <c r="F851" s="22" t="str">
        <f aca="false">IF(D851="","",IF(COUNTIFS($B$5:$B$2004,B851,$D$5:$D$2004,D851)&gt;1,"DUPLICATE",IF(ISNA(MATCH(D851,Players!$B$5:$B$304,0)),"UID not found",IF(INDEX(Players!$H$5:$H$304,MATCH(D851,Players!$B$5:$B$304,0))&lt;0,"LOW BALANCE","OK"))))</f>
        <v/>
      </c>
      <c r="G851" s="1"/>
      <c r="H851" s="1"/>
      <c r="I851" s="1"/>
    </row>
    <row r="852" customFormat="false" ht="21.75" hidden="false" customHeight="true" outlineLevel="0" collapsed="false">
      <c r="A852" s="1"/>
      <c r="B852" s="16"/>
      <c r="C852" s="16"/>
      <c r="D852" s="15"/>
      <c r="E852" s="11" t="str">
        <f aca="false">IF(D852="","",IFERROR(INDEX(Players!$C$5:$C$304,MATCH(D852,Players!$B$5:$B$304,0)),""))</f>
        <v/>
      </c>
      <c r="F852" s="22" t="str">
        <f aca="false">IF(D852="","",IF(COUNTIFS($B$5:$B$2004,B852,$D$5:$D$2004,D852)&gt;1,"DUPLICATE",IF(ISNA(MATCH(D852,Players!$B$5:$B$304,0)),"UID not found",IF(INDEX(Players!$H$5:$H$304,MATCH(D852,Players!$B$5:$B$304,0))&lt;0,"LOW BALANCE","OK"))))</f>
        <v/>
      </c>
      <c r="G852" s="1"/>
      <c r="H852" s="1"/>
      <c r="I852" s="1"/>
    </row>
    <row r="853" customFormat="false" ht="21.75" hidden="false" customHeight="true" outlineLevel="0" collapsed="false">
      <c r="A853" s="1"/>
      <c r="B853" s="16"/>
      <c r="C853" s="16"/>
      <c r="D853" s="15"/>
      <c r="E853" s="11" t="str">
        <f aca="false">IF(D853="","",IFERROR(INDEX(Players!$C$5:$C$304,MATCH(D853,Players!$B$5:$B$304,0)),""))</f>
        <v/>
      </c>
      <c r="F853" s="22" t="str">
        <f aca="false">IF(D853="","",IF(COUNTIFS($B$5:$B$2004,B853,$D$5:$D$2004,D853)&gt;1,"DUPLICATE",IF(ISNA(MATCH(D853,Players!$B$5:$B$304,0)),"UID not found",IF(INDEX(Players!$H$5:$H$304,MATCH(D853,Players!$B$5:$B$304,0))&lt;0,"LOW BALANCE","OK"))))</f>
        <v/>
      </c>
      <c r="G853" s="1"/>
      <c r="H853" s="1"/>
      <c r="I853" s="1"/>
    </row>
    <row r="854" customFormat="false" ht="21.75" hidden="false" customHeight="true" outlineLevel="0" collapsed="false">
      <c r="A854" s="1"/>
      <c r="B854" s="16"/>
      <c r="C854" s="16"/>
      <c r="D854" s="15"/>
      <c r="E854" s="11" t="str">
        <f aca="false">IF(D854="","",IFERROR(INDEX(Players!$C$5:$C$304,MATCH(D854,Players!$B$5:$B$304,0)),""))</f>
        <v/>
      </c>
      <c r="F854" s="22" t="str">
        <f aca="false">IF(D854="","",IF(COUNTIFS($B$5:$B$2004,B854,$D$5:$D$2004,D854)&gt;1,"DUPLICATE",IF(ISNA(MATCH(D854,Players!$B$5:$B$304,0)),"UID not found",IF(INDEX(Players!$H$5:$H$304,MATCH(D854,Players!$B$5:$B$304,0))&lt;0,"LOW BALANCE","OK"))))</f>
        <v/>
      </c>
      <c r="G854" s="1"/>
      <c r="H854" s="1"/>
      <c r="I854" s="1"/>
    </row>
    <row r="855" customFormat="false" ht="21.75" hidden="false" customHeight="true" outlineLevel="0" collapsed="false">
      <c r="A855" s="1"/>
      <c r="B855" s="16"/>
      <c r="C855" s="16"/>
      <c r="D855" s="15"/>
      <c r="E855" s="11" t="str">
        <f aca="false">IF(D855="","",IFERROR(INDEX(Players!$C$5:$C$304,MATCH(D855,Players!$B$5:$B$304,0)),""))</f>
        <v/>
      </c>
      <c r="F855" s="22" t="str">
        <f aca="false">IF(D855="","",IF(COUNTIFS($B$5:$B$2004,B855,$D$5:$D$2004,D855)&gt;1,"DUPLICATE",IF(ISNA(MATCH(D855,Players!$B$5:$B$304,0)),"UID not found",IF(INDEX(Players!$H$5:$H$304,MATCH(D855,Players!$B$5:$B$304,0))&lt;0,"LOW BALANCE","OK"))))</f>
        <v/>
      </c>
      <c r="G855" s="1"/>
      <c r="H855" s="1"/>
      <c r="I855" s="1"/>
    </row>
    <row r="856" customFormat="false" ht="21.75" hidden="false" customHeight="true" outlineLevel="0" collapsed="false">
      <c r="A856" s="1"/>
      <c r="B856" s="16"/>
      <c r="C856" s="16"/>
      <c r="D856" s="15"/>
      <c r="E856" s="11" t="str">
        <f aca="false">IF(D856="","",IFERROR(INDEX(Players!$C$5:$C$304,MATCH(D856,Players!$B$5:$B$304,0)),""))</f>
        <v/>
      </c>
      <c r="F856" s="22" t="str">
        <f aca="false">IF(D856="","",IF(COUNTIFS($B$5:$B$2004,B856,$D$5:$D$2004,D856)&gt;1,"DUPLICATE",IF(ISNA(MATCH(D856,Players!$B$5:$B$304,0)),"UID not found",IF(INDEX(Players!$H$5:$H$304,MATCH(D856,Players!$B$5:$B$304,0))&lt;0,"LOW BALANCE","OK"))))</f>
        <v/>
      </c>
      <c r="G856" s="1"/>
      <c r="H856" s="1"/>
      <c r="I856" s="1"/>
    </row>
    <row r="857" customFormat="false" ht="21.75" hidden="false" customHeight="true" outlineLevel="0" collapsed="false">
      <c r="A857" s="1"/>
      <c r="B857" s="16"/>
      <c r="C857" s="16"/>
      <c r="D857" s="15"/>
      <c r="E857" s="11" t="str">
        <f aca="false">IF(D857="","",IFERROR(INDEX(Players!$C$5:$C$304,MATCH(D857,Players!$B$5:$B$304,0)),""))</f>
        <v/>
      </c>
      <c r="F857" s="22" t="str">
        <f aca="false">IF(D857="","",IF(COUNTIFS($B$5:$B$2004,B857,$D$5:$D$2004,D857)&gt;1,"DUPLICATE",IF(ISNA(MATCH(D857,Players!$B$5:$B$304,0)),"UID not found",IF(INDEX(Players!$H$5:$H$304,MATCH(D857,Players!$B$5:$B$304,0))&lt;0,"LOW BALANCE","OK"))))</f>
        <v/>
      </c>
      <c r="G857" s="1"/>
      <c r="H857" s="1"/>
      <c r="I857" s="1"/>
    </row>
    <row r="858" customFormat="false" ht="21.75" hidden="false" customHeight="true" outlineLevel="0" collapsed="false">
      <c r="A858" s="1"/>
      <c r="B858" s="16"/>
      <c r="C858" s="16"/>
      <c r="D858" s="15"/>
      <c r="E858" s="11" t="str">
        <f aca="false">IF(D858="","",IFERROR(INDEX(Players!$C$5:$C$304,MATCH(D858,Players!$B$5:$B$304,0)),""))</f>
        <v/>
      </c>
      <c r="F858" s="22" t="str">
        <f aca="false">IF(D858="","",IF(COUNTIFS($B$5:$B$2004,B858,$D$5:$D$2004,D858)&gt;1,"DUPLICATE",IF(ISNA(MATCH(D858,Players!$B$5:$B$304,0)),"UID not found",IF(INDEX(Players!$H$5:$H$304,MATCH(D858,Players!$B$5:$B$304,0))&lt;0,"LOW BALANCE","OK"))))</f>
        <v/>
      </c>
      <c r="G858" s="1"/>
      <c r="H858" s="1"/>
      <c r="I858" s="1"/>
    </row>
    <row r="859" customFormat="false" ht="21.75" hidden="false" customHeight="true" outlineLevel="0" collapsed="false">
      <c r="A859" s="1"/>
      <c r="B859" s="16"/>
      <c r="C859" s="16"/>
      <c r="D859" s="15"/>
      <c r="E859" s="11" t="str">
        <f aca="false">IF(D859="","",IFERROR(INDEX(Players!$C$5:$C$304,MATCH(D859,Players!$B$5:$B$304,0)),""))</f>
        <v/>
      </c>
      <c r="F859" s="22" t="str">
        <f aca="false">IF(D859="","",IF(COUNTIFS($B$5:$B$2004,B859,$D$5:$D$2004,D859)&gt;1,"DUPLICATE",IF(ISNA(MATCH(D859,Players!$B$5:$B$304,0)),"UID not found",IF(INDEX(Players!$H$5:$H$304,MATCH(D859,Players!$B$5:$B$304,0))&lt;0,"LOW BALANCE","OK"))))</f>
        <v/>
      </c>
      <c r="G859" s="1"/>
      <c r="H859" s="1"/>
      <c r="I859" s="1"/>
    </row>
    <row r="860" customFormat="false" ht="21.75" hidden="false" customHeight="true" outlineLevel="0" collapsed="false">
      <c r="A860" s="1"/>
      <c r="B860" s="16"/>
      <c r="C860" s="16"/>
      <c r="D860" s="15"/>
      <c r="E860" s="11" t="str">
        <f aca="false">IF(D860="","",IFERROR(INDEX(Players!$C$5:$C$304,MATCH(D860,Players!$B$5:$B$304,0)),""))</f>
        <v/>
      </c>
      <c r="F860" s="22" t="str">
        <f aca="false">IF(D860="","",IF(COUNTIFS($B$5:$B$2004,B860,$D$5:$D$2004,D860)&gt;1,"DUPLICATE",IF(ISNA(MATCH(D860,Players!$B$5:$B$304,0)),"UID not found",IF(INDEX(Players!$H$5:$H$304,MATCH(D860,Players!$B$5:$B$304,0))&lt;0,"LOW BALANCE","OK"))))</f>
        <v/>
      </c>
      <c r="G860" s="1"/>
      <c r="H860" s="1"/>
      <c r="I860" s="1"/>
    </row>
    <row r="861" customFormat="false" ht="21.75" hidden="false" customHeight="true" outlineLevel="0" collapsed="false">
      <c r="A861" s="1"/>
      <c r="B861" s="16"/>
      <c r="C861" s="16"/>
      <c r="D861" s="15"/>
      <c r="E861" s="11" t="str">
        <f aca="false">IF(D861="","",IFERROR(INDEX(Players!$C$5:$C$304,MATCH(D861,Players!$B$5:$B$304,0)),""))</f>
        <v/>
      </c>
      <c r="F861" s="22" t="str">
        <f aca="false">IF(D861="","",IF(COUNTIFS($B$5:$B$2004,B861,$D$5:$D$2004,D861)&gt;1,"DUPLICATE",IF(ISNA(MATCH(D861,Players!$B$5:$B$304,0)),"UID not found",IF(INDEX(Players!$H$5:$H$304,MATCH(D861,Players!$B$5:$B$304,0))&lt;0,"LOW BALANCE","OK"))))</f>
        <v/>
      </c>
      <c r="G861" s="1"/>
      <c r="H861" s="1"/>
      <c r="I861" s="1"/>
    </row>
    <row r="862" customFormat="false" ht="21.75" hidden="false" customHeight="true" outlineLevel="0" collapsed="false">
      <c r="A862" s="1"/>
      <c r="B862" s="16"/>
      <c r="C862" s="16"/>
      <c r="D862" s="15"/>
      <c r="E862" s="11" t="str">
        <f aca="false">IF(D862="","",IFERROR(INDEX(Players!$C$5:$C$304,MATCH(D862,Players!$B$5:$B$304,0)),""))</f>
        <v/>
      </c>
      <c r="F862" s="22" t="str">
        <f aca="false">IF(D862="","",IF(COUNTIFS($B$5:$B$2004,B862,$D$5:$D$2004,D862)&gt;1,"DUPLICATE",IF(ISNA(MATCH(D862,Players!$B$5:$B$304,0)),"UID not found",IF(INDEX(Players!$H$5:$H$304,MATCH(D862,Players!$B$5:$B$304,0))&lt;0,"LOW BALANCE","OK"))))</f>
        <v/>
      </c>
      <c r="G862" s="1"/>
      <c r="H862" s="1"/>
      <c r="I862" s="1"/>
    </row>
    <row r="863" customFormat="false" ht="21.75" hidden="false" customHeight="true" outlineLevel="0" collapsed="false">
      <c r="A863" s="1"/>
      <c r="B863" s="16"/>
      <c r="C863" s="16"/>
      <c r="D863" s="15"/>
      <c r="E863" s="11" t="str">
        <f aca="false">IF(D863="","",IFERROR(INDEX(Players!$C$5:$C$304,MATCH(D863,Players!$B$5:$B$304,0)),""))</f>
        <v/>
      </c>
      <c r="F863" s="22" t="str">
        <f aca="false">IF(D863="","",IF(COUNTIFS($B$5:$B$2004,B863,$D$5:$D$2004,D863)&gt;1,"DUPLICATE",IF(ISNA(MATCH(D863,Players!$B$5:$B$304,0)),"UID not found",IF(INDEX(Players!$H$5:$H$304,MATCH(D863,Players!$B$5:$B$304,0))&lt;0,"LOW BALANCE","OK"))))</f>
        <v/>
      </c>
      <c r="G863" s="1"/>
      <c r="H863" s="1"/>
      <c r="I863" s="1"/>
    </row>
    <row r="864" customFormat="false" ht="21.75" hidden="false" customHeight="true" outlineLevel="0" collapsed="false">
      <c r="A864" s="1"/>
      <c r="B864" s="16"/>
      <c r="C864" s="16"/>
      <c r="D864" s="15"/>
      <c r="E864" s="11" t="str">
        <f aca="false">IF(D864="","",IFERROR(INDEX(Players!$C$5:$C$304,MATCH(D864,Players!$B$5:$B$304,0)),""))</f>
        <v/>
      </c>
      <c r="F864" s="22" t="str">
        <f aca="false">IF(D864="","",IF(COUNTIFS($B$5:$B$2004,B864,$D$5:$D$2004,D864)&gt;1,"DUPLICATE",IF(ISNA(MATCH(D864,Players!$B$5:$B$304,0)),"UID not found",IF(INDEX(Players!$H$5:$H$304,MATCH(D864,Players!$B$5:$B$304,0))&lt;0,"LOW BALANCE","OK"))))</f>
        <v/>
      </c>
      <c r="G864" s="1"/>
      <c r="H864" s="1"/>
      <c r="I864" s="1"/>
    </row>
    <row r="865" customFormat="false" ht="21.75" hidden="false" customHeight="true" outlineLevel="0" collapsed="false">
      <c r="A865" s="1"/>
      <c r="B865" s="16"/>
      <c r="C865" s="16"/>
      <c r="D865" s="15"/>
      <c r="E865" s="11" t="str">
        <f aca="false">IF(D865="","",IFERROR(INDEX(Players!$C$5:$C$304,MATCH(D865,Players!$B$5:$B$304,0)),""))</f>
        <v/>
      </c>
      <c r="F865" s="22" t="str">
        <f aca="false">IF(D865="","",IF(COUNTIFS($B$5:$B$2004,B865,$D$5:$D$2004,D865)&gt;1,"DUPLICATE",IF(ISNA(MATCH(D865,Players!$B$5:$B$304,0)),"UID not found",IF(INDEX(Players!$H$5:$H$304,MATCH(D865,Players!$B$5:$B$304,0))&lt;0,"LOW BALANCE","OK"))))</f>
        <v/>
      </c>
      <c r="G865" s="1"/>
      <c r="H865" s="1"/>
      <c r="I865" s="1"/>
    </row>
    <row r="866" customFormat="false" ht="21.75" hidden="false" customHeight="true" outlineLevel="0" collapsed="false">
      <c r="A866" s="1"/>
      <c r="B866" s="16"/>
      <c r="C866" s="16"/>
      <c r="D866" s="15"/>
      <c r="E866" s="11" t="str">
        <f aca="false">IF(D866="","",IFERROR(INDEX(Players!$C$5:$C$304,MATCH(D866,Players!$B$5:$B$304,0)),""))</f>
        <v/>
      </c>
      <c r="F866" s="22" t="str">
        <f aca="false">IF(D866="","",IF(COUNTIFS($B$5:$B$2004,B866,$D$5:$D$2004,D866)&gt;1,"DUPLICATE",IF(ISNA(MATCH(D866,Players!$B$5:$B$304,0)),"UID not found",IF(INDEX(Players!$H$5:$H$304,MATCH(D866,Players!$B$5:$B$304,0))&lt;0,"LOW BALANCE","OK"))))</f>
        <v/>
      </c>
      <c r="G866" s="1"/>
      <c r="H866" s="1"/>
      <c r="I866" s="1"/>
    </row>
    <row r="867" customFormat="false" ht="21.75" hidden="false" customHeight="true" outlineLevel="0" collapsed="false">
      <c r="A867" s="1"/>
      <c r="B867" s="16"/>
      <c r="C867" s="16"/>
      <c r="D867" s="15"/>
      <c r="E867" s="11" t="str">
        <f aca="false">IF(D867="","",IFERROR(INDEX(Players!$C$5:$C$304,MATCH(D867,Players!$B$5:$B$304,0)),""))</f>
        <v/>
      </c>
      <c r="F867" s="22" t="str">
        <f aca="false">IF(D867="","",IF(COUNTIFS($B$5:$B$2004,B867,$D$5:$D$2004,D867)&gt;1,"DUPLICATE",IF(ISNA(MATCH(D867,Players!$B$5:$B$304,0)),"UID not found",IF(INDEX(Players!$H$5:$H$304,MATCH(D867,Players!$B$5:$B$304,0))&lt;0,"LOW BALANCE","OK"))))</f>
        <v/>
      </c>
      <c r="G867" s="1"/>
      <c r="H867" s="1"/>
      <c r="I867" s="1"/>
    </row>
    <row r="868" customFormat="false" ht="21.75" hidden="false" customHeight="true" outlineLevel="0" collapsed="false">
      <c r="A868" s="1"/>
      <c r="B868" s="16"/>
      <c r="C868" s="16"/>
      <c r="D868" s="15"/>
      <c r="E868" s="11" t="str">
        <f aca="false">IF(D868="","",IFERROR(INDEX(Players!$C$5:$C$304,MATCH(D868,Players!$B$5:$B$304,0)),""))</f>
        <v/>
      </c>
      <c r="F868" s="22" t="str">
        <f aca="false">IF(D868="","",IF(COUNTIFS($B$5:$B$2004,B868,$D$5:$D$2004,D868)&gt;1,"DUPLICATE",IF(ISNA(MATCH(D868,Players!$B$5:$B$304,0)),"UID not found",IF(INDEX(Players!$H$5:$H$304,MATCH(D868,Players!$B$5:$B$304,0))&lt;0,"LOW BALANCE","OK"))))</f>
        <v/>
      </c>
      <c r="G868" s="1"/>
      <c r="H868" s="1"/>
      <c r="I868" s="1"/>
    </row>
    <row r="869" customFormat="false" ht="21.75" hidden="false" customHeight="true" outlineLevel="0" collapsed="false">
      <c r="A869" s="1"/>
      <c r="B869" s="16"/>
      <c r="C869" s="16"/>
      <c r="D869" s="15"/>
      <c r="E869" s="11" t="str">
        <f aca="false">IF(D869="","",IFERROR(INDEX(Players!$C$5:$C$304,MATCH(D869,Players!$B$5:$B$304,0)),""))</f>
        <v/>
      </c>
      <c r="F869" s="22" t="str">
        <f aca="false">IF(D869="","",IF(COUNTIFS($B$5:$B$2004,B869,$D$5:$D$2004,D869)&gt;1,"DUPLICATE",IF(ISNA(MATCH(D869,Players!$B$5:$B$304,0)),"UID not found",IF(INDEX(Players!$H$5:$H$304,MATCH(D869,Players!$B$5:$B$304,0))&lt;0,"LOW BALANCE","OK"))))</f>
        <v/>
      </c>
      <c r="G869" s="1"/>
      <c r="H869" s="1"/>
      <c r="I869" s="1"/>
    </row>
    <row r="870" customFormat="false" ht="21.75" hidden="false" customHeight="true" outlineLevel="0" collapsed="false">
      <c r="A870" s="1"/>
      <c r="B870" s="16"/>
      <c r="C870" s="16"/>
      <c r="D870" s="15"/>
      <c r="E870" s="11" t="str">
        <f aca="false">IF(D870="","",IFERROR(INDEX(Players!$C$5:$C$304,MATCH(D870,Players!$B$5:$B$304,0)),""))</f>
        <v/>
      </c>
      <c r="F870" s="22" t="str">
        <f aca="false">IF(D870="","",IF(COUNTIFS($B$5:$B$2004,B870,$D$5:$D$2004,D870)&gt;1,"DUPLICATE",IF(ISNA(MATCH(D870,Players!$B$5:$B$304,0)),"UID not found",IF(INDEX(Players!$H$5:$H$304,MATCH(D870,Players!$B$5:$B$304,0))&lt;0,"LOW BALANCE","OK"))))</f>
        <v/>
      </c>
      <c r="G870" s="1"/>
      <c r="H870" s="1"/>
      <c r="I870" s="1"/>
    </row>
    <row r="871" customFormat="false" ht="21.75" hidden="false" customHeight="true" outlineLevel="0" collapsed="false">
      <c r="A871" s="1"/>
      <c r="B871" s="16"/>
      <c r="C871" s="16"/>
      <c r="D871" s="15"/>
      <c r="E871" s="11" t="str">
        <f aca="false">IF(D871="","",IFERROR(INDEX(Players!$C$5:$C$304,MATCH(D871,Players!$B$5:$B$304,0)),""))</f>
        <v/>
      </c>
      <c r="F871" s="22" t="str">
        <f aca="false">IF(D871="","",IF(COUNTIFS($B$5:$B$2004,B871,$D$5:$D$2004,D871)&gt;1,"DUPLICATE",IF(ISNA(MATCH(D871,Players!$B$5:$B$304,0)),"UID not found",IF(INDEX(Players!$H$5:$H$304,MATCH(D871,Players!$B$5:$B$304,0))&lt;0,"LOW BALANCE","OK"))))</f>
        <v/>
      </c>
      <c r="G871" s="1"/>
      <c r="H871" s="1"/>
      <c r="I871" s="1"/>
    </row>
    <row r="872" customFormat="false" ht="21.75" hidden="false" customHeight="true" outlineLevel="0" collapsed="false">
      <c r="A872" s="1"/>
      <c r="B872" s="16"/>
      <c r="C872" s="16"/>
      <c r="D872" s="15"/>
      <c r="E872" s="11" t="str">
        <f aca="false">IF(D872="","",IFERROR(INDEX(Players!$C$5:$C$304,MATCH(D872,Players!$B$5:$B$304,0)),""))</f>
        <v/>
      </c>
      <c r="F872" s="22" t="str">
        <f aca="false">IF(D872="","",IF(COUNTIFS($B$5:$B$2004,B872,$D$5:$D$2004,D872)&gt;1,"DUPLICATE",IF(ISNA(MATCH(D872,Players!$B$5:$B$304,0)),"UID not found",IF(INDEX(Players!$H$5:$H$304,MATCH(D872,Players!$B$5:$B$304,0))&lt;0,"LOW BALANCE","OK"))))</f>
        <v/>
      </c>
      <c r="G872" s="1"/>
      <c r="H872" s="1"/>
      <c r="I872" s="1"/>
    </row>
    <row r="873" customFormat="false" ht="21.75" hidden="false" customHeight="true" outlineLevel="0" collapsed="false">
      <c r="A873" s="1"/>
      <c r="B873" s="16"/>
      <c r="C873" s="16"/>
      <c r="D873" s="15"/>
      <c r="E873" s="11" t="str">
        <f aca="false">IF(D873="","",IFERROR(INDEX(Players!$C$5:$C$304,MATCH(D873,Players!$B$5:$B$304,0)),""))</f>
        <v/>
      </c>
      <c r="F873" s="22" t="str">
        <f aca="false">IF(D873="","",IF(COUNTIFS($B$5:$B$2004,B873,$D$5:$D$2004,D873)&gt;1,"DUPLICATE",IF(ISNA(MATCH(D873,Players!$B$5:$B$304,0)),"UID not found",IF(INDEX(Players!$H$5:$H$304,MATCH(D873,Players!$B$5:$B$304,0))&lt;0,"LOW BALANCE","OK"))))</f>
        <v/>
      </c>
      <c r="G873" s="1"/>
      <c r="H873" s="1"/>
      <c r="I873" s="1"/>
    </row>
    <row r="874" customFormat="false" ht="21.75" hidden="false" customHeight="true" outlineLevel="0" collapsed="false">
      <c r="A874" s="1"/>
      <c r="B874" s="16"/>
      <c r="C874" s="16"/>
      <c r="D874" s="15"/>
      <c r="E874" s="11" t="str">
        <f aca="false">IF(D874="","",IFERROR(INDEX(Players!$C$5:$C$304,MATCH(D874,Players!$B$5:$B$304,0)),""))</f>
        <v/>
      </c>
      <c r="F874" s="22" t="str">
        <f aca="false">IF(D874="","",IF(COUNTIFS($B$5:$B$2004,B874,$D$5:$D$2004,D874)&gt;1,"DUPLICATE",IF(ISNA(MATCH(D874,Players!$B$5:$B$304,0)),"UID not found",IF(INDEX(Players!$H$5:$H$304,MATCH(D874,Players!$B$5:$B$304,0))&lt;0,"LOW BALANCE","OK"))))</f>
        <v/>
      </c>
      <c r="G874" s="1"/>
      <c r="H874" s="1"/>
      <c r="I874" s="1"/>
    </row>
    <row r="875" customFormat="false" ht="21.75" hidden="false" customHeight="true" outlineLevel="0" collapsed="false">
      <c r="A875" s="1"/>
      <c r="B875" s="16"/>
      <c r="C875" s="16"/>
      <c r="D875" s="15"/>
      <c r="E875" s="11" t="str">
        <f aca="false">IF(D875="","",IFERROR(INDEX(Players!$C$5:$C$304,MATCH(D875,Players!$B$5:$B$304,0)),""))</f>
        <v/>
      </c>
      <c r="F875" s="22" t="str">
        <f aca="false">IF(D875="","",IF(COUNTIFS($B$5:$B$2004,B875,$D$5:$D$2004,D875)&gt;1,"DUPLICATE",IF(ISNA(MATCH(D875,Players!$B$5:$B$304,0)),"UID not found",IF(INDEX(Players!$H$5:$H$304,MATCH(D875,Players!$B$5:$B$304,0))&lt;0,"LOW BALANCE","OK"))))</f>
        <v/>
      </c>
      <c r="G875" s="1"/>
      <c r="H875" s="1"/>
      <c r="I875" s="1"/>
    </row>
    <row r="876" customFormat="false" ht="21.75" hidden="false" customHeight="true" outlineLevel="0" collapsed="false">
      <c r="A876" s="1"/>
      <c r="B876" s="16"/>
      <c r="C876" s="16"/>
      <c r="D876" s="15"/>
      <c r="E876" s="11" t="str">
        <f aca="false">IF(D876="","",IFERROR(INDEX(Players!$C$5:$C$304,MATCH(D876,Players!$B$5:$B$304,0)),""))</f>
        <v/>
      </c>
      <c r="F876" s="22" t="str">
        <f aca="false">IF(D876="","",IF(COUNTIFS($B$5:$B$2004,B876,$D$5:$D$2004,D876)&gt;1,"DUPLICATE",IF(ISNA(MATCH(D876,Players!$B$5:$B$304,0)),"UID not found",IF(INDEX(Players!$H$5:$H$304,MATCH(D876,Players!$B$5:$B$304,0))&lt;0,"LOW BALANCE","OK"))))</f>
        <v/>
      </c>
      <c r="G876" s="1"/>
      <c r="H876" s="1"/>
      <c r="I876" s="1"/>
    </row>
    <row r="877" customFormat="false" ht="21.75" hidden="false" customHeight="true" outlineLevel="0" collapsed="false">
      <c r="A877" s="1"/>
      <c r="B877" s="16"/>
      <c r="C877" s="16"/>
      <c r="D877" s="15"/>
      <c r="E877" s="11" t="str">
        <f aca="false">IF(D877="","",IFERROR(INDEX(Players!$C$5:$C$304,MATCH(D877,Players!$B$5:$B$304,0)),""))</f>
        <v/>
      </c>
      <c r="F877" s="22" t="str">
        <f aca="false">IF(D877="","",IF(COUNTIFS($B$5:$B$2004,B877,$D$5:$D$2004,D877)&gt;1,"DUPLICATE",IF(ISNA(MATCH(D877,Players!$B$5:$B$304,0)),"UID not found",IF(INDEX(Players!$H$5:$H$304,MATCH(D877,Players!$B$5:$B$304,0))&lt;0,"LOW BALANCE","OK"))))</f>
        <v/>
      </c>
      <c r="G877" s="1"/>
      <c r="H877" s="1"/>
      <c r="I877" s="1"/>
    </row>
    <row r="878" customFormat="false" ht="21.75" hidden="false" customHeight="true" outlineLevel="0" collapsed="false">
      <c r="A878" s="1"/>
      <c r="B878" s="16"/>
      <c r="C878" s="16"/>
      <c r="D878" s="15"/>
      <c r="E878" s="11" t="str">
        <f aca="false">IF(D878="","",IFERROR(INDEX(Players!$C$5:$C$304,MATCH(D878,Players!$B$5:$B$304,0)),""))</f>
        <v/>
      </c>
      <c r="F878" s="22" t="str">
        <f aca="false">IF(D878="","",IF(COUNTIFS($B$5:$B$2004,B878,$D$5:$D$2004,D878)&gt;1,"DUPLICATE",IF(ISNA(MATCH(D878,Players!$B$5:$B$304,0)),"UID not found",IF(INDEX(Players!$H$5:$H$304,MATCH(D878,Players!$B$5:$B$304,0))&lt;0,"LOW BALANCE","OK"))))</f>
        <v/>
      </c>
      <c r="G878" s="1"/>
      <c r="H878" s="1"/>
      <c r="I878" s="1"/>
    </row>
    <row r="879" customFormat="false" ht="21.75" hidden="false" customHeight="true" outlineLevel="0" collapsed="false">
      <c r="A879" s="1"/>
      <c r="B879" s="16"/>
      <c r="C879" s="16"/>
      <c r="D879" s="15"/>
      <c r="E879" s="11" t="str">
        <f aca="false">IF(D879="","",IFERROR(INDEX(Players!$C$5:$C$304,MATCH(D879,Players!$B$5:$B$304,0)),""))</f>
        <v/>
      </c>
      <c r="F879" s="22" t="str">
        <f aca="false">IF(D879="","",IF(COUNTIFS($B$5:$B$2004,B879,$D$5:$D$2004,D879)&gt;1,"DUPLICATE",IF(ISNA(MATCH(D879,Players!$B$5:$B$304,0)),"UID not found",IF(INDEX(Players!$H$5:$H$304,MATCH(D879,Players!$B$5:$B$304,0))&lt;0,"LOW BALANCE","OK"))))</f>
        <v/>
      </c>
      <c r="G879" s="1"/>
      <c r="H879" s="1"/>
      <c r="I879" s="1"/>
    </row>
    <row r="880" customFormat="false" ht="21.75" hidden="false" customHeight="true" outlineLevel="0" collapsed="false">
      <c r="A880" s="1"/>
      <c r="B880" s="16"/>
      <c r="C880" s="16"/>
      <c r="D880" s="15"/>
      <c r="E880" s="11" t="str">
        <f aca="false">IF(D880="","",IFERROR(INDEX(Players!$C$5:$C$304,MATCH(D880,Players!$B$5:$B$304,0)),""))</f>
        <v/>
      </c>
      <c r="F880" s="22" t="str">
        <f aca="false">IF(D880="","",IF(COUNTIFS($B$5:$B$2004,B880,$D$5:$D$2004,D880)&gt;1,"DUPLICATE",IF(ISNA(MATCH(D880,Players!$B$5:$B$304,0)),"UID not found",IF(INDEX(Players!$H$5:$H$304,MATCH(D880,Players!$B$5:$B$304,0))&lt;0,"LOW BALANCE","OK"))))</f>
        <v/>
      </c>
      <c r="G880" s="1"/>
      <c r="H880" s="1"/>
      <c r="I880" s="1"/>
    </row>
    <row r="881" customFormat="false" ht="21.75" hidden="false" customHeight="true" outlineLevel="0" collapsed="false">
      <c r="A881" s="1"/>
      <c r="B881" s="16"/>
      <c r="C881" s="16"/>
      <c r="D881" s="15"/>
      <c r="E881" s="11" t="str">
        <f aca="false">IF(D881="","",IFERROR(INDEX(Players!$C$5:$C$304,MATCH(D881,Players!$B$5:$B$304,0)),""))</f>
        <v/>
      </c>
      <c r="F881" s="22" t="str">
        <f aca="false">IF(D881="","",IF(COUNTIFS($B$5:$B$2004,B881,$D$5:$D$2004,D881)&gt;1,"DUPLICATE",IF(ISNA(MATCH(D881,Players!$B$5:$B$304,0)),"UID not found",IF(INDEX(Players!$H$5:$H$304,MATCH(D881,Players!$B$5:$B$304,0))&lt;0,"LOW BALANCE","OK"))))</f>
        <v/>
      </c>
      <c r="G881" s="1"/>
      <c r="H881" s="1"/>
      <c r="I881" s="1"/>
    </row>
    <row r="882" customFormat="false" ht="21.75" hidden="false" customHeight="true" outlineLevel="0" collapsed="false">
      <c r="A882" s="1"/>
      <c r="B882" s="16"/>
      <c r="C882" s="16"/>
      <c r="D882" s="15"/>
      <c r="E882" s="11" t="str">
        <f aca="false">IF(D882="","",IFERROR(INDEX(Players!$C$5:$C$304,MATCH(D882,Players!$B$5:$B$304,0)),""))</f>
        <v/>
      </c>
      <c r="F882" s="22" t="str">
        <f aca="false">IF(D882="","",IF(COUNTIFS($B$5:$B$2004,B882,$D$5:$D$2004,D882)&gt;1,"DUPLICATE",IF(ISNA(MATCH(D882,Players!$B$5:$B$304,0)),"UID not found",IF(INDEX(Players!$H$5:$H$304,MATCH(D882,Players!$B$5:$B$304,0))&lt;0,"LOW BALANCE","OK"))))</f>
        <v/>
      </c>
      <c r="G882" s="1"/>
      <c r="H882" s="1"/>
      <c r="I882" s="1"/>
    </row>
    <row r="883" customFormat="false" ht="21.75" hidden="false" customHeight="true" outlineLevel="0" collapsed="false">
      <c r="A883" s="1"/>
      <c r="B883" s="16"/>
      <c r="C883" s="16"/>
      <c r="D883" s="15"/>
      <c r="E883" s="11" t="str">
        <f aca="false">IF(D883="","",IFERROR(INDEX(Players!$C$5:$C$304,MATCH(D883,Players!$B$5:$B$304,0)),""))</f>
        <v/>
      </c>
      <c r="F883" s="22" t="str">
        <f aca="false">IF(D883="","",IF(COUNTIFS($B$5:$B$2004,B883,$D$5:$D$2004,D883)&gt;1,"DUPLICATE",IF(ISNA(MATCH(D883,Players!$B$5:$B$304,0)),"UID not found",IF(INDEX(Players!$H$5:$H$304,MATCH(D883,Players!$B$5:$B$304,0))&lt;0,"LOW BALANCE","OK"))))</f>
        <v/>
      </c>
      <c r="G883" s="1"/>
      <c r="H883" s="1"/>
      <c r="I883" s="1"/>
    </row>
    <row r="884" customFormat="false" ht="21.75" hidden="false" customHeight="true" outlineLevel="0" collapsed="false">
      <c r="A884" s="1"/>
      <c r="B884" s="16"/>
      <c r="C884" s="16"/>
      <c r="D884" s="15"/>
      <c r="E884" s="11" t="str">
        <f aca="false">IF(D884="","",IFERROR(INDEX(Players!$C$5:$C$304,MATCH(D884,Players!$B$5:$B$304,0)),""))</f>
        <v/>
      </c>
      <c r="F884" s="22" t="str">
        <f aca="false">IF(D884="","",IF(COUNTIFS($B$5:$B$2004,B884,$D$5:$D$2004,D884)&gt;1,"DUPLICATE",IF(ISNA(MATCH(D884,Players!$B$5:$B$304,0)),"UID not found",IF(INDEX(Players!$H$5:$H$304,MATCH(D884,Players!$B$5:$B$304,0))&lt;0,"LOW BALANCE","OK"))))</f>
        <v/>
      </c>
      <c r="G884" s="1"/>
      <c r="H884" s="1"/>
      <c r="I884" s="1"/>
    </row>
    <row r="885" customFormat="false" ht="21.75" hidden="false" customHeight="true" outlineLevel="0" collapsed="false">
      <c r="A885" s="1"/>
      <c r="B885" s="16"/>
      <c r="C885" s="16"/>
      <c r="D885" s="15"/>
      <c r="E885" s="11" t="str">
        <f aca="false">IF(D885="","",IFERROR(INDEX(Players!$C$5:$C$304,MATCH(D885,Players!$B$5:$B$304,0)),""))</f>
        <v/>
      </c>
      <c r="F885" s="22" t="str">
        <f aca="false">IF(D885="","",IF(COUNTIFS($B$5:$B$2004,B885,$D$5:$D$2004,D885)&gt;1,"DUPLICATE",IF(ISNA(MATCH(D885,Players!$B$5:$B$304,0)),"UID not found",IF(INDEX(Players!$H$5:$H$304,MATCH(D885,Players!$B$5:$B$304,0))&lt;0,"LOW BALANCE","OK"))))</f>
        <v/>
      </c>
      <c r="G885" s="1"/>
      <c r="H885" s="1"/>
      <c r="I885" s="1"/>
    </row>
    <row r="886" customFormat="false" ht="21.75" hidden="false" customHeight="true" outlineLevel="0" collapsed="false">
      <c r="A886" s="1"/>
      <c r="B886" s="16"/>
      <c r="C886" s="16"/>
      <c r="D886" s="15"/>
      <c r="E886" s="11" t="str">
        <f aca="false">IF(D886="","",IFERROR(INDEX(Players!$C$5:$C$304,MATCH(D886,Players!$B$5:$B$304,0)),""))</f>
        <v/>
      </c>
      <c r="F886" s="22" t="str">
        <f aca="false">IF(D886="","",IF(COUNTIFS($B$5:$B$2004,B886,$D$5:$D$2004,D886)&gt;1,"DUPLICATE",IF(ISNA(MATCH(D886,Players!$B$5:$B$304,0)),"UID not found",IF(INDEX(Players!$H$5:$H$304,MATCH(D886,Players!$B$5:$B$304,0))&lt;0,"LOW BALANCE","OK"))))</f>
        <v/>
      </c>
      <c r="G886" s="1"/>
      <c r="H886" s="1"/>
      <c r="I886" s="1"/>
    </row>
    <row r="887" customFormat="false" ht="21.75" hidden="false" customHeight="true" outlineLevel="0" collapsed="false">
      <c r="A887" s="1"/>
      <c r="B887" s="16"/>
      <c r="C887" s="16"/>
      <c r="D887" s="15"/>
      <c r="E887" s="11" t="str">
        <f aca="false">IF(D887="","",IFERROR(INDEX(Players!$C$5:$C$304,MATCH(D887,Players!$B$5:$B$304,0)),""))</f>
        <v/>
      </c>
      <c r="F887" s="22" t="str">
        <f aca="false">IF(D887="","",IF(COUNTIFS($B$5:$B$2004,B887,$D$5:$D$2004,D887)&gt;1,"DUPLICATE",IF(ISNA(MATCH(D887,Players!$B$5:$B$304,0)),"UID not found",IF(INDEX(Players!$H$5:$H$304,MATCH(D887,Players!$B$5:$B$304,0))&lt;0,"LOW BALANCE","OK"))))</f>
        <v/>
      </c>
      <c r="G887" s="1"/>
      <c r="H887" s="1"/>
      <c r="I887" s="1"/>
    </row>
    <row r="888" customFormat="false" ht="21.75" hidden="false" customHeight="true" outlineLevel="0" collapsed="false">
      <c r="A888" s="1"/>
      <c r="B888" s="16"/>
      <c r="C888" s="16"/>
      <c r="D888" s="15"/>
      <c r="E888" s="11" t="str">
        <f aca="false">IF(D888="","",IFERROR(INDEX(Players!$C$5:$C$304,MATCH(D888,Players!$B$5:$B$304,0)),""))</f>
        <v/>
      </c>
      <c r="F888" s="22" t="str">
        <f aca="false">IF(D888="","",IF(COUNTIFS($B$5:$B$2004,B888,$D$5:$D$2004,D888)&gt;1,"DUPLICATE",IF(ISNA(MATCH(D888,Players!$B$5:$B$304,0)),"UID not found",IF(INDEX(Players!$H$5:$H$304,MATCH(D888,Players!$B$5:$B$304,0))&lt;0,"LOW BALANCE","OK"))))</f>
        <v/>
      </c>
      <c r="G888" s="1"/>
      <c r="H888" s="1"/>
      <c r="I888" s="1"/>
    </row>
    <row r="889" customFormat="false" ht="21.75" hidden="false" customHeight="true" outlineLevel="0" collapsed="false">
      <c r="A889" s="1"/>
      <c r="B889" s="16"/>
      <c r="C889" s="16"/>
      <c r="D889" s="15"/>
      <c r="E889" s="11" t="str">
        <f aca="false">IF(D889="","",IFERROR(INDEX(Players!$C$5:$C$304,MATCH(D889,Players!$B$5:$B$304,0)),""))</f>
        <v/>
      </c>
      <c r="F889" s="22" t="str">
        <f aca="false">IF(D889="","",IF(COUNTIFS($B$5:$B$2004,B889,$D$5:$D$2004,D889)&gt;1,"DUPLICATE",IF(ISNA(MATCH(D889,Players!$B$5:$B$304,0)),"UID not found",IF(INDEX(Players!$H$5:$H$304,MATCH(D889,Players!$B$5:$B$304,0))&lt;0,"LOW BALANCE","OK"))))</f>
        <v/>
      </c>
      <c r="G889" s="1"/>
      <c r="H889" s="1"/>
      <c r="I889" s="1"/>
    </row>
    <row r="890" customFormat="false" ht="21.75" hidden="false" customHeight="true" outlineLevel="0" collapsed="false">
      <c r="A890" s="1"/>
      <c r="B890" s="16"/>
      <c r="C890" s="16"/>
      <c r="D890" s="15"/>
      <c r="E890" s="11" t="str">
        <f aca="false">IF(D890="","",IFERROR(INDEX(Players!$C$5:$C$304,MATCH(D890,Players!$B$5:$B$304,0)),""))</f>
        <v/>
      </c>
      <c r="F890" s="22" t="str">
        <f aca="false">IF(D890="","",IF(COUNTIFS($B$5:$B$2004,B890,$D$5:$D$2004,D890)&gt;1,"DUPLICATE",IF(ISNA(MATCH(D890,Players!$B$5:$B$304,0)),"UID not found",IF(INDEX(Players!$H$5:$H$304,MATCH(D890,Players!$B$5:$B$304,0))&lt;0,"LOW BALANCE","OK"))))</f>
        <v/>
      </c>
      <c r="G890" s="1"/>
      <c r="H890" s="1"/>
      <c r="I890" s="1"/>
    </row>
    <row r="891" customFormat="false" ht="21.75" hidden="false" customHeight="true" outlineLevel="0" collapsed="false">
      <c r="A891" s="1"/>
      <c r="B891" s="16"/>
      <c r="C891" s="16"/>
      <c r="D891" s="15"/>
      <c r="E891" s="11" t="str">
        <f aca="false">IF(D891="","",IFERROR(INDEX(Players!$C$5:$C$304,MATCH(D891,Players!$B$5:$B$304,0)),""))</f>
        <v/>
      </c>
      <c r="F891" s="22" t="str">
        <f aca="false">IF(D891="","",IF(COUNTIFS($B$5:$B$2004,B891,$D$5:$D$2004,D891)&gt;1,"DUPLICATE",IF(ISNA(MATCH(D891,Players!$B$5:$B$304,0)),"UID not found",IF(INDEX(Players!$H$5:$H$304,MATCH(D891,Players!$B$5:$B$304,0))&lt;0,"LOW BALANCE","OK"))))</f>
        <v/>
      </c>
      <c r="G891" s="1"/>
      <c r="H891" s="1"/>
      <c r="I891" s="1"/>
    </row>
    <row r="892" customFormat="false" ht="21.75" hidden="false" customHeight="true" outlineLevel="0" collapsed="false">
      <c r="A892" s="1"/>
      <c r="B892" s="16"/>
      <c r="C892" s="16"/>
      <c r="D892" s="15"/>
      <c r="E892" s="11" t="str">
        <f aca="false">IF(D892="","",IFERROR(INDEX(Players!$C$5:$C$304,MATCH(D892,Players!$B$5:$B$304,0)),""))</f>
        <v/>
      </c>
      <c r="F892" s="22" t="str">
        <f aca="false">IF(D892="","",IF(COUNTIFS($B$5:$B$2004,B892,$D$5:$D$2004,D892)&gt;1,"DUPLICATE",IF(ISNA(MATCH(D892,Players!$B$5:$B$304,0)),"UID not found",IF(INDEX(Players!$H$5:$H$304,MATCH(D892,Players!$B$5:$B$304,0))&lt;0,"LOW BALANCE","OK"))))</f>
        <v/>
      </c>
      <c r="G892" s="1"/>
      <c r="H892" s="1"/>
      <c r="I892" s="1"/>
    </row>
    <row r="893" customFormat="false" ht="21.75" hidden="false" customHeight="true" outlineLevel="0" collapsed="false">
      <c r="A893" s="1"/>
      <c r="B893" s="16"/>
      <c r="C893" s="16"/>
      <c r="D893" s="15"/>
      <c r="E893" s="11" t="str">
        <f aca="false">IF(D893="","",IFERROR(INDEX(Players!$C$5:$C$304,MATCH(D893,Players!$B$5:$B$304,0)),""))</f>
        <v/>
      </c>
      <c r="F893" s="22" t="str">
        <f aca="false">IF(D893="","",IF(COUNTIFS($B$5:$B$2004,B893,$D$5:$D$2004,D893)&gt;1,"DUPLICATE",IF(ISNA(MATCH(D893,Players!$B$5:$B$304,0)),"UID not found",IF(INDEX(Players!$H$5:$H$304,MATCH(D893,Players!$B$5:$B$304,0))&lt;0,"LOW BALANCE","OK"))))</f>
        <v/>
      </c>
      <c r="G893" s="1"/>
      <c r="H893" s="1"/>
      <c r="I893" s="1"/>
    </row>
    <row r="894" customFormat="false" ht="21.75" hidden="false" customHeight="true" outlineLevel="0" collapsed="false">
      <c r="A894" s="1"/>
      <c r="B894" s="16"/>
      <c r="C894" s="16"/>
      <c r="D894" s="15"/>
      <c r="E894" s="11" t="str">
        <f aca="false">IF(D894="","",IFERROR(INDEX(Players!$C$5:$C$304,MATCH(D894,Players!$B$5:$B$304,0)),""))</f>
        <v/>
      </c>
      <c r="F894" s="22" t="str">
        <f aca="false">IF(D894="","",IF(COUNTIFS($B$5:$B$2004,B894,$D$5:$D$2004,D894)&gt;1,"DUPLICATE",IF(ISNA(MATCH(D894,Players!$B$5:$B$304,0)),"UID not found",IF(INDEX(Players!$H$5:$H$304,MATCH(D894,Players!$B$5:$B$304,0))&lt;0,"LOW BALANCE","OK"))))</f>
        <v/>
      </c>
      <c r="G894" s="1"/>
      <c r="H894" s="1"/>
      <c r="I894" s="1"/>
    </row>
    <row r="895" customFormat="false" ht="21.75" hidden="false" customHeight="true" outlineLevel="0" collapsed="false">
      <c r="A895" s="1"/>
      <c r="B895" s="16"/>
      <c r="C895" s="16"/>
      <c r="D895" s="15"/>
      <c r="E895" s="11" t="str">
        <f aca="false">IF(D895="","",IFERROR(INDEX(Players!$C$5:$C$304,MATCH(D895,Players!$B$5:$B$304,0)),""))</f>
        <v/>
      </c>
      <c r="F895" s="22" t="str">
        <f aca="false">IF(D895="","",IF(COUNTIFS($B$5:$B$2004,B895,$D$5:$D$2004,D895)&gt;1,"DUPLICATE",IF(ISNA(MATCH(D895,Players!$B$5:$B$304,0)),"UID not found",IF(INDEX(Players!$H$5:$H$304,MATCH(D895,Players!$B$5:$B$304,0))&lt;0,"LOW BALANCE","OK"))))</f>
        <v/>
      </c>
      <c r="G895" s="1"/>
      <c r="H895" s="1"/>
      <c r="I895" s="1"/>
    </row>
    <row r="896" customFormat="false" ht="21.75" hidden="false" customHeight="true" outlineLevel="0" collapsed="false">
      <c r="A896" s="1"/>
      <c r="B896" s="16"/>
      <c r="C896" s="16"/>
      <c r="D896" s="15"/>
      <c r="E896" s="11" t="str">
        <f aca="false">IF(D896="","",IFERROR(INDEX(Players!$C$5:$C$304,MATCH(D896,Players!$B$5:$B$304,0)),""))</f>
        <v/>
      </c>
      <c r="F896" s="22" t="str">
        <f aca="false">IF(D896="","",IF(COUNTIFS($B$5:$B$2004,B896,$D$5:$D$2004,D896)&gt;1,"DUPLICATE",IF(ISNA(MATCH(D896,Players!$B$5:$B$304,0)),"UID not found",IF(INDEX(Players!$H$5:$H$304,MATCH(D896,Players!$B$5:$B$304,0))&lt;0,"LOW BALANCE","OK"))))</f>
        <v/>
      </c>
      <c r="G896" s="1"/>
      <c r="H896" s="1"/>
      <c r="I896" s="1"/>
    </row>
    <row r="897" customFormat="false" ht="21.75" hidden="false" customHeight="true" outlineLevel="0" collapsed="false">
      <c r="A897" s="1"/>
      <c r="B897" s="16"/>
      <c r="C897" s="16"/>
      <c r="D897" s="15"/>
      <c r="E897" s="11" t="str">
        <f aca="false">IF(D897="","",IFERROR(INDEX(Players!$C$5:$C$304,MATCH(D897,Players!$B$5:$B$304,0)),""))</f>
        <v/>
      </c>
      <c r="F897" s="22" t="str">
        <f aca="false">IF(D897="","",IF(COUNTIFS($B$5:$B$2004,B897,$D$5:$D$2004,D897)&gt;1,"DUPLICATE",IF(ISNA(MATCH(D897,Players!$B$5:$B$304,0)),"UID not found",IF(INDEX(Players!$H$5:$H$304,MATCH(D897,Players!$B$5:$B$304,0))&lt;0,"LOW BALANCE","OK"))))</f>
        <v/>
      </c>
      <c r="G897" s="1"/>
      <c r="H897" s="1"/>
      <c r="I897" s="1"/>
    </row>
    <row r="898" customFormat="false" ht="21.75" hidden="false" customHeight="true" outlineLevel="0" collapsed="false">
      <c r="A898" s="1"/>
      <c r="B898" s="16"/>
      <c r="C898" s="16"/>
      <c r="D898" s="15"/>
      <c r="E898" s="11" t="str">
        <f aca="false">IF(D898="","",IFERROR(INDEX(Players!$C$5:$C$304,MATCH(D898,Players!$B$5:$B$304,0)),""))</f>
        <v/>
      </c>
      <c r="F898" s="22" t="str">
        <f aca="false">IF(D898="","",IF(COUNTIFS($B$5:$B$2004,B898,$D$5:$D$2004,D898)&gt;1,"DUPLICATE",IF(ISNA(MATCH(D898,Players!$B$5:$B$304,0)),"UID not found",IF(INDEX(Players!$H$5:$H$304,MATCH(D898,Players!$B$5:$B$304,0))&lt;0,"LOW BALANCE","OK"))))</f>
        <v/>
      </c>
      <c r="G898" s="1"/>
      <c r="H898" s="1"/>
      <c r="I898" s="1"/>
    </row>
    <row r="899" customFormat="false" ht="21.75" hidden="false" customHeight="true" outlineLevel="0" collapsed="false">
      <c r="A899" s="1"/>
      <c r="B899" s="16"/>
      <c r="C899" s="16"/>
      <c r="D899" s="15"/>
      <c r="E899" s="11" t="str">
        <f aca="false">IF(D899="","",IFERROR(INDEX(Players!$C$5:$C$304,MATCH(D899,Players!$B$5:$B$304,0)),""))</f>
        <v/>
      </c>
      <c r="F899" s="22" t="str">
        <f aca="false">IF(D899="","",IF(COUNTIFS($B$5:$B$2004,B899,$D$5:$D$2004,D899)&gt;1,"DUPLICATE",IF(ISNA(MATCH(D899,Players!$B$5:$B$304,0)),"UID not found",IF(INDEX(Players!$H$5:$H$304,MATCH(D899,Players!$B$5:$B$304,0))&lt;0,"LOW BALANCE","OK"))))</f>
        <v/>
      </c>
      <c r="G899" s="1"/>
      <c r="H899" s="1"/>
      <c r="I899" s="1"/>
    </row>
    <row r="900" customFormat="false" ht="21.75" hidden="false" customHeight="true" outlineLevel="0" collapsed="false">
      <c r="A900" s="1"/>
      <c r="B900" s="16"/>
      <c r="C900" s="16"/>
      <c r="D900" s="15"/>
      <c r="E900" s="11" t="str">
        <f aca="false">IF(D900="","",IFERROR(INDEX(Players!$C$5:$C$304,MATCH(D900,Players!$B$5:$B$304,0)),""))</f>
        <v/>
      </c>
      <c r="F900" s="22" t="str">
        <f aca="false">IF(D900="","",IF(COUNTIFS($B$5:$B$2004,B900,$D$5:$D$2004,D900)&gt;1,"DUPLICATE",IF(ISNA(MATCH(D900,Players!$B$5:$B$304,0)),"UID not found",IF(INDEX(Players!$H$5:$H$304,MATCH(D900,Players!$B$5:$B$304,0))&lt;0,"LOW BALANCE","OK"))))</f>
        <v/>
      </c>
      <c r="G900" s="1"/>
      <c r="H900" s="1"/>
      <c r="I900" s="1"/>
    </row>
    <row r="901" customFormat="false" ht="21.75" hidden="false" customHeight="true" outlineLevel="0" collapsed="false">
      <c r="A901" s="1"/>
      <c r="B901" s="16"/>
      <c r="C901" s="16"/>
      <c r="D901" s="15"/>
      <c r="E901" s="11" t="str">
        <f aca="false">IF(D901="","",IFERROR(INDEX(Players!$C$5:$C$304,MATCH(D901,Players!$B$5:$B$304,0)),""))</f>
        <v/>
      </c>
      <c r="F901" s="22" t="str">
        <f aca="false">IF(D901="","",IF(COUNTIFS($B$5:$B$2004,B901,$D$5:$D$2004,D901)&gt;1,"DUPLICATE",IF(ISNA(MATCH(D901,Players!$B$5:$B$304,0)),"UID not found",IF(INDEX(Players!$H$5:$H$304,MATCH(D901,Players!$B$5:$B$304,0))&lt;0,"LOW BALANCE","OK"))))</f>
        <v/>
      </c>
      <c r="G901" s="1"/>
      <c r="H901" s="1"/>
      <c r="I901" s="1"/>
    </row>
    <row r="902" customFormat="false" ht="21.75" hidden="false" customHeight="true" outlineLevel="0" collapsed="false">
      <c r="A902" s="1"/>
      <c r="B902" s="16"/>
      <c r="C902" s="16"/>
      <c r="D902" s="15"/>
      <c r="E902" s="11" t="str">
        <f aca="false">IF(D902="","",IFERROR(INDEX(Players!$C$5:$C$304,MATCH(D902,Players!$B$5:$B$304,0)),""))</f>
        <v/>
      </c>
      <c r="F902" s="22" t="str">
        <f aca="false">IF(D902="","",IF(COUNTIFS($B$5:$B$2004,B902,$D$5:$D$2004,D902)&gt;1,"DUPLICATE",IF(ISNA(MATCH(D902,Players!$B$5:$B$304,0)),"UID not found",IF(INDEX(Players!$H$5:$H$304,MATCH(D902,Players!$B$5:$B$304,0))&lt;0,"LOW BALANCE","OK"))))</f>
        <v/>
      </c>
      <c r="G902" s="1"/>
      <c r="H902" s="1"/>
      <c r="I902" s="1"/>
    </row>
    <row r="903" customFormat="false" ht="21.75" hidden="false" customHeight="true" outlineLevel="0" collapsed="false">
      <c r="A903" s="1"/>
      <c r="B903" s="16"/>
      <c r="C903" s="16"/>
      <c r="D903" s="15"/>
      <c r="E903" s="11" t="str">
        <f aca="false">IF(D903="","",IFERROR(INDEX(Players!$C$5:$C$304,MATCH(D903,Players!$B$5:$B$304,0)),""))</f>
        <v/>
      </c>
      <c r="F903" s="22" t="str">
        <f aca="false">IF(D903="","",IF(COUNTIFS($B$5:$B$2004,B903,$D$5:$D$2004,D903)&gt;1,"DUPLICATE",IF(ISNA(MATCH(D903,Players!$B$5:$B$304,0)),"UID not found",IF(INDEX(Players!$H$5:$H$304,MATCH(D903,Players!$B$5:$B$304,0))&lt;0,"LOW BALANCE","OK"))))</f>
        <v/>
      </c>
      <c r="G903" s="1"/>
      <c r="H903" s="1"/>
      <c r="I903" s="1"/>
    </row>
    <row r="904" customFormat="false" ht="21.75" hidden="false" customHeight="true" outlineLevel="0" collapsed="false">
      <c r="A904" s="1"/>
      <c r="B904" s="16"/>
      <c r="C904" s="16"/>
      <c r="D904" s="15"/>
      <c r="E904" s="11" t="str">
        <f aca="false">IF(D904="","",IFERROR(INDEX(Players!$C$5:$C$304,MATCH(D904,Players!$B$5:$B$304,0)),""))</f>
        <v/>
      </c>
      <c r="F904" s="22" t="str">
        <f aca="false">IF(D904="","",IF(COUNTIFS($B$5:$B$2004,B904,$D$5:$D$2004,D904)&gt;1,"DUPLICATE",IF(ISNA(MATCH(D904,Players!$B$5:$B$304,0)),"UID not found",IF(INDEX(Players!$H$5:$H$304,MATCH(D904,Players!$B$5:$B$304,0))&lt;0,"LOW BALANCE","OK"))))</f>
        <v/>
      </c>
      <c r="G904" s="1"/>
      <c r="H904" s="1"/>
      <c r="I904" s="1"/>
    </row>
    <row r="905" customFormat="false" ht="21.75" hidden="false" customHeight="true" outlineLevel="0" collapsed="false">
      <c r="A905" s="1"/>
      <c r="B905" s="16"/>
      <c r="C905" s="16"/>
      <c r="D905" s="15"/>
      <c r="E905" s="11" t="str">
        <f aca="false">IF(D905="","",IFERROR(INDEX(Players!$C$5:$C$304,MATCH(D905,Players!$B$5:$B$304,0)),""))</f>
        <v/>
      </c>
      <c r="F905" s="22" t="str">
        <f aca="false">IF(D905="","",IF(COUNTIFS($B$5:$B$2004,B905,$D$5:$D$2004,D905)&gt;1,"DUPLICATE",IF(ISNA(MATCH(D905,Players!$B$5:$B$304,0)),"UID not found",IF(INDEX(Players!$H$5:$H$304,MATCH(D905,Players!$B$5:$B$304,0))&lt;0,"LOW BALANCE","OK"))))</f>
        <v/>
      </c>
      <c r="G905" s="1"/>
      <c r="H905" s="1"/>
      <c r="I905" s="1"/>
    </row>
    <row r="906" customFormat="false" ht="21.75" hidden="false" customHeight="true" outlineLevel="0" collapsed="false">
      <c r="A906" s="1"/>
      <c r="B906" s="16"/>
      <c r="C906" s="16"/>
      <c r="D906" s="15"/>
      <c r="E906" s="11" t="str">
        <f aca="false">IF(D906="","",IFERROR(INDEX(Players!$C$5:$C$304,MATCH(D906,Players!$B$5:$B$304,0)),""))</f>
        <v/>
      </c>
      <c r="F906" s="22" t="str">
        <f aca="false">IF(D906="","",IF(COUNTIFS($B$5:$B$2004,B906,$D$5:$D$2004,D906)&gt;1,"DUPLICATE",IF(ISNA(MATCH(D906,Players!$B$5:$B$304,0)),"UID not found",IF(INDEX(Players!$H$5:$H$304,MATCH(D906,Players!$B$5:$B$304,0))&lt;0,"LOW BALANCE","OK"))))</f>
        <v/>
      </c>
      <c r="G906" s="1"/>
      <c r="H906" s="1"/>
      <c r="I906" s="1"/>
    </row>
    <row r="907" customFormat="false" ht="21.75" hidden="false" customHeight="true" outlineLevel="0" collapsed="false">
      <c r="A907" s="1"/>
      <c r="B907" s="16"/>
      <c r="C907" s="16"/>
      <c r="D907" s="15"/>
      <c r="E907" s="11" t="str">
        <f aca="false">IF(D907="","",IFERROR(INDEX(Players!$C$5:$C$304,MATCH(D907,Players!$B$5:$B$304,0)),""))</f>
        <v/>
      </c>
      <c r="F907" s="22" t="str">
        <f aca="false">IF(D907="","",IF(COUNTIFS($B$5:$B$2004,B907,$D$5:$D$2004,D907)&gt;1,"DUPLICATE",IF(ISNA(MATCH(D907,Players!$B$5:$B$304,0)),"UID not found",IF(INDEX(Players!$H$5:$H$304,MATCH(D907,Players!$B$5:$B$304,0))&lt;0,"LOW BALANCE","OK"))))</f>
        <v/>
      </c>
      <c r="G907" s="1"/>
      <c r="H907" s="1"/>
      <c r="I907" s="1"/>
    </row>
    <row r="908" customFormat="false" ht="21.75" hidden="false" customHeight="true" outlineLevel="0" collapsed="false">
      <c r="A908" s="1"/>
      <c r="B908" s="16"/>
      <c r="C908" s="16"/>
      <c r="D908" s="15"/>
      <c r="E908" s="11" t="str">
        <f aca="false">IF(D908="","",IFERROR(INDEX(Players!$C$5:$C$304,MATCH(D908,Players!$B$5:$B$304,0)),""))</f>
        <v/>
      </c>
      <c r="F908" s="22" t="str">
        <f aca="false">IF(D908="","",IF(COUNTIFS($B$5:$B$2004,B908,$D$5:$D$2004,D908)&gt;1,"DUPLICATE",IF(ISNA(MATCH(D908,Players!$B$5:$B$304,0)),"UID not found",IF(INDEX(Players!$H$5:$H$304,MATCH(D908,Players!$B$5:$B$304,0))&lt;0,"LOW BALANCE","OK"))))</f>
        <v/>
      </c>
      <c r="G908" s="1"/>
      <c r="H908" s="1"/>
      <c r="I908" s="1"/>
    </row>
    <row r="909" customFormat="false" ht="21.75" hidden="false" customHeight="true" outlineLevel="0" collapsed="false">
      <c r="A909" s="1"/>
      <c r="B909" s="16"/>
      <c r="C909" s="16"/>
      <c r="D909" s="15"/>
      <c r="E909" s="11" t="str">
        <f aca="false">IF(D909="","",IFERROR(INDEX(Players!$C$5:$C$304,MATCH(D909,Players!$B$5:$B$304,0)),""))</f>
        <v/>
      </c>
      <c r="F909" s="22" t="str">
        <f aca="false">IF(D909="","",IF(COUNTIFS($B$5:$B$2004,B909,$D$5:$D$2004,D909)&gt;1,"DUPLICATE",IF(ISNA(MATCH(D909,Players!$B$5:$B$304,0)),"UID not found",IF(INDEX(Players!$H$5:$H$304,MATCH(D909,Players!$B$5:$B$304,0))&lt;0,"LOW BALANCE","OK"))))</f>
        <v/>
      </c>
      <c r="G909" s="1"/>
      <c r="H909" s="1"/>
      <c r="I909" s="1"/>
    </row>
    <row r="910" customFormat="false" ht="21.75" hidden="false" customHeight="true" outlineLevel="0" collapsed="false">
      <c r="A910" s="1"/>
      <c r="B910" s="16"/>
      <c r="C910" s="16"/>
      <c r="D910" s="15"/>
      <c r="E910" s="11" t="str">
        <f aca="false">IF(D910="","",IFERROR(INDEX(Players!$C$5:$C$304,MATCH(D910,Players!$B$5:$B$304,0)),""))</f>
        <v/>
      </c>
      <c r="F910" s="22" t="str">
        <f aca="false">IF(D910="","",IF(COUNTIFS($B$5:$B$2004,B910,$D$5:$D$2004,D910)&gt;1,"DUPLICATE",IF(ISNA(MATCH(D910,Players!$B$5:$B$304,0)),"UID not found",IF(INDEX(Players!$H$5:$H$304,MATCH(D910,Players!$B$5:$B$304,0))&lt;0,"LOW BALANCE","OK"))))</f>
        <v/>
      </c>
      <c r="G910" s="1"/>
      <c r="H910" s="1"/>
      <c r="I910" s="1"/>
    </row>
    <row r="911" customFormat="false" ht="21.75" hidden="false" customHeight="true" outlineLevel="0" collapsed="false">
      <c r="A911" s="1"/>
      <c r="B911" s="16"/>
      <c r="C911" s="16"/>
      <c r="D911" s="15"/>
      <c r="E911" s="11" t="str">
        <f aca="false">IF(D911="","",IFERROR(INDEX(Players!$C$5:$C$304,MATCH(D911,Players!$B$5:$B$304,0)),""))</f>
        <v/>
      </c>
      <c r="F911" s="22" t="str">
        <f aca="false">IF(D911="","",IF(COUNTIFS($B$5:$B$2004,B911,$D$5:$D$2004,D911)&gt;1,"DUPLICATE",IF(ISNA(MATCH(D911,Players!$B$5:$B$304,0)),"UID not found",IF(INDEX(Players!$H$5:$H$304,MATCH(D911,Players!$B$5:$B$304,0))&lt;0,"LOW BALANCE","OK"))))</f>
        <v/>
      </c>
      <c r="G911" s="1"/>
      <c r="H911" s="1"/>
      <c r="I911" s="1"/>
    </row>
    <row r="912" customFormat="false" ht="21.75" hidden="false" customHeight="true" outlineLevel="0" collapsed="false">
      <c r="A912" s="1"/>
      <c r="B912" s="16"/>
      <c r="C912" s="16"/>
      <c r="D912" s="15"/>
      <c r="E912" s="11" t="str">
        <f aca="false">IF(D912="","",IFERROR(INDEX(Players!$C$5:$C$304,MATCH(D912,Players!$B$5:$B$304,0)),""))</f>
        <v/>
      </c>
      <c r="F912" s="22" t="str">
        <f aca="false">IF(D912="","",IF(COUNTIFS($B$5:$B$2004,B912,$D$5:$D$2004,D912)&gt;1,"DUPLICATE",IF(ISNA(MATCH(D912,Players!$B$5:$B$304,0)),"UID not found",IF(INDEX(Players!$H$5:$H$304,MATCH(D912,Players!$B$5:$B$304,0))&lt;0,"LOW BALANCE","OK"))))</f>
        <v/>
      </c>
      <c r="G912" s="1"/>
      <c r="H912" s="1"/>
      <c r="I912" s="1"/>
    </row>
    <row r="913" customFormat="false" ht="21.75" hidden="false" customHeight="true" outlineLevel="0" collapsed="false">
      <c r="A913" s="1"/>
      <c r="B913" s="16"/>
      <c r="C913" s="16"/>
      <c r="D913" s="15"/>
      <c r="E913" s="11" t="str">
        <f aca="false">IF(D913="","",IFERROR(INDEX(Players!$C$5:$C$304,MATCH(D913,Players!$B$5:$B$304,0)),""))</f>
        <v/>
      </c>
      <c r="F913" s="22" t="str">
        <f aca="false">IF(D913="","",IF(COUNTIFS($B$5:$B$2004,B913,$D$5:$D$2004,D913)&gt;1,"DUPLICATE",IF(ISNA(MATCH(D913,Players!$B$5:$B$304,0)),"UID not found",IF(INDEX(Players!$H$5:$H$304,MATCH(D913,Players!$B$5:$B$304,0))&lt;0,"LOW BALANCE","OK"))))</f>
        <v/>
      </c>
      <c r="G913" s="1"/>
      <c r="H913" s="1"/>
      <c r="I913" s="1"/>
    </row>
    <row r="914" customFormat="false" ht="21.75" hidden="false" customHeight="true" outlineLevel="0" collapsed="false">
      <c r="A914" s="1"/>
      <c r="B914" s="16"/>
      <c r="C914" s="16"/>
      <c r="D914" s="15"/>
      <c r="E914" s="11" t="str">
        <f aca="false">IF(D914="","",IFERROR(INDEX(Players!$C$5:$C$304,MATCH(D914,Players!$B$5:$B$304,0)),""))</f>
        <v/>
      </c>
      <c r="F914" s="22" t="str">
        <f aca="false">IF(D914="","",IF(COUNTIFS($B$5:$B$2004,B914,$D$5:$D$2004,D914)&gt;1,"DUPLICATE",IF(ISNA(MATCH(D914,Players!$B$5:$B$304,0)),"UID not found",IF(INDEX(Players!$H$5:$H$304,MATCH(D914,Players!$B$5:$B$304,0))&lt;0,"LOW BALANCE","OK"))))</f>
        <v/>
      </c>
      <c r="G914" s="1"/>
      <c r="H914" s="1"/>
      <c r="I914" s="1"/>
    </row>
    <row r="915" customFormat="false" ht="21.75" hidden="false" customHeight="true" outlineLevel="0" collapsed="false">
      <c r="A915" s="1"/>
      <c r="B915" s="16"/>
      <c r="C915" s="16"/>
      <c r="D915" s="15"/>
      <c r="E915" s="11" t="str">
        <f aca="false">IF(D915="","",IFERROR(INDEX(Players!$C$5:$C$304,MATCH(D915,Players!$B$5:$B$304,0)),""))</f>
        <v/>
      </c>
      <c r="F915" s="22" t="str">
        <f aca="false">IF(D915="","",IF(COUNTIFS($B$5:$B$2004,B915,$D$5:$D$2004,D915)&gt;1,"DUPLICATE",IF(ISNA(MATCH(D915,Players!$B$5:$B$304,0)),"UID not found",IF(INDEX(Players!$H$5:$H$304,MATCH(D915,Players!$B$5:$B$304,0))&lt;0,"LOW BALANCE","OK"))))</f>
        <v/>
      </c>
      <c r="G915" s="1"/>
      <c r="H915" s="1"/>
      <c r="I915" s="1"/>
    </row>
    <row r="916" customFormat="false" ht="21.75" hidden="false" customHeight="true" outlineLevel="0" collapsed="false">
      <c r="A916" s="1"/>
      <c r="B916" s="16"/>
      <c r="C916" s="16"/>
      <c r="D916" s="15"/>
      <c r="E916" s="11" t="str">
        <f aca="false">IF(D916="","",IFERROR(INDEX(Players!$C$5:$C$304,MATCH(D916,Players!$B$5:$B$304,0)),""))</f>
        <v/>
      </c>
      <c r="F916" s="22" t="str">
        <f aca="false">IF(D916="","",IF(COUNTIFS($B$5:$B$2004,B916,$D$5:$D$2004,D916)&gt;1,"DUPLICATE",IF(ISNA(MATCH(D916,Players!$B$5:$B$304,0)),"UID not found",IF(INDEX(Players!$H$5:$H$304,MATCH(D916,Players!$B$5:$B$304,0))&lt;0,"LOW BALANCE","OK"))))</f>
        <v/>
      </c>
      <c r="G916" s="1"/>
      <c r="H916" s="1"/>
      <c r="I916" s="1"/>
    </row>
    <row r="917" customFormat="false" ht="21.75" hidden="false" customHeight="true" outlineLevel="0" collapsed="false">
      <c r="A917" s="1"/>
      <c r="B917" s="16"/>
      <c r="C917" s="16"/>
      <c r="D917" s="15"/>
      <c r="E917" s="11" t="str">
        <f aca="false">IF(D917="","",IFERROR(INDEX(Players!$C$5:$C$304,MATCH(D917,Players!$B$5:$B$304,0)),""))</f>
        <v/>
      </c>
      <c r="F917" s="22" t="str">
        <f aca="false">IF(D917="","",IF(COUNTIFS($B$5:$B$2004,B917,$D$5:$D$2004,D917)&gt;1,"DUPLICATE",IF(ISNA(MATCH(D917,Players!$B$5:$B$304,0)),"UID not found",IF(INDEX(Players!$H$5:$H$304,MATCH(D917,Players!$B$5:$B$304,0))&lt;0,"LOW BALANCE","OK"))))</f>
        <v/>
      </c>
      <c r="G917" s="1"/>
      <c r="H917" s="1"/>
      <c r="I917" s="1"/>
    </row>
    <row r="918" customFormat="false" ht="21.75" hidden="false" customHeight="true" outlineLevel="0" collapsed="false">
      <c r="A918" s="1"/>
      <c r="B918" s="16"/>
      <c r="C918" s="16"/>
      <c r="D918" s="15"/>
      <c r="E918" s="11" t="str">
        <f aca="false">IF(D918="","",IFERROR(INDEX(Players!$C$5:$C$304,MATCH(D918,Players!$B$5:$B$304,0)),""))</f>
        <v/>
      </c>
      <c r="F918" s="22" t="str">
        <f aca="false">IF(D918="","",IF(COUNTIFS($B$5:$B$2004,B918,$D$5:$D$2004,D918)&gt;1,"DUPLICATE",IF(ISNA(MATCH(D918,Players!$B$5:$B$304,0)),"UID not found",IF(INDEX(Players!$H$5:$H$304,MATCH(D918,Players!$B$5:$B$304,0))&lt;0,"LOW BALANCE","OK"))))</f>
        <v/>
      </c>
      <c r="G918" s="1"/>
      <c r="H918" s="1"/>
      <c r="I918" s="1"/>
    </row>
    <row r="919" customFormat="false" ht="21.75" hidden="false" customHeight="true" outlineLevel="0" collapsed="false">
      <c r="A919" s="1"/>
      <c r="B919" s="16"/>
      <c r="C919" s="16"/>
      <c r="D919" s="15"/>
      <c r="E919" s="11" t="str">
        <f aca="false">IF(D919="","",IFERROR(INDEX(Players!$C$5:$C$304,MATCH(D919,Players!$B$5:$B$304,0)),""))</f>
        <v/>
      </c>
      <c r="F919" s="22" t="str">
        <f aca="false">IF(D919="","",IF(COUNTIFS($B$5:$B$2004,B919,$D$5:$D$2004,D919)&gt;1,"DUPLICATE",IF(ISNA(MATCH(D919,Players!$B$5:$B$304,0)),"UID not found",IF(INDEX(Players!$H$5:$H$304,MATCH(D919,Players!$B$5:$B$304,0))&lt;0,"LOW BALANCE","OK"))))</f>
        <v/>
      </c>
      <c r="G919" s="1"/>
      <c r="H919" s="1"/>
      <c r="I919" s="1"/>
    </row>
    <row r="920" customFormat="false" ht="21.75" hidden="false" customHeight="true" outlineLevel="0" collapsed="false">
      <c r="A920" s="1"/>
      <c r="B920" s="16"/>
      <c r="C920" s="16"/>
      <c r="D920" s="15"/>
      <c r="E920" s="11" t="str">
        <f aca="false">IF(D920="","",IFERROR(INDEX(Players!$C$5:$C$304,MATCH(D920,Players!$B$5:$B$304,0)),""))</f>
        <v/>
      </c>
      <c r="F920" s="22" t="str">
        <f aca="false">IF(D920="","",IF(COUNTIFS($B$5:$B$2004,B920,$D$5:$D$2004,D920)&gt;1,"DUPLICATE",IF(ISNA(MATCH(D920,Players!$B$5:$B$304,0)),"UID not found",IF(INDEX(Players!$H$5:$H$304,MATCH(D920,Players!$B$5:$B$304,0))&lt;0,"LOW BALANCE","OK"))))</f>
        <v/>
      </c>
      <c r="G920" s="1"/>
      <c r="H920" s="1"/>
      <c r="I920" s="1"/>
    </row>
    <row r="921" customFormat="false" ht="21.75" hidden="false" customHeight="true" outlineLevel="0" collapsed="false">
      <c r="A921" s="1"/>
      <c r="B921" s="16"/>
      <c r="C921" s="16"/>
      <c r="D921" s="15"/>
      <c r="E921" s="11" t="str">
        <f aca="false">IF(D921="","",IFERROR(INDEX(Players!$C$5:$C$304,MATCH(D921,Players!$B$5:$B$304,0)),""))</f>
        <v/>
      </c>
      <c r="F921" s="22" t="str">
        <f aca="false">IF(D921="","",IF(COUNTIFS($B$5:$B$2004,B921,$D$5:$D$2004,D921)&gt;1,"DUPLICATE",IF(ISNA(MATCH(D921,Players!$B$5:$B$304,0)),"UID not found",IF(INDEX(Players!$H$5:$H$304,MATCH(D921,Players!$B$5:$B$304,0))&lt;0,"LOW BALANCE","OK"))))</f>
        <v/>
      </c>
      <c r="G921" s="1"/>
      <c r="H921" s="1"/>
      <c r="I921" s="1"/>
    </row>
    <row r="922" customFormat="false" ht="21.75" hidden="false" customHeight="true" outlineLevel="0" collapsed="false">
      <c r="A922" s="1"/>
      <c r="B922" s="16"/>
      <c r="C922" s="16"/>
      <c r="D922" s="15"/>
      <c r="E922" s="11" t="str">
        <f aca="false">IF(D922="","",IFERROR(INDEX(Players!$C$5:$C$304,MATCH(D922,Players!$B$5:$B$304,0)),""))</f>
        <v/>
      </c>
      <c r="F922" s="22" t="str">
        <f aca="false">IF(D922="","",IF(COUNTIFS($B$5:$B$2004,B922,$D$5:$D$2004,D922)&gt;1,"DUPLICATE",IF(ISNA(MATCH(D922,Players!$B$5:$B$304,0)),"UID not found",IF(INDEX(Players!$H$5:$H$304,MATCH(D922,Players!$B$5:$B$304,0))&lt;0,"LOW BALANCE","OK"))))</f>
        <v/>
      </c>
      <c r="G922" s="1"/>
      <c r="H922" s="1"/>
      <c r="I922" s="1"/>
    </row>
    <row r="923" customFormat="false" ht="21.75" hidden="false" customHeight="true" outlineLevel="0" collapsed="false">
      <c r="A923" s="1"/>
      <c r="B923" s="16"/>
      <c r="C923" s="16"/>
      <c r="D923" s="15"/>
      <c r="E923" s="11" t="str">
        <f aca="false">IF(D923="","",IFERROR(INDEX(Players!$C$5:$C$304,MATCH(D923,Players!$B$5:$B$304,0)),""))</f>
        <v/>
      </c>
      <c r="F923" s="22" t="str">
        <f aca="false">IF(D923="","",IF(COUNTIFS($B$5:$B$2004,B923,$D$5:$D$2004,D923)&gt;1,"DUPLICATE",IF(ISNA(MATCH(D923,Players!$B$5:$B$304,0)),"UID not found",IF(INDEX(Players!$H$5:$H$304,MATCH(D923,Players!$B$5:$B$304,0))&lt;0,"LOW BALANCE","OK"))))</f>
        <v/>
      </c>
      <c r="G923" s="1"/>
      <c r="H923" s="1"/>
      <c r="I923" s="1"/>
    </row>
    <row r="924" customFormat="false" ht="21.75" hidden="false" customHeight="true" outlineLevel="0" collapsed="false">
      <c r="A924" s="1"/>
      <c r="B924" s="16"/>
      <c r="C924" s="16"/>
      <c r="D924" s="15"/>
      <c r="E924" s="11" t="str">
        <f aca="false">IF(D924="","",IFERROR(INDEX(Players!$C$5:$C$304,MATCH(D924,Players!$B$5:$B$304,0)),""))</f>
        <v/>
      </c>
      <c r="F924" s="22" t="str">
        <f aca="false">IF(D924="","",IF(COUNTIFS($B$5:$B$2004,B924,$D$5:$D$2004,D924)&gt;1,"DUPLICATE",IF(ISNA(MATCH(D924,Players!$B$5:$B$304,0)),"UID not found",IF(INDEX(Players!$H$5:$H$304,MATCH(D924,Players!$B$5:$B$304,0))&lt;0,"LOW BALANCE","OK"))))</f>
        <v/>
      </c>
      <c r="G924" s="1"/>
      <c r="H924" s="1"/>
      <c r="I924" s="1"/>
    </row>
    <row r="925" customFormat="false" ht="21.75" hidden="false" customHeight="true" outlineLevel="0" collapsed="false">
      <c r="A925" s="1"/>
      <c r="B925" s="16"/>
      <c r="C925" s="16"/>
      <c r="D925" s="15"/>
      <c r="E925" s="11" t="str">
        <f aca="false">IF(D925="","",IFERROR(INDEX(Players!$C$5:$C$304,MATCH(D925,Players!$B$5:$B$304,0)),""))</f>
        <v/>
      </c>
      <c r="F925" s="22" t="str">
        <f aca="false">IF(D925="","",IF(COUNTIFS($B$5:$B$2004,B925,$D$5:$D$2004,D925)&gt;1,"DUPLICATE",IF(ISNA(MATCH(D925,Players!$B$5:$B$304,0)),"UID not found",IF(INDEX(Players!$H$5:$H$304,MATCH(D925,Players!$B$5:$B$304,0))&lt;0,"LOW BALANCE","OK"))))</f>
        <v/>
      </c>
      <c r="G925" s="1"/>
      <c r="H925" s="1"/>
      <c r="I925" s="1"/>
    </row>
    <row r="926" customFormat="false" ht="21.75" hidden="false" customHeight="true" outlineLevel="0" collapsed="false">
      <c r="A926" s="1"/>
      <c r="B926" s="16"/>
      <c r="C926" s="16"/>
      <c r="D926" s="15"/>
      <c r="E926" s="11" t="str">
        <f aca="false">IF(D926="","",IFERROR(INDEX(Players!$C$5:$C$304,MATCH(D926,Players!$B$5:$B$304,0)),""))</f>
        <v/>
      </c>
      <c r="F926" s="22" t="str">
        <f aca="false">IF(D926="","",IF(COUNTIFS($B$5:$B$2004,B926,$D$5:$D$2004,D926)&gt;1,"DUPLICATE",IF(ISNA(MATCH(D926,Players!$B$5:$B$304,0)),"UID not found",IF(INDEX(Players!$H$5:$H$304,MATCH(D926,Players!$B$5:$B$304,0))&lt;0,"LOW BALANCE","OK"))))</f>
        <v/>
      </c>
      <c r="G926" s="1"/>
      <c r="H926" s="1"/>
      <c r="I926" s="1"/>
    </row>
    <row r="927" customFormat="false" ht="21.75" hidden="false" customHeight="true" outlineLevel="0" collapsed="false">
      <c r="A927" s="1"/>
      <c r="B927" s="16"/>
      <c r="C927" s="16"/>
      <c r="D927" s="15"/>
      <c r="E927" s="11" t="str">
        <f aca="false">IF(D927="","",IFERROR(INDEX(Players!$C$5:$C$304,MATCH(D927,Players!$B$5:$B$304,0)),""))</f>
        <v/>
      </c>
      <c r="F927" s="22" t="str">
        <f aca="false">IF(D927="","",IF(COUNTIFS($B$5:$B$2004,B927,$D$5:$D$2004,D927)&gt;1,"DUPLICATE",IF(ISNA(MATCH(D927,Players!$B$5:$B$304,0)),"UID not found",IF(INDEX(Players!$H$5:$H$304,MATCH(D927,Players!$B$5:$B$304,0))&lt;0,"LOW BALANCE","OK"))))</f>
        <v/>
      </c>
      <c r="G927" s="1"/>
      <c r="H927" s="1"/>
      <c r="I927" s="1"/>
    </row>
    <row r="928" customFormat="false" ht="21.75" hidden="false" customHeight="true" outlineLevel="0" collapsed="false">
      <c r="A928" s="1"/>
      <c r="B928" s="16"/>
      <c r="C928" s="16"/>
      <c r="D928" s="15"/>
      <c r="E928" s="11" t="str">
        <f aca="false">IF(D928="","",IFERROR(INDEX(Players!$C$5:$C$304,MATCH(D928,Players!$B$5:$B$304,0)),""))</f>
        <v/>
      </c>
      <c r="F928" s="22" t="str">
        <f aca="false">IF(D928="","",IF(COUNTIFS($B$5:$B$2004,B928,$D$5:$D$2004,D928)&gt;1,"DUPLICATE",IF(ISNA(MATCH(D928,Players!$B$5:$B$304,0)),"UID not found",IF(INDEX(Players!$H$5:$H$304,MATCH(D928,Players!$B$5:$B$304,0))&lt;0,"LOW BALANCE","OK"))))</f>
        <v/>
      </c>
      <c r="G928" s="1"/>
      <c r="H928" s="1"/>
      <c r="I928" s="1"/>
    </row>
    <row r="929" customFormat="false" ht="21.75" hidden="false" customHeight="true" outlineLevel="0" collapsed="false">
      <c r="A929" s="1"/>
      <c r="B929" s="16"/>
      <c r="C929" s="16"/>
      <c r="D929" s="15"/>
      <c r="E929" s="11" t="str">
        <f aca="false">IF(D929="","",IFERROR(INDEX(Players!$C$5:$C$304,MATCH(D929,Players!$B$5:$B$304,0)),""))</f>
        <v/>
      </c>
      <c r="F929" s="22" t="str">
        <f aca="false">IF(D929="","",IF(COUNTIFS($B$5:$B$2004,B929,$D$5:$D$2004,D929)&gt;1,"DUPLICATE",IF(ISNA(MATCH(D929,Players!$B$5:$B$304,0)),"UID not found",IF(INDEX(Players!$H$5:$H$304,MATCH(D929,Players!$B$5:$B$304,0))&lt;0,"LOW BALANCE","OK"))))</f>
        <v/>
      </c>
      <c r="G929" s="1"/>
      <c r="H929" s="1"/>
      <c r="I929" s="1"/>
    </row>
    <row r="930" customFormat="false" ht="21.75" hidden="false" customHeight="true" outlineLevel="0" collapsed="false">
      <c r="A930" s="1"/>
      <c r="B930" s="16"/>
      <c r="C930" s="16"/>
      <c r="D930" s="15"/>
      <c r="E930" s="11" t="str">
        <f aca="false">IF(D930="","",IFERROR(INDEX(Players!$C$5:$C$304,MATCH(D930,Players!$B$5:$B$304,0)),""))</f>
        <v/>
      </c>
      <c r="F930" s="22" t="str">
        <f aca="false">IF(D930="","",IF(COUNTIFS($B$5:$B$2004,B930,$D$5:$D$2004,D930)&gt;1,"DUPLICATE",IF(ISNA(MATCH(D930,Players!$B$5:$B$304,0)),"UID not found",IF(INDEX(Players!$H$5:$H$304,MATCH(D930,Players!$B$5:$B$304,0))&lt;0,"LOW BALANCE","OK"))))</f>
        <v/>
      </c>
      <c r="G930" s="1"/>
      <c r="H930" s="1"/>
      <c r="I930" s="1"/>
    </row>
    <row r="931" customFormat="false" ht="21.75" hidden="false" customHeight="true" outlineLevel="0" collapsed="false">
      <c r="A931" s="1"/>
      <c r="B931" s="16"/>
      <c r="C931" s="16"/>
      <c r="D931" s="15"/>
      <c r="E931" s="11" t="str">
        <f aca="false">IF(D931="","",IFERROR(INDEX(Players!$C$5:$C$304,MATCH(D931,Players!$B$5:$B$304,0)),""))</f>
        <v/>
      </c>
      <c r="F931" s="22" t="str">
        <f aca="false">IF(D931="","",IF(COUNTIFS($B$5:$B$2004,B931,$D$5:$D$2004,D931)&gt;1,"DUPLICATE",IF(ISNA(MATCH(D931,Players!$B$5:$B$304,0)),"UID not found",IF(INDEX(Players!$H$5:$H$304,MATCH(D931,Players!$B$5:$B$304,0))&lt;0,"LOW BALANCE","OK"))))</f>
        <v/>
      </c>
      <c r="G931" s="1"/>
      <c r="H931" s="1"/>
      <c r="I931" s="1"/>
    </row>
    <row r="932" customFormat="false" ht="21.75" hidden="false" customHeight="true" outlineLevel="0" collapsed="false">
      <c r="A932" s="1"/>
      <c r="B932" s="16"/>
      <c r="C932" s="16"/>
      <c r="D932" s="15"/>
      <c r="E932" s="11" t="str">
        <f aca="false">IF(D932="","",IFERROR(INDEX(Players!$C$5:$C$304,MATCH(D932,Players!$B$5:$B$304,0)),""))</f>
        <v/>
      </c>
      <c r="F932" s="22" t="str">
        <f aca="false">IF(D932="","",IF(COUNTIFS($B$5:$B$2004,B932,$D$5:$D$2004,D932)&gt;1,"DUPLICATE",IF(ISNA(MATCH(D932,Players!$B$5:$B$304,0)),"UID not found",IF(INDEX(Players!$H$5:$H$304,MATCH(D932,Players!$B$5:$B$304,0))&lt;0,"LOW BALANCE","OK"))))</f>
        <v/>
      </c>
      <c r="G932" s="1"/>
      <c r="H932" s="1"/>
      <c r="I932" s="1"/>
    </row>
    <row r="933" customFormat="false" ht="21.75" hidden="false" customHeight="true" outlineLevel="0" collapsed="false">
      <c r="A933" s="1"/>
      <c r="B933" s="16"/>
      <c r="C933" s="16"/>
      <c r="D933" s="15"/>
      <c r="E933" s="11" t="str">
        <f aca="false">IF(D933="","",IFERROR(INDEX(Players!$C$5:$C$304,MATCH(D933,Players!$B$5:$B$304,0)),""))</f>
        <v/>
      </c>
      <c r="F933" s="22" t="str">
        <f aca="false">IF(D933="","",IF(COUNTIFS($B$5:$B$2004,B933,$D$5:$D$2004,D933)&gt;1,"DUPLICATE",IF(ISNA(MATCH(D933,Players!$B$5:$B$304,0)),"UID not found",IF(INDEX(Players!$H$5:$H$304,MATCH(D933,Players!$B$5:$B$304,0))&lt;0,"LOW BALANCE","OK"))))</f>
        <v/>
      </c>
      <c r="G933" s="1"/>
      <c r="H933" s="1"/>
      <c r="I933" s="1"/>
    </row>
    <row r="934" customFormat="false" ht="21.75" hidden="false" customHeight="true" outlineLevel="0" collapsed="false">
      <c r="A934" s="1"/>
      <c r="B934" s="16"/>
      <c r="C934" s="16"/>
      <c r="D934" s="15"/>
      <c r="E934" s="11" t="str">
        <f aca="false">IF(D934="","",IFERROR(INDEX(Players!$C$5:$C$304,MATCH(D934,Players!$B$5:$B$304,0)),""))</f>
        <v/>
      </c>
      <c r="F934" s="22" t="str">
        <f aca="false">IF(D934="","",IF(COUNTIFS($B$5:$B$2004,B934,$D$5:$D$2004,D934)&gt;1,"DUPLICATE",IF(ISNA(MATCH(D934,Players!$B$5:$B$304,0)),"UID not found",IF(INDEX(Players!$H$5:$H$304,MATCH(D934,Players!$B$5:$B$304,0))&lt;0,"LOW BALANCE","OK"))))</f>
        <v/>
      </c>
      <c r="G934" s="1"/>
      <c r="H934" s="1"/>
      <c r="I934" s="1"/>
    </row>
    <row r="935" customFormat="false" ht="21.75" hidden="false" customHeight="true" outlineLevel="0" collapsed="false">
      <c r="A935" s="1"/>
      <c r="B935" s="16"/>
      <c r="C935" s="16"/>
      <c r="D935" s="15"/>
      <c r="E935" s="11" t="str">
        <f aca="false">IF(D935="","",IFERROR(INDEX(Players!$C$5:$C$304,MATCH(D935,Players!$B$5:$B$304,0)),""))</f>
        <v/>
      </c>
      <c r="F935" s="22" t="str">
        <f aca="false">IF(D935="","",IF(COUNTIFS($B$5:$B$2004,B935,$D$5:$D$2004,D935)&gt;1,"DUPLICATE",IF(ISNA(MATCH(D935,Players!$B$5:$B$304,0)),"UID not found",IF(INDEX(Players!$H$5:$H$304,MATCH(D935,Players!$B$5:$B$304,0))&lt;0,"LOW BALANCE","OK"))))</f>
        <v/>
      </c>
      <c r="G935" s="1"/>
      <c r="H935" s="1"/>
      <c r="I935" s="1"/>
    </row>
    <row r="936" customFormat="false" ht="21.75" hidden="false" customHeight="true" outlineLevel="0" collapsed="false">
      <c r="A936" s="1"/>
      <c r="B936" s="16"/>
      <c r="C936" s="16"/>
      <c r="D936" s="15"/>
      <c r="E936" s="11" t="str">
        <f aca="false">IF(D936="","",IFERROR(INDEX(Players!$C$5:$C$304,MATCH(D936,Players!$B$5:$B$304,0)),""))</f>
        <v/>
      </c>
      <c r="F936" s="22" t="str">
        <f aca="false">IF(D936="","",IF(COUNTIFS($B$5:$B$2004,B936,$D$5:$D$2004,D936)&gt;1,"DUPLICATE",IF(ISNA(MATCH(D936,Players!$B$5:$B$304,0)),"UID not found",IF(INDEX(Players!$H$5:$H$304,MATCH(D936,Players!$B$5:$B$304,0))&lt;0,"LOW BALANCE","OK"))))</f>
        <v/>
      </c>
      <c r="G936" s="1"/>
      <c r="H936" s="1"/>
      <c r="I936" s="1"/>
    </row>
    <row r="937" customFormat="false" ht="21.75" hidden="false" customHeight="true" outlineLevel="0" collapsed="false">
      <c r="A937" s="1"/>
      <c r="B937" s="16"/>
      <c r="C937" s="16"/>
      <c r="D937" s="15"/>
      <c r="E937" s="11" t="str">
        <f aca="false">IF(D937="","",IFERROR(INDEX(Players!$C$5:$C$304,MATCH(D937,Players!$B$5:$B$304,0)),""))</f>
        <v/>
      </c>
      <c r="F937" s="22" t="str">
        <f aca="false">IF(D937="","",IF(COUNTIFS($B$5:$B$2004,B937,$D$5:$D$2004,D937)&gt;1,"DUPLICATE",IF(ISNA(MATCH(D937,Players!$B$5:$B$304,0)),"UID not found",IF(INDEX(Players!$H$5:$H$304,MATCH(D937,Players!$B$5:$B$304,0))&lt;0,"LOW BALANCE","OK"))))</f>
        <v/>
      </c>
      <c r="G937" s="1"/>
      <c r="H937" s="1"/>
      <c r="I937" s="1"/>
    </row>
    <row r="938" customFormat="false" ht="21.75" hidden="false" customHeight="true" outlineLevel="0" collapsed="false">
      <c r="A938" s="1"/>
      <c r="B938" s="16"/>
      <c r="C938" s="16"/>
      <c r="D938" s="15"/>
      <c r="E938" s="11" t="str">
        <f aca="false">IF(D938="","",IFERROR(INDEX(Players!$C$5:$C$304,MATCH(D938,Players!$B$5:$B$304,0)),""))</f>
        <v/>
      </c>
      <c r="F938" s="22" t="str">
        <f aca="false">IF(D938="","",IF(COUNTIFS($B$5:$B$2004,B938,$D$5:$D$2004,D938)&gt;1,"DUPLICATE",IF(ISNA(MATCH(D938,Players!$B$5:$B$304,0)),"UID not found",IF(INDEX(Players!$H$5:$H$304,MATCH(D938,Players!$B$5:$B$304,0))&lt;0,"LOW BALANCE","OK"))))</f>
        <v/>
      </c>
      <c r="G938" s="1"/>
      <c r="H938" s="1"/>
      <c r="I938" s="1"/>
    </row>
    <row r="939" customFormat="false" ht="21.75" hidden="false" customHeight="true" outlineLevel="0" collapsed="false">
      <c r="A939" s="1"/>
      <c r="B939" s="16"/>
      <c r="C939" s="16"/>
      <c r="D939" s="15"/>
      <c r="E939" s="11" t="str">
        <f aca="false">IF(D939="","",IFERROR(INDEX(Players!$C$5:$C$304,MATCH(D939,Players!$B$5:$B$304,0)),""))</f>
        <v/>
      </c>
      <c r="F939" s="22" t="str">
        <f aca="false">IF(D939="","",IF(COUNTIFS($B$5:$B$2004,B939,$D$5:$D$2004,D939)&gt;1,"DUPLICATE",IF(ISNA(MATCH(D939,Players!$B$5:$B$304,0)),"UID not found",IF(INDEX(Players!$H$5:$H$304,MATCH(D939,Players!$B$5:$B$304,0))&lt;0,"LOW BALANCE","OK"))))</f>
        <v/>
      </c>
      <c r="G939" s="1"/>
      <c r="H939" s="1"/>
      <c r="I939" s="1"/>
    </row>
    <row r="940" customFormat="false" ht="21.75" hidden="false" customHeight="true" outlineLevel="0" collapsed="false">
      <c r="A940" s="1"/>
      <c r="B940" s="16"/>
      <c r="C940" s="16"/>
      <c r="D940" s="15"/>
      <c r="E940" s="11" t="str">
        <f aca="false">IF(D940="","",IFERROR(INDEX(Players!$C$5:$C$304,MATCH(D940,Players!$B$5:$B$304,0)),""))</f>
        <v/>
      </c>
      <c r="F940" s="22" t="str">
        <f aca="false">IF(D940="","",IF(COUNTIFS($B$5:$B$2004,B940,$D$5:$D$2004,D940)&gt;1,"DUPLICATE",IF(ISNA(MATCH(D940,Players!$B$5:$B$304,0)),"UID not found",IF(INDEX(Players!$H$5:$H$304,MATCH(D940,Players!$B$5:$B$304,0))&lt;0,"LOW BALANCE","OK"))))</f>
        <v/>
      </c>
      <c r="G940" s="1"/>
      <c r="H940" s="1"/>
      <c r="I940" s="1"/>
    </row>
    <row r="941" customFormat="false" ht="21.75" hidden="false" customHeight="true" outlineLevel="0" collapsed="false">
      <c r="A941" s="1"/>
      <c r="B941" s="16"/>
      <c r="C941" s="16"/>
      <c r="D941" s="15"/>
      <c r="E941" s="11" t="str">
        <f aca="false">IF(D941="","",IFERROR(INDEX(Players!$C$5:$C$304,MATCH(D941,Players!$B$5:$B$304,0)),""))</f>
        <v/>
      </c>
      <c r="F941" s="22" t="str">
        <f aca="false">IF(D941="","",IF(COUNTIFS($B$5:$B$2004,B941,$D$5:$D$2004,D941)&gt;1,"DUPLICATE",IF(ISNA(MATCH(D941,Players!$B$5:$B$304,0)),"UID not found",IF(INDEX(Players!$H$5:$H$304,MATCH(D941,Players!$B$5:$B$304,0))&lt;0,"LOW BALANCE","OK"))))</f>
        <v/>
      </c>
      <c r="G941" s="1"/>
      <c r="H941" s="1"/>
      <c r="I941" s="1"/>
    </row>
    <row r="942" customFormat="false" ht="21.75" hidden="false" customHeight="true" outlineLevel="0" collapsed="false">
      <c r="A942" s="1"/>
      <c r="B942" s="16"/>
      <c r="C942" s="16"/>
      <c r="D942" s="15"/>
      <c r="E942" s="11" t="str">
        <f aca="false">IF(D942="","",IFERROR(INDEX(Players!$C$5:$C$304,MATCH(D942,Players!$B$5:$B$304,0)),""))</f>
        <v/>
      </c>
      <c r="F942" s="22" t="str">
        <f aca="false">IF(D942="","",IF(COUNTIFS($B$5:$B$2004,B942,$D$5:$D$2004,D942)&gt;1,"DUPLICATE",IF(ISNA(MATCH(D942,Players!$B$5:$B$304,0)),"UID not found",IF(INDEX(Players!$H$5:$H$304,MATCH(D942,Players!$B$5:$B$304,0))&lt;0,"LOW BALANCE","OK"))))</f>
        <v/>
      </c>
      <c r="G942" s="1"/>
      <c r="H942" s="1"/>
      <c r="I942" s="1"/>
    </row>
    <row r="943" customFormat="false" ht="21.75" hidden="false" customHeight="true" outlineLevel="0" collapsed="false">
      <c r="A943" s="1"/>
      <c r="B943" s="16"/>
      <c r="C943" s="16"/>
      <c r="D943" s="15"/>
      <c r="E943" s="11" t="str">
        <f aca="false">IF(D943="","",IFERROR(INDEX(Players!$C$5:$C$304,MATCH(D943,Players!$B$5:$B$304,0)),""))</f>
        <v/>
      </c>
      <c r="F943" s="22" t="str">
        <f aca="false">IF(D943="","",IF(COUNTIFS($B$5:$B$2004,B943,$D$5:$D$2004,D943)&gt;1,"DUPLICATE",IF(ISNA(MATCH(D943,Players!$B$5:$B$304,0)),"UID not found",IF(INDEX(Players!$H$5:$H$304,MATCH(D943,Players!$B$5:$B$304,0))&lt;0,"LOW BALANCE","OK"))))</f>
        <v/>
      </c>
      <c r="G943" s="1"/>
      <c r="H943" s="1"/>
      <c r="I943" s="1"/>
    </row>
    <row r="944" customFormat="false" ht="21.75" hidden="false" customHeight="true" outlineLevel="0" collapsed="false">
      <c r="A944" s="1"/>
      <c r="B944" s="16"/>
      <c r="C944" s="16"/>
      <c r="D944" s="15"/>
      <c r="E944" s="11" t="str">
        <f aca="false">IF(D944="","",IFERROR(INDEX(Players!$C$5:$C$304,MATCH(D944,Players!$B$5:$B$304,0)),""))</f>
        <v/>
      </c>
      <c r="F944" s="22" t="str">
        <f aca="false">IF(D944="","",IF(COUNTIFS($B$5:$B$2004,B944,$D$5:$D$2004,D944)&gt;1,"DUPLICATE",IF(ISNA(MATCH(D944,Players!$B$5:$B$304,0)),"UID not found",IF(INDEX(Players!$H$5:$H$304,MATCH(D944,Players!$B$5:$B$304,0))&lt;0,"LOW BALANCE","OK"))))</f>
        <v/>
      </c>
      <c r="G944" s="1"/>
      <c r="H944" s="1"/>
      <c r="I944" s="1"/>
    </row>
    <row r="945" customFormat="false" ht="21.75" hidden="false" customHeight="true" outlineLevel="0" collapsed="false">
      <c r="A945" s="1"/>
      <c r="B945" s="16"/>
      <c r="C945" s="16"/>
      <c r="D945" s="15"/>
      <c r="E945" s="11" t="str">
        <f aca="false">IF(D945="","",IFERROR(INDEX(Players!$C$5:$C$304,MATCH(D945,Players!$B$5:$B$304,0)),""))</f>
        <v/>
      </c>
      <c r="F945" s="22" t="str">
        <f aca="false">IF(D945="","",IF(COUNTIFS($B$5:$B$2004,B945,$D$5:$D$2004,D945)&gt;1,"DUPLICATE",IF(ISNA(MATCH(D945,Players!$B$5:$B$304,0)),"UID not found",IF(INDEX(Players!$H$5:$H$304,MATCH(D945,Players!$B$5:$B$304,0))&lt;0,"LOW BALANCE","OK"))))</f>
        <v/>
      </c>
      <c r="G945" s="1"/>
      <c r="H945" s="1"/>
      <c r="I945" s="1"/>
    </row>
    <row r="946" customFormat="false" ht="21.75" hidden="false" customHeight="true" outlineLevel="0" collapsed="false">
      <c r="A946" s="1"/>
      <c r="B946" s="16"/>
      <c r="C946" s="16"/>
      <c r="D946" s="15"/>
      <c r="E946" s="11" t="str">
        <f aca="false">IF(D946="","",IFERROR(INDEX(Players!$C$5:$C$304,MATCH(D946,Players!$B$5:$B$304,0)),""))</f>
        <v/>
      </c>
      <c r="F946" s="22" t="str">
        <f aca="false">IF(D946="","",IF(COUNTIFS($B$5:$B$2004,B946,$D$5:$D$2004,D946)&gt;1,"DUPLICATE",IF(ISNA(MATCH(D946,Players!$B$5:$B$304,0)),"UID not found",IF(INDEX(Players!$H$5:$H$304,MATCH(D946,Players!$B$5:$B$304,0))&lt;0,"LOW BALANCE","OK"))))</f>
        <v/>
      </c>
      <c r="G946" s="1"/>
      <c r="H946" s="1"/>
      <c r="I946" s="1"/>
    </row>
    <row r="947" customFormat="false" ht="21.75" hidden="false" customHeight="true" outlineLevel="0" collapsed="false">
      <c r="A947" s="1"/>
      <c r="B947" s="16"/>
      <c r="C947" s="16"/>
      <c r="D947" s="15"/>
      <c r="E947" s="11" t="str">
        <f aca="false">IF(D947="","",IFERROR(INDEX(Players!$C$5:$C$304,MATCH(D947,Players!$B$5:$B$304,0)),""))</f>
        <v/>
      </c>
      <c r="F947" s="22" t="str">
        <f aca="false">IF(D947="","",IF(COUNTIFS($B$5:$B$2004,B947,$D$5:$D$2004,D947)&gt;1,"DUPLICATE",IF(ISNA(MATCH(D947,Players!$B$5:$B$304,0)),"UID not found",IF(INDEX(Players!$H$5:$H$304,MATCH(D947,Players!$B$5:$B$304,0))&lt;0,"LOW BALANCE","OK"))))</f>
        <v/>
      </c>
      <c r="G947" s="1"/>
      <c r="H947" s="1"/>
      <c r="I947" s="1"/>
    </row>
    <row r="948" customFormat="false" ht="21.75" hidden="false" customHeight="true" outlineLevel="0" collapsed="false">
      <c r="A948" s="1"/>
      <c r="B948" s="16"/>
      <c r="C948" s="16"/>
      <c r="D948" s="15"/>
      <c r="E948" s="11" t="str">
        <f aca="false">IF(D948="","",IFERROR(INDEX(Players!$C$5:$C$304,MATCH(D948,Players!$B$5:$B$304,0)),""))</f>
        <v/>
      </c>
      <c r="F948" s="22" t="str">
        <f aca="false">IF(D948="","",IF(COUNTIFS($B$5:$B$2004,B948,$D$5:$D$2004,D948)&gt;1,"DUPLICATE",IF(ISNA(MATCH(D948,Players!$B$5:$B$304,0)),"UID not found",IF(INDEX(Players!$H$5:$H$304,MATCH(D948,Players!$B$5:$B$304,0))&lt;0,"LOW BALANCE","OK"))))</f>
        <v/>
      </c>
      <c r="G948" s="1"/>
      <c r="H948" s="1"/>
      <c r="I948" s="1"/>
    </row>
    <row r="949" customFormat="false" ht="21.75" hidden="false" customHeight="true" outlineLevel="0" collapsed="false">
      <c r="A949" s="1"/>
      <c r="B949" s="16"/>
      <c r="C949" s="16"/>
      <c r="D949" s="15"/>
      <c r="E949" s="11" t="str">
        <f aca="false">IF(D949="","",IFERROR(INDEX(Players!$C$5:$C$304,MATCH(D949,Players!$B$5:$B$304,0)),""))</f>
        <v/>
      </c>
      <c r="F949" s="22" t="str">
        <f aca="false">IF(D949="","",IF(COUNTIFS($B$5:$B$2004,B949,$D$5:$D$2004,D949)&gt;1,"DUPLICATE",IF(ISNA(MATCH(D949,Players!$B$5:$B$304,0)),"UID not found",IF(INDEX(Players!$H$5:$H$304,MATCH(D949,Players!$B$5:$B$304,0))&lt;0,"LOW BALANCE","OK"))))</f>
        <v/>
      </c>
      <c r="G949" s="1"/>
      <c r="H949" s="1"/>
      <c r="I949" s="1"/>
    </row>
    <row r="950" customFormat="false" ht="21.75" hidden="false" customHeight="true" outlineLevel="0" collapsed="false">
      <c r="A950" s="1"/>
      <c r="B950" s="16"/>
      <c r="C950" s="16"/>
      <c r="D950" s="15"/>
      <c r="E950" s="11" t="str">
        <f aca="false">IF(D950="","",IFERROR(INDEX(Players!$C$5:$C$304,MATCH(D950,Players!$B$5:$B$304,0)),""))</f>
        <v/>
      </c>
      <c r="F950" s="22" t="str">
        <f aca="false">IF(D950="","",IF(COUNTIFS($B$5:$B$2004,B950,$D$5:$D$2004,D950)&gt;1,"DUPLICATE",IF(ISNA(MATCH(D950,Players!$B$5:$B$304,0)),"UID not found",IF(INDEX(Players!$H$5:$H$304,MATCH(D950,Players!$B$5:$B$304,0))&lt;0,"LOW BALANCE","OK"))))</f>
        <v/>
      </c>
      <c r="G950" s="1"/>
      <c r="H950" s="1"/>
      <c r="I950" s="1"/>
    </row>
    <row r="951" customFormat="false" ht="21.75" hidden="false" customHeight="true" outlineLevel="0" collapsed="false">
      <c r="A951" s="1"/>
      <c r="B951" s="16"/>
      <c r="C951" s="16"/>
      <c r="D951" s="15"/>
      <c r="E951" s="11" t="str">
        <f aca="false">IF(D951="","",IFERROR(INDEX(Players!$C$5:$C$304,MATCH(D951,Players!$B$5:$B$304,0)),""))</f>
        <v/>
      </c>
      <c r="F951" s="22" t="str">
        <f aca="false">IF(D951="","",IF(COUNTIFS($B$5:$B$2004,B951,$D$5:$D$2004,D951)&gt;1,"DUPLICATE",IF(ISNA(MATCH(D951,Players!$B$5:$B$304,0)),"UID not found",IF(INDEX(Players!$H$5:$H$304,MATCH(D951,Players!$B$5:$B$304,0))&lt;0,"LOW BALANCE","OK"))))</f>
        <v/>
      </c>
      <c r="G951" s="1"/>
      <c r="H951" s="1"/>
      <c r="I951" s="1"/>
    </row>
    <row r="952" customFormat="false" ht="21.75" hidden="false" customHeight="true" outlineLevel="0" collapsed="false">
      <c r="A952" s="1"/>
      <c r="B952" s="16"/>
      <c r="C952" s="16"/>
      <c r="D952" s="15"/>
      <c r="E952" s="11" t="str">
        <f aca="false">IF(D952="","",IFERROR(INDEX(Players!$C$5:$C$304,MATCH(D952,Players!$B$5:$B$304,0)),""))</f>
        <v/>
      </c>
      <c r="F952" s="22" t="str">
        <f aca="false">IF(D952="","",IF(COUNTIFS($B$5:$B$2004,B952,$D$5:$D$2004,D952)&gt;1,"DUPLICATE",IF(ISNA(MATCH(D952,Players!$B$5:$B$304,0)),"UID not found",IF(INDEX(Players!$H$5:$H$304,MATCH(D952,Players!$B$5:$B$304,0))&lt;0,"LOW BALANCE","OK"))))</f>
        <v/>
      </c>
      <c r="G952" s="1"/>
      <c r="H952" s="1"/>
      <c r="I952" s="1"/>
    </row>
    <row r="953" customFormat="false" ht="21.75" hidden="false" customHeight="true" outlineLevel="0" collapsed="false">
      <c r="A953" s="1"/>
      <c r="B953" s="16"/>
      <c r="C953" s="16"/>
      <c r="D953" s="15"/>
      <c r="E953" s="11" t="str">
        <f aca="false">IF(D953="","",IFERROR(INDEX(Players!$C$5:$C$304,MATCH(D953,Players!$B$5:$B$304,0)),""))</f>
        <v/>
      </c>
      <c r="F953" s="22" t="str">
        <f aca="false">IF(D953="","",IF(COUNTIFS($B$5:$B$2004,B953,$D$5:$D$2004,D953)&gt;1,"DUPLICATE",IF(ISNA(MATCH(D953,Players!$B$5:$B$304,0)),"UID not found",IF(INDEX(Players!$H$5:$H$304,MATCH(D953,Players!$B$5:$B$304,0))&lt;0,"LOW BALANCE","OK"))))</f>
        <v/>
      </c>
      <c r="G953" s="1"/>
      <c r="H953" s="1"/>
      <c r="I953" s="1"/>
    </row>
    <row r="954" customFormat="false" ht="21.75" hidden="false" customHeight="true" outlineLevel="0" collapsed="false">
      <c r="A954" s="1"/>
      <c r="B954" s="16"/>
      <c r="C954" s="16"/>
      <c r="D954" s="15"/>
      <c r="E954" s="11" t="str">
        <f aca="false">IF(D954="","",IFERROR(INDEX(Players!$C$5:$C$304,MATCH(D954,Players!$B$5:$B$304,0)),""))</f>
        <v/>
      </c>
      <c r="F954" s="22" t="str">
        <f aca="false">IF(D954="","",IF(COUNTIFS($B$5:$B$2004,B954,$D$5:$D$2004,D954)&gt;1,"DUPLICATE",IF(ISNA(MATCH(D954,Players!$B$5:$B$304,0)),"UID not found",IF(INDEX(Players!$H$5:$H$304,MATCH(D954,Players!$B$5:$B$304,0))&lt;0,"LOW BALANCE","OK"))))</f>
        <v/>
      </c>
      <c r="G954" s="1"/>
      <c r="H954" s="1"/>
      <c r="I954" s="1"/>
    </row>
    <row r="955" customFormat="false" ht="21.75" hidden="false" customHeight="true" outlineLevel="0" collapsed="false">
      <c r="A955" s="1"/>
      <c r="B955" s="16"/>
      <c r="C955" s="16"/>
      <c r="D955" s="15"/>
      <c r="E955" s="11" t="str">
        <f aca="false">IF(D955="","",IFERROR(INDEX(Players!$C$5:$C$304,MATCH(D955,Players!$B$5:$B$304,0)),""))</f>
        <v/>
      </c>
      <c r="F955" s="22" t="str">
        <f aca="false">IF(D955="","",IF(COUNTIFS($B$5:$B$2004,B955,$D$5:$D$2004,D955)&gt;1,"DUPLICATE",IF(ISNA(MATCH(D955,Players!$B$5:$B$304,0)),"UID not found",IF(INDEX(Players!$H$5:$H$304,MATCH(D955,Players!$B$5:$B$304,0))&lt;0,"LOW BALANCE","OK"))))</f>
        <v/>
      </c>
      <c r="G955" s="1"/>
      <c r="H955" s="1"/>
      <c r="I955" s="1"/>
    </row>
    <row r="956" customFormat="false" ht="21.75" hidden="false" customHeight="true" outlineLevel="0" collapsed="false">
      <c r="A956" s="1"/>
      <c r="B956" s="16"/>
      <c r="C956" s="16"/>
      <c r="D956" s="15"/>
      <c r="E956" s="11" t="str">
        <f aca="false">IF(D956="","",IFERROR(INDEX(Players!$C$5:$C$304,MATCH(D956,Players!$B$5:$B$304,0)),""))</f>
        <v/>
      </c>
      <c r="F956" s="22" t="str">
        <f aca="false">IF(D956="","",IF(COUNTIFS($B$5:$B$2004,B956,$D$5:$D$2004,D956)&gt;1,"DUPLICATE",IF(ISNA(MATCH(D956,Players!$B$5:$B$304,0)),"UID not found",IF(INDEX(Players!$H$5:$H$304,MATCH(D956,Players!$B$5:$B$304,0))&lt;0,"LOW BALANCE","OK"))))</f>
        <v/>
      </c>
      <c r="G956" s="1"/>
      <c r="H956" s="1"/>
      <c r="I956" s="1"/>
    </row>
    <row r="957" customFormat="false" ht="21.75" hidden="false" customHeight="true" outlineLevel="0" collapsed="false">
      <c r="A957" s="1"/>
      <c r="B957" s="16"/>
      <c r="C957" s="16"/>
      <c r="D957" s="15"/>
      <c r="E957" s="11" t="str">
        <f aca="false">IF(D957="","",IFERROR(INDEX(Players!$C$5:$C$304,MATCH(D957,Players!$B$5:$B$304,0)),""))</f>
        <v/>
      </c>
      <c r="F957" s="22" t="str">
        <f aca="false">IF(D957="","",IF(COUNTIFS($B$5:$B$2004,B957,$D$5:$D$2004,D957)&gt;1,"DUPLICATE",IF(ISNA(MATCH(D957,Players!$B$5:$B$304,0)),"UID not found",IF(INDEX(Players!$H$5:$H$304,MATCH(D957,Players!$B$5:$B$304,0))&lt;0,"LOW BALANCE","OK"))))</f>
        <v/>
      </c>
      <c r="G957" s="1"/>
      <c r="H957" s="1"/>
      <c r="I957" s="1"/>
    </row>
    <row r="958" customFormat="false" ht="21.75" hidden="false" customHeight="true" outlineLevel="0" collapsed="false">
      <c r="A958" s="1"/>
      <c r="B958" s="16"/>
      <c r="C958" s="16"/>
      <c r="D958" s="15"/>
      <c r="E958" s="11" t="str">
        <f aca="false">IF(D958="","",IFERROR(INDEX(Players!$C$5:$C$304,MATCH(D958,Players!$B$5:$B$304,0)),""))</f>
        <v/>
      </c>
      <c r="F958" s="22" t="str">
        <f aca="false">IF(D958="","",IF(COUNTIFS($B$5:$B$2004,B958,$D$5:$D$2004,D958)&gt;1,"DUPLICATE",IF(ISNA(MATCH(D958,Players!$B$5:$B$304,0)),"UID not found",IF(INDEX(Players!$H$5:$H$304,MATCH(D958,Players!$B$5:$B$304,0))&lt;0,"LOW BALANCE","OK"))))</f>
        <v/>
      </c>
      <c r="G958" s="1"/>
      <c r="H958" s="1"/>
      <c r="I958" s="1"/>
    </row>
    <row r="959" customFormat="false" ht="21.75" hidden="false" customHeight="true" outlineLevel="0" collapsed="false">
      <c r="A959" s="1"/>
      <c r="B959" s="16"/>
      <c r="C959" s="16"/>
      <c r="D959" s="15"/>
      <c r="E959" s="11" t="str">
        <f aca="false">IF(D959="","",IFERROR(INDEX(Players!$C$5:$C$304,MATCH(D959,Players!$B$5:$B$304,0)),""))</f>
        <v/>
      </c>
      <c r="F959" s="22" t="str">
        <f aca="false">IF(D959="","",IF(COUNTIFS($B$5:$B$2004,B959,$D$5:$D$2004,D959)&gt;1,"DUPLICATE",IF(ISNA(MATCH(D959,Players!$B$5:$B$304,0)),"UID not found",IF(INDEX(Players!$H$5:$H$304,MATCH(D959,Players!$B$5:$B$304,0))&lt;0,"LOW BALANCE","OK"))))</f>
        <v/>
      </c>
      <c r="G959" s="1"/>
      <c r="H959" s="1"/>
      <c r="I959" s="1"/>
    </row>
    <row r="960" customFormat="false" ht="21.75" hidden="false" customHeight="true" outlineLevel="0" collapsed="false">
      <c r="A960" s="1"/>
      <c r="B960" s="16"/>
      <c r="C960" s="16"/>
      <c r="D960" s="15"/>
      <c r="E960" s="11" t="str">
        <f aca="false">IF(D960="","",IFERROR(INDEX(Players!$C$5:$C$304,MATCH(D960,Players!$B$5:$B$304,0)),""))</f>
        <v/>
      </c>
      <c r="F960" s="22" t="str">
        <f aca="false">IF(D960="","",IF(COUNTIFS($B$5:$B$2004,B960,$D$5:$D$2004,D960)&gt;1,"DUPLICATE",IF(ISNA(MATCH(D960,Players!$B$5:$B$304,0)),"UID not found",IF(INDEX(Players!$H$5:$H$304,MATCH(D960,Players!$B$5:$B$304,0))&lt;0,"LOW BALANCE","OK"))))</f>
        <v/>
      </c>
      <c r="G960" s="1"/>
      <c r="H960" s="1"/>
      <c r="I960" s="1"/>
    </row>
    <row r="961" customFormat="false" ht="21.75" hidden="false" customHeight="true" outlineLevel="0" collapsed="false">
      <c r="A961" s="1"/>
      <c r="B961" s="16"/>
      <c r="C961" s="16"/>
      <c r="D961" s="15"/>
      <c r="E961" s="11" t="str">
        <f aca="false">IF(D961="","",IFERROR(INDEX(Players!$C$5:$C$304,MATCH(D961,Players!$B$5:$B$304,0)),""))</f>
        <v/>
      </c>
      <c r="F961" s="22" t="str">
        <f aca="false">IF(D961="","",IF(COUNTIFS($B$5:$B$2004,B961,$D$5:$D$2004,D961)&gt;1,"DUPLICATE",IF(ISNA(MATCH(D961,Players!$B$5:$B$304,0)),"UID not found",IF(INDEX(Players!$H$5:$H$304,MATCH(D961,Players!$B$5:$B$304,0))&lt;0,"LOW BALANCE","OK"))))</f>
        <v/>
      </c>
      <c r="G961" s="1"/>
      <c r="H961" s="1"/>
      <c r="I961" s="1"/>
    </row>
    <row r="962" customFormat="false" ht="21.75" hidden="false" customHeight="true" outlineLevel="0" collapsed="false">
      <c r="A962" s="1"/>
      <c r="B962" s="16"/>
      <c r="C962" s="16"/>
      <c r="D962" s="15"/>
      <c r="E962" s="11" t="str">
        <f aca="false">IF(D962="","",IFERROR(INDEX(Players!$C$5:$C$304,MATCH(D962,Players!$B$5:$B$304,0)),""))</f>
        <v/>
      </c>
      <c r="F962" s="22" t="str">
        <f aca="false">IF(D962="","",IF(COUNTIFS($B$5:$B$2004,B962,$D$5:$D$2004,D962)&gt;1,"DUPLICATE",IF(ISNA(MATCH(D962,Players!$B$5:$B$304,0)),"UID not found",IF(INDEX(Players!$H$5:$H$304,MATCH(D962,Players!$B$5:$B$304,0))&lt;0,"LOW BALANCE","OK"))))</f>
        <v/>
      </c>
      <c r="G962" s="1"/>
      <c r="H962" s="1"/>
      <c r="I962" s="1"/>
    </row>
    <row r="963" customFormat="false" ht="21.75" hidden="false" customHeight="true" outlineLevel="0" collapsed="false">
      <c r="A963" s="1"/>
      <c r="B963" s="16"/>
      <c r="C963" s="16"/>
      <c r="D963" s="15"/>
      <c r="E963" s="11" t="str">
        <f aca="false">IF(D963="","",IFERROR(INDEX(Players!$C$5:$C$304,MATCH(D963,Players!$B$5:$B$304,0)),""))</f>
        <v/>
      </c>
      <c r="F963" s="22" t="str">
        <f aca="false">IF(D963="","",IF(COUNTIFS($B$5:$B$2004,B963,$D$5:$D$2004,D963)&gt;1,"DUPLICATE",IF(ISNA(MATCH(D963,Players!$B$5:$B$304,0)),"UID not found",IF(INDEX(Players!$H$5:$H$304,MATCH(D963,Players!$B$5:$B$304,0))&lt;0,"LOW BALANCE","OK"))))</f>
        <v/>
      </c>
      <c r="G963" s="1"/>
      <c r="H963" s="1"/>
      <c r="I963" s="1"/>
    </row>
    <row r="964" customFormat="false" ht="21.75" hidden="false" customHeight="true" outlineLevel="0" collapsed="false">
      <c r="A964" s="1"/>
      <c r="B964" s="16"/>
      <c r="C964" s="16"/>
      <c r="D964" s="15"/>
      <c r="E964" s="11" t="str">
        <f aca="false">IF(D964="","",IFERROR(INDEX(Players!$C$5:$C$304,MATCH(D964,Players!$B$5:$B$304,0)),""))</f>
        <v/>
      </c>
      <c r="F964" s="22" t="str">
        <f aca="false">IF(D964="","",IF(COUNTIFS($B$5:$B$2004,B964,$D$5:$D$2004,D964)&gt;1,"DUPLICATE",IF(ISNA(MATCH(D964,Players!$B$5:$B$304,0)),"UID not found",IF(INDEX(Players!$H$5:$H$304,MATCH(D964,Players!$B$5:$B$304,0))&lt;0,"LOW BALANCE","OK"))))</f>
        <v/>
      </c>
      <c r="G964" s="1"/>
      <c r="H964" s="1"/>
      <c r="I964" s="1"/>
    </row>
    <row r="965" customFormat="false" ht="21.75" hidden="false" customHeight="true" outlineLevel="0" collapsed="false">
      <c r="A965" s="1"/>
      <c r="B965" s="16"/>
      <c r="C965" s="16"/>
      <c r="D965" s="15"/>
      <c r="E965" s="11" t="str">
        <f aca="false">IF(D965="","",IFERROR(INDEX(Players!$C$5:$C$304,MATCH(D965,Players!$B$5:$B$304,0)),""))</f>
        <v/>
      </c>
      <c r="F965" s="22" t="str">
        <f aca="false">IF(D965="","",IF(COUNTIFS($B$5:$B$2004,B965,$D$5:$D$2004,D965)&gt;1,"DUPLICATE",IF(ISNA(MATCH(D965,Players!$B$5:$B$304,0)),"UID not found",IF(INDEX(Players!$H$5:$H$304,MATCH(D965,Players!$B$5:$B$304,0))&lt;0,"LOW BALANCE","OK"))))</f>
        <v/>
      </c>
      <c r="G965" s="1"/>
      <c r="H965" s="1"/>
      <c r="I965" s="1"/>
    </row>
    <row r="966" customFormat="false" ht="21.75" hidden="false" customHeight="true" outlineLevel="0" collapsed="false">
      <c r="A966" s="1"/>
      <c r="B966" s="16"/>
      <c r="C966" s="16"/>
      <c r="D966" s="15"/>
      <c r="E966" s="11" t="str">
        <f aca="false">IF(D966="","",IFERROR(INDEX(Players!$C$5:$C$304,MATCH(D966,Players!$B$5:$B$304,0)),""))</f>
        <v/>
      </c>
      <c r="F966" s="22" t="str">
        <f aca="false">IF(D966="","",IF(COUNTIFS($B$5:$B$2004,B966,$D$5:$D$2004,D966)&gt;1,"DUPLICATE",IF(ISNA(MATCH(D966,Players!$B$5:$B$304,0)),"UID not found",IF(INDEX(Players!$H$5:$H$304,MATCH(D966,Players!$B$5:$B$304,0))&lt;0,"LOW BALANCE","OK"))))</f>
        <v/>
      </c>
      <c r="G966" s="1"/>
      <c r="H966" s="1"/>
      <c r="I966" s="1"/>
    </row>
    <row r="967" customFormat="false" ht="21.75" hidden="false" customHeight="true" outlineLevel="0" collapsed="false">
      <c r="A967" s="1"/>
      <c r="B967" s="16"/>
      <c r="C967" s="16"/>
      <c r="D967" s="15"/>
      <c r="E967" s="11" t="str">
        <f aca="false">IF(D967="","",IFERROR(INDEX(Players!$C$5:$C$304,MATCH(D967,Players!$B$5:$B$304,0)),""))</f>
        <v/>
      </c>
      <c r="F967" s="22" t="str">
        <f aca="false">IF(D967="","",IF(COUNTIFS($B$5:$B$2004,B967,$D$5:$D$2004,D967)&gt;1,"DUPLICATE",IF(ISNA(MATCH(D967,Players!$B$5:$B$304,0)),"UID not found",IF(INDEX(Players!$H$5:$H$304,MATCH(D967,Players!$B$5:$B$304,0))&lt;0,"LOW BALANCE","OK"))))</f>
        <v/>
      </c>
      <c r="G967" s="1"/>
      <c r="H967" s="1"/>
      <c r="I967" s="1"/>
    </row>
    <row r="968" customFormat="false" ht="21.75" hidden="false" customHeight="true" outlineLevel="0" collapsed="false">
      <c r="A968" s="1"/>
      <c r="B968" s="16"/>
      <c r="C968" s="16"/>
      <c r="D968" s="15"/>
      <c r="E968" s="11" t="str">
        <f aca="false">IF(D968="","",IFERROR(INDEX(Players!$C$5:$C$304,MATCH(D968,Players!$B$5:$B$304,0)),""))</f>
        <v/>
      </c>
      <c r="F968" s="22" t="str">
        <f aca="false">IF(D968="","",IF(COUNTIFS($B$5:$B$2004,B968,$D$5:$D$2004,D968)&gt;1,"DUPLICATE",IF(ISNA(MATCH(D968,Players!$B$5:$B$304,0)),"UID not found",IF(INDEX(Players!$H$5:$H$304,MATCH(D968,Players!$B$5:$B$304,0))&lt;0,"LOW BALANCE","OK"))))</f>
        <v/>
      </c>
      <c r="G968" s="1"/>
      <c r="H968" s="1"/>
      <c r="I968" s="1"/>
    </row>
    <row r="969" customFormat="false" ht="21.75" hidden="false" customHeight="true" outlineLevel="0" collapsed="false">
      <c r="A969" s="1"/>
      <c r="B969" s="16"/>
      <c r="C969" s="16"/>
      <c r="D969" s="15"/>
      <c r="E969" s="11" t="str">
        <f aca="false">IF(D969="","",IFERROR(INDEX(Players!$C$5:$C$304,MATCH(D969,Players!$B$5:$B$304,0)),""))</f>
        <v/>
      </c>
      <c r="F969" s="22" t="str">
        <f aca="false">IF(D969="","",IF(COUNTIFS($B$5:$B$2004,B969,$D$5:$D$2004,D969)&gt;1,"DUPLICATE",IF(ISNA(MATCH(D969,Players!$B$5:$B$304,0)),"UID not found",IF(INDEX(Players!$H$5:$H$304,MATCH(D969,Players!$B$5:$B$304,0))&lt;0,"LOW BALANCE","OK"))))</f>
        <v/>
      </c>
      <c r="G969" s="1"/>
      <c r="H969" s="1"/>
      <c r="I969" s="1"/>
    </row>
    <row r="970" customFormat="false" ht="21.75" hidden="false" customHeight="true" outlineLevel="0" collapsed="false">
      <c r="A970" s="1"/>
      <c r="B970" s="16"/>
      <c r="C970" s="16"/>
      <c r="D970" s="15"/>
      <c r="E970" s="11" t="str">
        <f aca="false">IF(D970="","",IFERROR(INDEX(Players!$C$5:$C$304,MATCH(D970,Players!$B$5:$B$304,0)),""))</f>
        <v/>
      </c>
      <c r="F970" s="22" t="str">
        <f aca="false">IF(D970="","",IF(COUNTIFS($B$5:$B$2004,B970,$D$5:$D$2004,D970)&gt;1,"DUPLICATE",IF(ISNA(MATCH(D970,Players!$B$5:$B$304,0)),"UID not found",IF(INDEX(Players!$H$5:$H$304,MATCH(D970,Players!$B$5:$B$304,0))&lt;0,"LOW BALANCE","OK"))))</f>
        <v/>
      </c>
      <c r="G970" s="1"/>
      <c r="H970" s="1"/>
      <c r="I970" s="1"/>
    </row>
    <row r="971" customFormat="false" ht="21.75" hidden="false" customHeight="true" outlineLevel="0" collapsed="false">
      <c r="A971" s="1"/>
      <c r="B971" s="16"/>
      <c r="C971" s="16"/>
      <c r="D971" s="15"/>
      <c r="E971" s="11" t="str">
        <f aca="false">IF(D971="","",IFERROR(INDEX(Players!$C$5:$C$304,MATCH(D971,Players!$B$5:$B$304,0)),""))</f>
        <v/>
      </c>
      <c r="F971" s="22" t="str">
        <f aca="false">IF(D971="","",IF(COUNTIFS($B$5:$B$2004,B971,$D$5:$D$2004,D971)&gt;1,"DUPLICATE",IF(ISNA(MATCH(D971,Players!$B$5:$B$304,0)),"UID not found",IF(INDEX(Players!$H$5:$H$304,MATCH(D971,Players!$B$5:$B$304,0))&lt;0,"LOW BALANCE","OK"))))</f>
        <v/>
      </c>
      <c r="G971" s="1"/>
      <c r="H971" s="1"/>
      <c r="I971" s="1"/>
    </row>
    <row r="972" customFormat="false" ht="21.75" hidden="false" customHeight="true" outlineLevel="0" collapsed="false">
      <c r="A972" s="1"/>
      <c r="B972" s="16"/>
      <c r="C972" s="16"/>
      <c r="D972" s="15"/>
      <c r="E972" s="11" t="str">
        <f aca="false">IF(D972="","",IFERROR(INDEX(Players!$C$5:$C$304,MATCH(D972,Players!$B$5:$B$304,0)),""))</f>
        <v/>
      </c>
      <c r="F972" s="22" t="str">
        <f aca="false">IF(D972="","",IF(COUNTIFS($B$5:$B$2004,B972,$D$5:$D$2004,D972)&gt;1,"DUPLICATE",IF(ISNA(MATCH(D972,Players!$B$5:$B$304,0)),"UID not found",IF(INDEX(Players!$H$5:$H$304,MATCH(D972,Players!$B$5:$B$304,0))&lt;0,"LOW BALANCE","OK"))))</f>
        <v/>
      </c>
      <c r="G972" s="1"/>
      <c r="H972" s="1"/>
      <c r="I972" s="1"/>
    </row>
    <row r="973" customFormat="false" ht="21.75" hidden="false" customHeight="true" outlineLevel="0" collapsed="false">
      <c r="A973" s="1"/>
      <c r="B973" s="16"/>
      <c r="C973" s="16"/>
      <c r="D973" s="15"/>
      <c r="E973" s="11" t="str">
        <f aca="false">IF(D973="","",IFERROR(INDEX(Players!$C$5:$C$304,MATCH(D973,Players!$B$5:$B$304,0)),""))</f>
        <v/>
      </c>
      <c r="F973" s="22" t="str">
        <f aca="false">IF(D973="","",IF(COUNTIFS($B$5:$B$2004,B973,$D$5:$D$2004,D973)&gt;1,"DUPLICATE",IF(ISNA(MATCH(D973,Players!$B$5:$B$304,0)),"UID not found",IF(INDEX(Players!$H$5:$H$304,MATCH(D973,Players!$B$5:$B$304,0))&lt;0,"LOW BALANCE","OK"))))</f>
        <v/>
      </c>
      <c r="G973" s="1"/>
      <c r="H973" s="1"/>
      <c r="I973" s="1"/>
    </row>
    <row r="974" customFormat="false" ht="21.75" hidden="false" customHeight="true" outlineLevel="0" collapsed="false">
      <c r="A974" s="1"/>
      <c r="B974" s="16"/>
      <c r="C974" s="16"/>
      <c r="D974" s="15"/>
      <c r="E974" s="11" t="str">
        <f aca="false">IF(D974="","",IFERROR(INDEX(Players!$C$5:$C$304,MATCH(D974,Players!$B$5:$B$304,0)),""))</f>
        <v/>
      </c>
      <c r="F974" s="22" t="str">
        <f aca="false">IF(D974="","",IF(COUNTIFS($B$5:$B$2004,B974,$D$5:$D$2004,D974)&gt;1,"DUPLICATE",IF(ISNA(MATCH(D974,Players!$B$5:$B$304,0)),"UID not found",IF(INDEX(Players!$H$5:$H$304,MATCH(D974,Players!$B$5:$B$304,0))&lt;0,"LOW BALANCE","OK"))))</f>
        <v/>
      </c>
      <c r="G974" s="1"/>
      <c r="H974" s="1"/>
      <c r="I974" s="1"/>
    </row>
    <row r="975" customFormat="false" ht="21.75" hidden="false" customHeight="true" outlineLevel="0" collapsed="false">
      <c r="A975" s="1"/>
      <c r="B975" s="16"/>
      <c r="C975" s="16"/>
      <c r="D975" s="15"/>
      <c r="E975" s="11" t="str">
        <f aca="false">IF(D975="","",IFERROR(INDEX(Players!$C$5:$C$304,MATCH(D975,Players!$B$5:$B$304,0)),""))</f>
        <v/>
      </c>
      <c r="F975" s="22" t="str">
        <f aca="false">IF(D975="","",IF(COUNTIFS($B$5:$B$2004,B975,$D$5:$D$2004,D975)&gt;1,"DUPLICATE",IF(ISNA(MATCH(D975,Players!$B$5:$B$304,0)),"UID not found",IF(INDEX(Players!$H$5:$H$304,MATCH(D975,Players!$B$5:$B$304,0))&lt;0,"LOW BALANCE","OK"))))</f>
        <v/>
      </c>
      <c r="G975" s="1"/>
      <c r="H975" s="1"/>
      <c r="I975" s="1"/>
    </row>
    <row r="976" customFormat="false" ht="21.75" hidden="false" customHeight="true" outlineLevel="0" collapsed="false">
      <c r="A976" s="1"/>
      <c r="B976" s="16"/>
      <c r="C976" s="16"/>
      <c r="D976" s="15"/>
      <c r="E976" s="11" t="str">
        <f aca="false">IF(D976="","",IFERROR(INDEX(Players!$C$5:$C$304,MATCH(D976,Players!$B$5:$B$304,0)),""))</f>
        <v/>
      </c>
      <c r="F976" s="22" t="str">
        <f aca="false">IF(D976="","",IF(COUNTIFS($B$5:$B$2004,B976,$D$5:$D$2004,D976)&gt;1,"DUPLICATE",IF(ISNA(MATCH(D976,Players!$B$5:$B$304,0)),"UID not found",IF(INDEX(Players!$H$5:$H$304,MATCH(D976,Players!$B$5:$B$304,0))&lt;0,"LOW BALANCE","OK"))))</f>
        <v/>
      </c>
      <c r="G976" s="1"/>
      <c r="H976" s="1"/>
      <c r="I976" s="1"/>
    </row>
    <row r="977" customFormat="false" ht="21.75" hidden="false" customHeight="true" outlineLevel="0" collapsed="false">
      <c r="A977" s="1"/>
      <c r="B977" s="16"/>
      <c r="C977" s="16"/>
      <c r="D977" s="15"/>
      <c r="E977" s="11" t="str">
        <f aca="false">IF(D977="","",IFERROR(INDEX(Players!$C$5:$C$304,MATCH(D977,Players!$B$5:$B$304,0)),""))</f>
        <v/>
      </c>
      <c r="F977" s="22" t="str">
        <f aca="false">IF(D977="","",IF(COUNTIFS($B$5:$B$2004,B977,$D$5:$D$2004,D977)&gt;1,"DUPLICATE",IF(ISNA(MATCH(D977,Players!$B$5:$B$304,0)),"UID not found",IF(INDEX(Players!$H$5:$H$304,MATCH(D977,Players!$B$5:$B$304,0))&lt;0,"LOW BALANCE","OK"))))</f>
        <v/>
      </c>
      <c r="G977" s="1"/>
      <c r="H977" s="1"/>
      <c r="I977" s="1"/>
    </row>
    <row r="978" customFormat="false" ht="21.75" hidden="false" customHeight="true" outlineLevel="0" collapsed="false">
      <c r="A978" s="1"/>
      <c r="B978" s="16"/>
      <c r="C978" s="16"/>
      <c r="D978" s="15"/>
      <c r="E978" s="11" t="str">
        <f aca="false">IF(D978="","",IFERROR(INDEX(Players!$C$5:$C$304,MATCH(D978,Players!$B$5:$B$304,0)),""))</f>
        <v/>
      </c>
      <c r="F978" s="22" t="str">
        <f aca="false">IF(D978="","",IF(COUNTIFS($B$5:$B$2004,B978,$D$5:$D$2004,D978)&gt;1,"DUPLICATE",IF(ISNA(MATCH(D978,Players!$B$5:$B$304,0)),"UID not found",IF(INDEX(Players!$H$5:$H$304,MATCH(D978,Players!$B$5:$B$304,0))&lt;0,"LOW BALANCE","OK"))))</f>
        <v/>
      </c>
      <c r="G978" s="1"/>
      <c r="H978" s="1"/>
      <c r="I978" s="1"/>
    </row>
    <row r="979" customFormat="false" ht="21.75" hidden="false" customHeight="true" outlineLevel="0" collapsed="false">
      <c r="A979" s="1"/>
      <c r="B979" s="16"/>
      <c r="C979" s="16"/>
      <c r="D979" s="15"/>
      <c r="E979" s="11" t="str">
        <f aca="false">IF(D979="","",IFERROR(INDEX(Players!$C$5:$C$304,MATCH(D979,Players!$B$5:$B$304,0)),""))</f>
        <v/>
      </c>
      <c r="F979" s="22" t="str">
        <f aca="false">IF(D979="","",IF(COUNTIFS($B$5:$B$2004,B979,$D$5:$D$2004,D979)&gt;1,"DUPLICATE",IF(ISNA(MATCH(D979,Players!$B$5:$B$304,0)),"UID not found",IF(INDEX(Players!$H$5:$H$304,MATCH(D979,Players!$B$5:$B$304,0))&lt;0,"LOW BALANCE","OK"))))</f>
        <v/>
      </c>
      <c r="G979" s="1"/>
      <c r="H979" s="1"/>
      <c r="I979" s="1"/>
    </row>
    <row r="980" customFormat="false" ht="21.75" hidden="false" customHeight="true" outlineLevel="0" collapsed="false">
      <c r="A980" s="1"/>
      <c r="B980" s="16"/>
      <c r="C980" s="16"/>
      <c r="D980" s="15"/>
      <c r="E980" s="11" t="str">
        <f aca="false">IF(D980="","",IFERROR(INDEX(Players!$C$5:$C$304,MATCH(D980,Players!$B$5:$B$304,0)),""))</f>
        <v/>
      </c>
      <c r="F980" s="22" t="str">
        <f aca="false">IF(D980="","",IF(COUNTIFS($B$5:$B$2004,B980,$D$5:$D$2004,D980)&gt;1,"DUPLICATE",IF(ISNA(MATCH(D980,Players!$B$5:$B$304,0)),"UID not found",IF(INDEX(Players!$H$5:$H$304,MATCH(D980,Players!$B$5:$B$304,0))&lt;0,"LOW BALANCE","OK"))))</f>
        <v/>
      </c>
      <c r="G980" s="1"/>
      <c r="H980" s="1"/>
      <c r="I980" s="1"/>
    </row>
    <row r="981" customFormat="false" ht="21.75" hidden="false" customHeight="true" outlineLevel="0" collapsed="false">
      <c r="A981" s="1"/>
      <c r="B981" s="16"/>
      <c r="C981" s="16"/>
      <c r="D981" s="15"/>
      <c r="E981" s="11" t="str">
        <f aca="false">IF(D981="","",IFERROR(INDEX(Players!$C$5:$C$304,MATCH(D981,Players!$B$5:$B$304,0)),""))</f>
        <v/>
      </c>
      <c r="F981" s="22" t="str">
        <f aca="false">IF(D981="","",IF(COUNTIFS($B$5:$B$2004,B981,$D$5:$D$2004,D981)&gt;1,"DUPLICATE",IF(ISNA(MATCH(D981,Players!$B$5:$B$304,0)),"UID not found",IF(INDEX(Players!$H$5:$H$304,MATCH(D981,Players!$B$5:$B$304,0))&lt;0,"LOW BALANCE","OK"))))</f>
        <v/>
      </c>
      <c r="G981" s="1"/>
      <c r="H981" s="1"/>
      <c r="I981" s="1"/>
    </row>
    <row r="982" customFormat="false" ht="21.75" hidden="false" customHeight="true" outlineLevel="0" collapsed="false">
      <c r="A982" s="1"/>
      <c r="B982" s="16"/>
      <c r="C982" s="16"/>
      <c r="D982" s="15"/>
      <c r="E982" s="11" t="str">
        <f aca="false">IF(D982="","",IFERROR(INDEX(Players!$C$5:$C$304,MATCH(D982,Players!$B$5:$B$304,0)),""))</f>
        <v/>
      </c>
      <c r="F982" s="22" t="str">
        <f aca="false">IF(D982="","",IF(COUNTIFS($B$5:$B$2004,B982,$D$5:$D$2004,D982)&gt;1,"DUPLICATE",IF(ISNA(MATCH(D982,Players!$B$5:$B$304,0)),"UID not found",IF(INDEX(Players!$H$5:$H$304,MATCH(D982,Players!$B$5:$B$304,0))&lt;0,"LOW BALANCE","OK"))))</f>
        <v/>
      </c>
      <c r="G982" s="1"/>
      <c r="H982" s="1"/>
      <c r="I982" s="1"/>
    </row>
    <row r="983" customFormat="false" ht="21.75" hidden="false" customHeight="true" outlineLevel="0" collapsed="false">
      <c r="A983" s="1"/>
      <c r="B983" s="16"/>
      <c r="C983" s="16"/>
      <c r="D983" s="15"/>
      <c r="E983" s="11" t="str">
        <f aca="false">IF(D983="","",IFERROR(INDEX(Players!$C$5:$C$304,MATCH(D983,Players!$B$5:$B$304,0)),""))</f>
        <v/>
      </c>
      <c r="F983" s="22" t="str">
        <f aca="false">IF(D983="","",IF(COUNTIFS($B$5:$B$2004,B983,$D$5:$D$2004,D983)&gt;1,"DUPLICATE",IF(ISNA(MATCH(D983,Players!$B$5:$B$304,0)),"UID not found",IF(INDEX(Players!$H$5:$H$304,MATCH(D983,Players!$B$5:$B$304,0))&lt;0,"LOW BALANCE","OK"))))</f>
        <v/>
      </c>
      <c r="G983" s="1"/>
      <c r="H983" s="1"/>
      <c r="I983" s="1"/>
    </row>
    <row r="984" customFormat="false" ht="21.75" hidden="false" customHeight="true" outlineLevel="0" collapsed="false">
      <c r="A984" s="1"/>
      <c r="B984" s="16"/>
      <c r="C984" s="16"/>
      <c r="D984" s="15"/>
      <c r="E984" s="11" t="str">
        <f aca="false">IF(D984="","",IFERROR(INDEX(Players!$C$5:$C$304,MATCH(D984,Players!$B$5:$B$304,0)),""))</f>
        <v/>
      </c>
      <c r="F984" s="22" t="str">
        <f aca="false">IF(D984="","",IF(COUNTIFS($B$5:$B$2004,B984,$D$5:$D$2004,D984)&gt;1,"DUPLICATE",IF(ISNA(MATCH(D984,Players!$B$5:$B$304,0)),"UID not found",IF(INDEX(Players!$H$5:$H$304,MATCH(D984,Players!$B$5:$B$304,0))&lt;0,"LOW BALANCE","OK"))))</f>
        <v/>
      </c>
      <c r="G984" s="1"/>
      <c r="H984" s="1"/>
      <c r="I984" s="1"/>
    </row>
    <row r="985" customFormat="false" ht="21.75" hidden="false" customHeight="true" outlineLevel="0" collapsed="false">
      <c r="A985" s="1"/>
      <c r="B985" s="16"/>
      <c r="C985" s="16"/>
      <c r="D985" s="15"/>
      <c r="E985" s="11" t="str">
        <f aca="false">IF(D985="","",IFERROR(INDEX(Players!$C$5:$C$304,MATCH(D985,Players!$B$5:$B$304,0)),""))</f>
        <v/>
      </c>
      <c r="F985" s="22" t="str">
        <f aca="false">IF(D985="","",IF(COUNTIFS($B$5:$B$2004,B985,$D$5:$D$2004,D985)&gt;1,"DUPLICATE",IF(ISNA(MATCH(D985,Players!$B$5:$B$304,0)),"UID not found",IF(INDEX(Players!$H$5:$H$304,MATCH(D985,Players!$B$5:$B$304,0))&lt;0,"LOW BALANCE","OK"))))</f>
        <v/>
      </c>
      <c r="G985" s="1"/>
      <c r="H985" s="1"/>
      <c r="I985" s="1"/>
    </row>
    <row r="986" customFormat="false" ht="21.75" hidden="false" customHeight="true" outlineLevel="0" collapsed="false">
      <c r="A986" s="1"/>
      <c r="B986" s="16"/>
      <c r="C986" s="16"/>
      <c r="D986" s="15"/>
      <c r="E986" s="11" t="str">
        <f aca="false">IF(D986="","",IFERROR(INDEX(Players!$C$5:$C$304,MATCH(D986,Players!$B$5:$B$304,0)),""))</f>
        <v/>
      </c>
      <c r="F986" s="22" t="str">
        <f aca="false">IF(D986="","",IF(COUNTIFS($B$5:$B$2004,B986,$D$5:$D$2004,D986)&gt;1,"DUPLICATE",IF(ISNA(MATCH(D986,Players!$B$5:$B$304,0)),"UID not found",IF(INDEX(Players!$H$5:$H$304,MATCH(D986,Players!$B$5:$B$304,0))&lt;0,"LOW BALANCE","OK"))))</f>
        <v/>
      </c>
      <c r="G986" s="1"/>
      <c r="H986" s="1"/>
      <c r="I986" s="1"/>
    </row>
    <row r="987" customFormat="false" ht="21.75" hidden="false" customHeight="true" outlineLevel="0" collapsed="false">
      <c r="A987" s="1"/>
      <c r="B987" s="16"/>
      <c r="C987" s="16"/>
      <c r="D987" s="15"/>
      <c r="E987" s="11" t="str">
        <f aca="false">IF(D987="","",IFERROR(INDEX(Players!$C$5:$C$304,MATCH(D987,Players!$B$5:$B$304,0)),""))</f>
        <v/>
      </c>
      <c r="F987" s="22" t="str">
        <f aca="false">IF(D987="","",IF(COUNTIFS($B$5:$B$2004,B987,$D$5:$D$2004,D987)&gt;1,"DUPLICATE",IF(ISNA(MATCH(D987,Players!$B$5:$B$304,0)),"UID not found",IF(INDEX(Players!$H$5:$H$304,MATCH(D987,Players!$B$5:$B$304,0))&lt;0,"LOW BALANCE","OK"))))</f>
        <v/>
      </c>
      <c r="G987" s="1"/>
      <c r="H987" s="1"/>
      <c r="I987" s="1"/>
    </row>
    <row r="988" customFormat="false" ht="21.75" hidden="false" customHeight="true" outlineLevel="0" collapsed="false">
      <c r="A988" s="1"/>
      <c r="B988" s="16"/>
      <c r="C988" s="16"/>
      <c r="D988" s="15"/>
      <c r="E988" s="11" t="str">
        <f aca="false">IF(D988="","",IFERROR(INDEX(Players!$C$5:$C$304,MATCH(D988,Players!$B$5:$B$304,0)),""))</f>
        <v/>
      </c>
      <c r="F988" s="22" t="str">
        <f aca="false">IF(D988="","",IF(COUNTIFS($B$5:$B$2004,B988,$D$5:$D$2004,D988)&gt;1,"DUPLICATE",IF(ISNA(MATCH(D988,Players!$B$5:$B$304,0)),"UID not found",IF(INDEX(Players!$H$5:$H$304,MATCH(D988,Players!$B$5:$B$304,0))&lt;0,"LOW BALANCE","OK"))))</f>
        <v/>
      </c>
      <c r="G988" s="1"/>
      <c r="H988" s="1"/>
      <c r="I988" s="1"/>
    </row>
    <row r="989" customFormat="false" ht="21.75" hidden="false" customHeight="true" outlineLevel="0" collapsed="false">
      <c r="A989" s="1"/>
      <c r="B989" s="16"/>
      <c r="C989" s="16"/>
      <c r="D989" s="15"/>
      <c r="E989" s="11" t="str">
        <f aca="false">IF(D989="","",IFERROR(INDEX(Players!$C$5:$C$304,MATCH(D989,Players!$B$5:$B$304,0)),""))</f>
        <v/>
      </c>
      <c r="F989" s="22" t="str">
        <f aca="false">IF(D989="","",IF(COUNTIFS($B$5:$B$2004,B989,$D$5:$D$2004,D989)&gt;1,"DUPLICATE",IF(ISNA(MATCH(D989,Players!$B$5:$B$304,0)),"UID not found",IF(INDEX(Players!$H$5:$H$304,MATCH(D989,Players!$B$5:$B$304,0))&lt;0,"LOW BALANCE","OK"))))</f>
        <v/>
      </c>
      <c r="G989" s="1"/>
      <c r="H989" s="1"/>
      <c r="I989" s="1"/>
    </row>
    <row r="990" customFormat="false" ht="21.75" hidden="false" customHeight="true" outlineLevel="0" collapsed="false">
      <c r="A990" s="1"/>
      <c r="B990" s="16"/>
      <c r="C990" s="16"/>
      <c r="D990" s="15"/>
      <c r="E990" s="11" t="str">
        <f aca="false">IF(D990="","",IFERROR(INDEX(Players!$C$5:$C$304,MATCH(D990,Players!$B$5:$B$304,0)),""))</f>
        <v/>
      </c>
      <c r="F990" s="22" t="str">
        <f aca="false">IF(D990="","",IF(COUNTIFS($B$5:$B$2004,B990,$D$5:$D$2004,D990)&gt;1,"DUPLICATE",IF(ISNA(MATCH(D990,Players!$B$5:$B$304,0)),"UID not found",IF(INDEX(Players!$H$5:$H$304,MATCH(D990,Players!$B$5:$B$304,0))&lt;0,"LOW BALANCE","OK"))))</f>
        <v/>
      </c>
      <c r="G990" s="1"/>
      <c r="H990" s="1"/>
      <c r="I990" s="1"/>
    </row>
    <row r="991" customFormat="false" ht="21.75" hidden="false" customHeight="true" outlineLevel="0" collapsed="false">
      <c r="A991" s="1"/>
      <c r="B991" s="16"/>
      <c r="C991" s="16"/>
      <c r="D991" s="15"/>
      <c r="E991" s="11" t="str">
        <f aca="false">IF(D991="","",IFERROR(INDEX(Players!$C$5:$C$304,MATCH(D991,Players!$B$5:$B$304,0)),""))</f>
        <v/>
      </c>
      <c r="F991" s="22" t="str">
        <f aca="false">IF(D991="","",IF(COUNTIFS($B$5:$B$2004,B991,$D$5:$D$2004,D991)&gt;1,"DUPLICATE",IF(ISNA(MATCH(D991,Players!$B$5:$B$304,0)),"UID not found",IF(INDEX(Players!$H$5:$H$304,MATCH(D991,Players!$B$5:$B$304,0))&lt;0,"LOW BALANCE","OK"))))</f>
        <v/>
      </c>
      <c r="G991" s="1"/>
      <c r="H991" s="1"/>
      <c r="I991" s="1"/>
    </row>
    <row r="992" customFormat="false" ht="21.75" hidden="false" customHeight="true" outlineLevel="0" collapsed="false">
      <c r="A992" s="1"/>
      <c r="B992" s="16"/>
      <c r="C992" s="16"/>
      <c r="D992" s="15"/>
      <c r="E992" s="11" t="str">
        <f aca="false">IF(D992="","",IFERROR(INDEX(Players!$C$5:$C$304,MATCH(D992,Players!$B$5:$B$304,0)),""))</f>
        <v/>
      </c>
      <c r="F992" s="22" t="str">
        <f aca="false">IF(D992="","",IF(COUNTIFS($B$5:$B$2004,B992,$D$5:$D$2004,D992)&gt;1,"DUPLICATE",IF(ISNA(MATCH(D992,Players!$B$5:$B$304,0)),"UID not found",IF(INDEX(Players!$H$5:$H$304,MATCH(D992,Players!$B$5:$B$304,0))&lt;0,"LOW BALANCE","OK"))))</f>
        <v/>
      </c>
      <c r="G992" s="1"/>
      <c r="H992" s="1"/>
      <c r="I992" s="1"/>
    </row>
    <row r="993" customFormat="false" ht="21.75" hidden="false" customHeight="true" outlineLevel="0" collapsed="false">
      <c r="A993" s="1"/>
      <c r="B993" s="16"/>
      <c r="C993" s="16"/>
      <c r="D993" s="15"/>
      <c r="E993" s="11" t="str">
        <f aca="false">IF(D993="","",IFERROR(INDEX(Players!$C$5:$C$304,MATCH(D993,Players!$B$5:$B$304,0)),""))</f>
        <v/>
      </c>
      <c r="F993" s="22" t="str">
        <f aca="false">IF(D993="","",IF(COUNTIFS($B$5:$B$2004,B993,$D$5:$D$2004,D993)&gt;1,"DUPLICATE",IF(ISNA(MATCH(D993,Players!$B$5:$B$304,0)),"UID not found",IF(INDEX(Players!$H$5:$H$304,MATCH(D993,Players!$B$5:$B$304,0))&lt;0,"LOW BALANCE","OK"))))</f>
        <v/>
      </c>
      <c r="G993" s="1"/>
      <c r="H993" s="1"/>
      <c r="I993" s="1"/>
    </row>
    <row r="994" customFormat="false" ht="21.75" hidden="false" customHeight="true" outlineLevel="0" collapsed="false">
      <c r="A994" s="1"/>
      <c r="B994" s="16"/>
      <c r="C994" s="16"/>
      <c r="D994" s="15"/>
      <c r="E994" s="11" t="str">
        <f aca="false">IF(D994="","",IFERROR(INDEX(Players!$C$5:$C$304,MATCH(D994,Players!$B$5:$B$304,0)),""))</f>
        <v/>
      </c>
      <c r="F994" s="22" t="str">
        <f aca="false">IF(D994="","",IF(COUNTIFS($B$5:$B$2004,B994,$D$5:$D$2004,D994)&gt;1,"DUPLICATE",IF(ISNA(MATCH(D994,Players!$B$5:$B$304,0)),"UID not found",IF(INDEX(Players!$H$5:$H$304,MATCH(D994,Players!$B$5:$B$304,0))&lt;0,"LOW BALANCE","OK"))))</f>
        <v/>
      </c>
      <c r="G994" s="1"/>
      <c r="H994" s="1"/>
      <c r="I994" s="1"/>
    </row>
    <row r="995" customFormat="false" ht="21.75" hidden="false" customHeight="true" outlineLevel="0" collapsed="false">
      <c r="A995" s="1"/>
      <c r="B995" s="16"/>
      <c r="C995" s="16"/>
      <c r="D995" s="15"/>
      <c r="E995" s="11" t="str">
        <f aca="false">IF(D995="","",IFERROR(INDEX(Players!$C$5:$C$304,MATCH(D995,Players!$B$5:$B$304,0)),""))</f>
        <v/>
      </c>
      <c r="F995" s="22" t="str">
        <f aca="false">IF(D995="","",IF(COUNTIFS($B$5:$B$2004,B995,$D$5:$D$2004,D995)&gt;1,"DUPLICATE",IF(ISNA(MATCH(D995,Players!$B$5:$B$304,0)),"UID not found",IF(INDEX(Players!$H$5:$H$304,MATCH(D995,Players!$B$5:$B$304,0))&lt;0,"LOW BALANCE","OK"))))</f>
        <v/>
      </c>
      <c r="G995" s="1"/>
      <c r="H995" s="1"/>
      <c r="I995" s="1"/>
    </row>
    <row r="996" customFormat="false" ht="21.75" hidden="false" customHeight="true" outlineLevel="0" collapsed="false">
      <c r="A996" s="1"/>
      <c r="B996" s="16"/>
      <c r="C996" s="16"/>
      <c r="D996" s="15"/>
      <c r="E996" s="11" t="str">
        <f aca="false">IF(D996="","",IFERROR(INDEX(Players!$C$5:$C$304,MATCH(D996,Players!$B$5:$B$304,0)),""))</f>
        <v/>
      </c>
      <c r="F996" s="22" t="str">
        <f aca="false">IF(D996="","",IF(COUNTIFS($B$5:$B$2004,B996,$D$5:$D$2004,D996)&gt;1,"DUPLICATE",IF(ISNA(MATCH(D996,Players!$B$5:$B$304,0)),"UID not found",IF(INDEX(Players!$H$5:$H$304,MATCH(D996,Players!$B$5:$B$304,0))&lt;0,"LOW BALANCE","OK"))))</f>
        <v/>
      </c>
      <c r="G996" s="1"/>
      <c r="H996" s="1"/>
      <c r="I996" s="1"/>
    </row>
    <row r="997" customFormat="false" ht="21.75" hidden="false" customHeight="true" outlineLevel="0" collapsed="false">
      <c r="A997" s="1"/>
      <c r="B997" s="16"/>
      <c r="C997" s="16"/>
      <c r="D997" s="15"/>
      <c r="E997" s="11" t="str">
        <f aca="false">IF(D997="","",IFERROR(INDEX(Players!$C$5:$C$304,MATCH(D997,Players!$B$5:$B$304,0)),""))</f>
        <v/>
      </c>
      <c r="F997" s="22" t="str">
        <f aca="false">IF(D997="","",IF(COUNTIFS($B$5:$B$2004,B997,$D$5:$D$2004,D997)&gt;1,"DUPLICATE",IF(ISNA(MATCH(D997,Players!$B$5:$B$304,0)),"UID not found",IF(INDEX(Players!$H$5:$H$304,MATCH(D997,Players!$B$5:$B$304,0))&lt;0,"LOW BALANCE","OK"))))</f>
        <v/>
      </c>
      <c r="G997" s="1"/>
      <c r="H997" s="1"/>
      <c r="I997" s="1"/>
    </row>
    <row r="998" customFormat="false" ht="21.75" hidden="false" customHeight="true" outlineLevel="0" collapsed="false">
      <c r="A998" s="1"/>
      <c r="B998" s="16"/>
      <c r="C998" s="16"/>
      <c r="D998" s="15"/>
      <c r="E998" s="11" t="str">
        <f aca="false">IF(D998="","",IFERROR(INDEX(Players!$C$5:$C$304,MATCH(D998,Players!$B$5:$B$304,0)),""))</f>
        <v/>
      </c>
      <c r="F998" s="22" t="str">
        <f aca="false">IF(D998="","",IF(COUNTIFS($B$5:$B$2004,B998,$D$5:$D$2004,D998)&gt;1,"DUPLICATE",IF(ISNA(MATCH(D998,Players!$B$5:$B$304,0)),"UID not found",IF(INDEX(Players!$H$5:$H$304,MATCH(D998,Players!$B$5:$B$304,0))&lt;0,"LOW BALANCE","OK"))))</f>
        <v/>
      </c>
      <c r="G998" s="1"/>
      <c r="H998" s="1"/>
      <c r="I998" s="1"/>
    </row>
    <row r="999" customFormat="false" ht="21.75" hidden="false" customHeight="true" outlineLevel="0" collapsed="false">
      <c r="A999" s="1"/>
      <c r="B999" s="16"/>
      <c r="C999" s="16"/>
      <c r="D999" s="15"/>
      <c r="E999" s="11" t="str">
        <f aca="false">IF(D999="","",IFERROR(INDEX(Players!$C$5:$C$304,MATCH(D999,Players!$B$5:$B$304,0)),""))</f>
        <v/>
      </c>
      <c r="F999" s="22" t="str">
        <f aca="false">IF(D999="","",IF(COUNTIFS($B$5:$B$2004,B999,$D$5:$D$2004,D999)&gt;1,"DUPLICATE",IF(ISNA(MATCH(D999,Players!$B$5:$B$304,0)),"UID not found",IF(INDEX(Players!$H$5:$H$304,MATCH(D999,Players!$B$5:$B$304,0))&lt;0,"LOW BALANCE","OK"))))</f>
        <v/>
      </c>
      <c r="G999" s="1"/>
      <c r="H999" s="1"/>
      <c r="I999" s="1"/>
    </row>
    <row r="1000" customFormat="false" ht="21.75" hidden="false" customHeight="true" outlineLevel="0" collapsed="false">
      <c r="A1000" s="1"/>
      <c r="B1000" s="16"/>
      <c r="C1000" s="16"/>
      <c r="D1000" s="15"/>
      <c r="E1000" s="11" t="str">
        <f aca="false">IF(D1000="","",IFERROR(INDEX(Players!$C$5:$C$304,MATCH(D1000,Players!$B$5:$B$304,0)),""))</f>
        <v/>
      </c>
      <c r="F1000" s="22" t="str">
        <f aca="false">IF(D1000="","",IF(COUNTIFS($B$5:$B$2004,B1000,$D$5:$D$2004,D1000)&gt;1,"DUPLICATE",IF(ISNA(MATCH(D1000,Players!$B$5:$B$304,0)),"UID not found",IF(INDEX(Players!$H$5:$H$304,MATCH(D1000,Players!$B$5:$B$304,0))&lt;0,"LOW BALANCE","OK"))))</f>
        <v/>
      </c>
      <c r="G1000" s="1"/>
      <c r="H1000" s="1"/>
      <c r="I1000" s="1"/>
    </row>
    <row r="1001" customFormat="false" ht="21.75" hidden="false" customHeight="true" outlineLevel="0" collapsed="false">
      <c r="A1001" s="1"/>
      <c r="B1001" s="16"/>
      <c r="C1001" s="16"/>
      <c r="D1001" s="15"/>
      <c r="E1001" s="11" t="str">
        <f aca="false">IF(D1001="","",IFERROR(INDEX(Players!$C$5:$C$304,MATCH(D1001,Players!$B$5:$B$304,0)),""))</f>
        <v/>
      </c>
      <c r="F1001" s="22" t="str">
        <f aca="false">IF(D1001="","",IF(COUNTIFS($B$5:$B$2004,B1001,$D$5:$D$2004,D1001)&gt;1,"DUPLICATE",IF(ISNA(MATCH(D1001,Players!$B$5:$B$304,0)),"UID not found",IF(INDEX(Players!$H$5:$H$304,MATCH(D1001,Players!$B$5:$B$304,0))&lt;0,"LOW BALANCE","OK"))))</f>
        <v/>
      </c>
      <c r="G1001" s="1"/>
      <c r="H1001" s="1"/>
      <c r="I1001" s="1"/>
    </row>
    <row r="1002" customFormat="false" ht="21.75" hidden="false" customHeight="true" outlineLevel="0" collapsed="false">
      <c r="A1002" s="1"/>
      <c r="B1002" s="16"/>
      <c r="C1002" s="16"/>
      <c r="D1002" s="15"/>
      <c r="E1002" s="11" t="str">
        <f aca="false">IF(D1002="","",IFERROR(INDEX(Players!$C$5:$C$304,MATCH(D1002,Players!$B$5:$B$304,0)),""))</f>
        <v/>
      </c>
      <c r="F1002" s="22" t="str">
        <f aca="false">IF(D1002="","",IF(COUNTIFS($B$5:$B$2004,B1002,$D$5:$D$2004,D1002)&gt;1,"DUPLICATE",IF(ISNA(MATCH(D1002,Players!$B$5:$B$304,0)),"UID not found",IF(INDEX(Players!$H$5:$H$304,MATCH(D1002,Players!$B$5:$B$304,0))&lt;0,"LOW BALANCE","OK"))))</f>
        <v/>
      </c>
      <c r="G1002" s="1"/>
      <c r="H1002" s="1"/>
      <c r="I1002" s="1"/>
    </row>
    <row r="1003" customFormat="false" ht="21.75" hidden="false" customHeight="true" outlineLevel="0" collapsed="false">
      <c r="A1003" s="1"/>
      <c r="B1003" s="16"/>
      <c r="C1003" s="16"/>
      <c r="D1003" s="15"/>
      <c r="E1003" s="11" t="str">
        <f aca="false">IF(D1003="","",IFERROR(INDEX(Players!$C$5:$C$304,MATCH(D1003,Players!$B$5:$B$304,0)),""))</f>
        <v/>
      </c>
      <c r="F1003" s="22" t="str">
        <f aca="false">IF(D1003="","",IF(COUNTIFS($B$5:$B$2004,B1003,$D$5:$D$2004,D1003)&gt;1,"DUPLICATE",IF(ISNA(MATCH(D1003,Players!$B$5:$B$304,0)),"UID not found",IF(INDEX(Players!$H$5:$H$304,MATCH(D1003,Players!$B$5:$B$304,0))&lt;0,"LOW BALANCE","OK"))))</f>
        <v/>
      </c>
      <c r="G1003" s="1"/>
      <c r="H1003" s="1"/>
      <c r="I1003" s="1"/>
    </row>
    <row r="1004" customFormat="false" ht="21.75" hidden="false" customHeight="true" outlineLevel="0" collapsed="false">
      <c r="A1004" s="1"/>
      <c r="B1004" s="16"/>
      <c r="C1004" s="16"/>
      <c r="D1004" s="15"/>
      <c r="E1004" s="11" t="str">
        <f aca="false">IF(D1004="","",IFERROR(INDEX(Players!$C$5:$C$304,MATCH(D1004,Players!$B$5:$B$304,0)),""))</f>
        <v/>
      </c>
      <c r="F1004" s="22" t="str">
        <f aca="false">IF(D1004="","",IF(COUNTIFS($B$5:$B$2004,B1004,$D$5:$D$2004,D1004)&gt;1,"DUPLICATE",IF(ISNA(MATCH(D1004,Players!$B$5:$B$304,0)),"UID not found",IF(INDEX(Players!$H$5:$H$304,MATCH(D1004,Players!$B$5:$B$304,0))&lt;0,"LOW BALANCE","OK"))))</f>
        <v/>
      </c>
      <c r="G1004" s="1"/>
      <c r="H1004" s="1"/>
      <c r="I1004" s="1"/>
    </row>
    <row r="1005" customFormat="false" ht="21.75" hidden="false" customHeight="true" outlineLevel="0" collapsed="false">
      <c r="A1005" s="1"/>
      <c r="B1005" s="16"/>
      <c r="C1005" s="16"/>
      <c r="D1005" s="15"/>
      <c r="E1005" s="11" t="str">
        <f aca="false">IF(D1005="","",IFERROR(INDEX(Players!$C$5:$C$304,MATCH(D1005,Players!$B$5:$B$304,0)),""))</f>
        <v/>
      </c>
      <c r="F1005" s="22" t="str">
        <f aca="false">IF(D1005="","",IF(COUNTIFS($B$5:$B$2004,B1005,$D$5:$D$2004,D1005)&gt;1,"DUPLICATE",IF(ISNA(MATCH(D1005,Players!$B$5:$B$304,0)),"UID not found",IF(INDEX(Players!$H$5:$H$304,MATCH(D1005,Players!$B$5:$B$304,0))&lt;0,"LOW BALANCE","OK"))))</f>
        <v/>
      </c>
      <c r="G1005" s="1"/>
      <c r="H1005" s="1"/>
      <c r="I1005" s="1"/>
    </row>
    <row r="1006" customFormat="false" ht="21.75" hidden="false" customHeight="true" outlineLevel="0" collapsed="false">
      <c r="A1006" s="1"/>
      <c r="B1006" s="16"/>
      <c r="C1006" s="16"/>
      <c r="D1006" s="15"/>
      <c r="E1006" s="11" t="str">
        <f aca="false">IF(D1006="","",IFERROR(INDEX(Players!$C$5:$C$304,MATCH(D1006,Players!$B$5:$B$304,0)),""))</f>
        <v/>
      </c>
      <c r="F1006" s="22" t="str">
        <f aca="false">IF(D1006="","",IF(COUNTIFS($B$5:$B$2004,B1006,$D$5:$D$2004,D1006)&gt;1,"DUPLICATE",IF(ISNA(MATCH(D1006,Players!$B$5:$B$304,0)),"UID not found",IF(INDEX(Players!$H$5:$H$304,MATCH(D1006,Players!$B$5:$B$304,0))&lt;0,"LOW BALANCE","OK"))))</f>
        <v/>
      </c>
      <c r="G1006" s="1"/>
      <c r="H1006" s="1"/>
      <c r="I1006" s="1"/>
    </row>
    <row r="1007" customFormat="false" ht="21.75" hidden="false" customHeight="true" outlineLevel="0" collapsed="false">
      <c r="A1007" s="1"/>
      <c r="B1007" s="16"/>
      <c r="C1007" s="16"/>
      <c r="D1007" s="15"/>
      <c r="E1007" s="11" t="str">
        <f aca="false">IF(D1007="","",IFERROR(INDEX(Players!$C$5:$C$304,MATCH(D1007,Players!$B$5:$B$304,0)),""))</f>
        <v/>
      </c>
      <c r="F1007" s="22" t="str">
        <f aca="false">IF(D1007="","",IF(COUNTIFS($B$5:$B$2004,B1007,$D$5:$D$2004,D1007)&gt;1,"DUPLICATE",IF(ISNA(MATCH(D1007,Players!$B$5:$B$304,0)),"UID not found",IF(INDEX(Players!$H$5:$H$304,MATCH(D1007,Players!$B$5:$B$304,0))&lt;0,"LOW BALANCE","OK"))))</f>
        <v/>
      </c>
      <c r="G1007" s="1"/>
      <c r="H1007" s="1"/>
      <c r="I1007" s="1"/>
    </row>
    <row r="1008" customFormat="false" ht="21.75" hidden="false" customHeight="true" outlineLevel="0" collapsed="false">
      <c r="A1008" s="1"/>
      <c r="B1008" s="16"/>
      <c r="C1008" s="16"/>
      <c r="D1008" s="15"/>
      <c r="E1008" s="11" t="str">
        <f aca="false">IF(D1008="","",IFERROR(INDEX(Players!$C$5:$C$304,MATCH(D1008,Players!$B$5:$B$304,0)),""))</f>
        <v/>
      </c>
      <c r="F1008" s="22" t="str">
        <f aca="false">IF(D1008="","",IF(COUNTIFS($B$5:$B$2004,B1008,$D$5:$D$2004,D1008)&gt;1,"DUPLICATE",IF(ISNA(MATCH(D1008,Players!$B$5:$B$304,0)),"UID not found",IF(INDEX(Players!$H$5:$H$304,MATCH(D1008,Players!$B$5:$B$304,0))&lt;0,"LOW BALANCE","OK"))))</f>
        <v/>
      </c>
      <c r="G1008" s="1"/>
      <c r="H1008" s="1"/>
      <c r="I1008" s="1"/>
    </row>
    <row r="1009" customFormat="false" ht="21.75" hidden="false" customHeight="true" outlineLevel="0" collapsed="false">
      <c r="A1009" s="1"/>
      <c r="B1009" s="16"/>
      <c r="C1009" s="16"/>
      <c r="D1009" s="15"/>
      <c r="E1009" s="11" t="str">
        <f aca="false">IF(D1009="","",IFERROR(INDEX(Players!$C$5:$C$304,MATCH(D1009,Players!$B$5:$B$304,0)),""))</f>
        <v/>
      </c>
      <c r="F1009" s="22" t="str">
        <f aca="false">IF(D1009="","",IF(COUNTIFS($B$5:$B$2004,B1009,$D$5:$D$2004,D1009)&gt;1,"DUPLICATE",IF(ISNA(MATCH(D1009,Players!$B$5:$B$304,0)),"UID not found",IF(INDEX(Players!$H$5:$H$304,MATCH(D1009,Players!$B$5:$B$304,0))&lt;0,"LOW BALANCE","OK"))))</f>
        <v/>
      </c>
      <c r="G1009" s="1"/>
      <c r="H1009" s="1"/>
      <c r="I1009" s="1"/>
    </row>
    <row r="1010" customFormat="false" ht="21.75" hidden="false" customHeight="true" outlineLevel="0" collapsed="false">
      <c r="A1010" s="1"/>
      <c r="B1010" s="16"/>
      <c r="C1010" s="16"/>
      <c r="D1010" s="15"/>
      <c r="E1010" s="11" t="str">
        <f aca="false">IF(D1010="","",IFERROR(INDEX(Players!$C$5:$C$304,MATCH(D1010,Players!$B$5:$B$304,0)),""))</f>
        <v/>
      </c>
      <c r="F1010" s="22" t="str">
        <f aca="false">IF(D1010="","",IF(COUNTIFS($B$5:$B$2004,B1010,$D$5:$D$2004,D1010)&gt;1,"DUPLICATE",IF(ISNA(MATCH(D1010,Players!$B$5:$B$304,0)),"UID not found",IF(INDEX(Players!$H$5:$H$304,MATCH(D1010,Players!$B$5:$B$304,0))&lt;0,"LOW BALANCE","OK"))))</f>
        <v/>
      </c>
      <c r="G1010" s="1"/>
      <c r="H1010" s="1"/>
      <c r="I1010" s="1"/>
    </row>
    <row r="1011" customFormat="false" ht="21.75" hidden="false" customHeight="true" outlineLevel="0" collapsed="false">
      <c r="A1011" s="1"/>
      <c r="B1011" s="16"/>
      <c r="C1011" s="16"/>
      <c r="D1011" s="15"/>
      <c r="E1011" s="11" t="str">
        <f aca="false">IF(D1011="","",IFERROR(INDEX(Players!$C$5:$C$304,MATCH(D1011,Players!$B$5:$B$304,0)),""))</f>
        <v/>
      </c>
      <c r="F1011" s="22" t="str">
        <f aca="false">IF(D1011="","",IF(COUNTIFS($B$5:$B$2004,B1011,$D$5:$D$2004,D1011)&gt;1,"DUPLICATE",IF(ISNA(MATCH(D1011,Players!$B$5:$B$304,0)),"UID not found",IF(INDEX(Players!$H$5:$H$304,MATCH(D1011,Players!$B$5:$B$304,0))&lt;0,"LOW BALANCE","OK"))))</f>
        <v/>
      </c>
      <c r="G1011" s="1"/>
      <c r="H1011" s="1"/>
      <c r="I1011" s="1"/>
    </row>
    <row r="1012" customFormat="false" ht="21.75" hidden="false" customHeight="true" outlineLevel="0" collapsed="false">
      <c r="A1012" s="1"/>
      <c r="B1012" s="16"/>
      <c r="C1012" s="16"/>
      <c r="D1012" s="15"/>
      <c r="E1012" s="11" t="str">
        <f aca="false">IF(D1012="","",IFERROR(INDEX(Players!$C$5:$C$304,MATCH(D1012,Players!$B$5:$B$304,0)),""))</f>
        <v/>
      </c>
      <c r="F1012" s="22" t="str">
        <f aca="false">IF(D1012="","",IF(COUNTIFS($B$5:$B$2004,B1012,$D$5:$D$2004,D1012)&gt;1,"DUPLICATE",IF(ISNA(MATCH(D1012,Players!$B$5:$B$304,0)),"UID not found",IF(INDEX(Players!$H$5:$H$304,MATCH(D1012,Players!$B$5:$B$304,0))&lt;0,"LOW BALANCE","OK"))))</f>
        <v/>
      </c>
      <c r="G1012" s="1"/>
      <c r="H1012" s="1"/>
      <c r="I1012" s="1"/>
    </row>
    <row r="1013" customFormat="false" ht="21.75" hidden="false" customHeight="true" outlineLevel="0" collapsed="false">
      <c r="A1013" s="1"/>
      <c r="B1013" s="16"/>
      <c r="C1013" s="16"/>
      <c r="D1013" s="15"/>
      <c r="E1013" s="11" t="str">
        <f aca="false">IF(D1013="","",IFERROR(INDEX(Players!$C$5:$C$304,MATCH(D1013,Players!$B$5:$B$304,0)),""))</f>
        <v/>
      </c>
      <c r="F1013" s="22" t="str">
        <f aca="false">IF(D1013="","",IF(COUNTIFS($B$5:$B$2004,B1013,$D$5:$D$2004,D1013)&gt;1,"DUPLICATE",IF(ISNA(MATCH(D1013,Players!$B$5:$B$304,0)),"UID not found",IF(INDEX(Players!$H$5:$H$304,MATCH(D1013,Players!$B$5:$B$304,0))&lt;0,"LOW BALANCE","OK"))))</f>
        <v/>
      </c>
      <c r="G1013" s="1"/>
      <c r="H1013" s="1"/>
      <c r="I1013" s="1"/>
    </row>
    <row r="1014" customFormat="false" ht="21.75" hidden="false" customHeight="true" outlineLevel="0" collapsed="false">
      <c r="A1014" s="1"/>
      <c r="B1014" s="16"/>
      <c r="C1014" s="16"/>
      <c r="D1014" s="15"/>
      <c r="E1014" s="11" t="str">
        <f aca="false">IF(D1014="","",IFERROR(INDEX(Players!$C$5:$C$304,MATCH(D1014,Players!$B$5:$B$304,0)),""))</f>
        <v/>
      </c>
      <c r="F1014" s="22" t="str">
        <f aca="false">IF(D1014="","",IF(COUNTIFS($B$5:$B$2004,B1014,$D$5:$D$2004,D1014)&gt;1,"DUPLICATE",IF(ISNA(MATCH(D1014,Players!$B$5:$B$304,0)),"UID not found",IF(INDEX(Players!$H$5:$H$304,MATCH(D1014,Players!$B$5:$B$304,0))&lt;0,"LOW BALANCE","OK"))))</f>
        <v/>
      </c>
      <c r="G1014" s="1"/>
      <c r="H1014" s="1"/>
      <c r="I1014" s="1"/>
    </row>
    <row r="1015" customFormat="false" ht="21.75" hidden="false" customHeight="true" outlineLevel="0" collapsed="false">
      <c r="A1015" s="1"/>
      <c r="B1015" s="16"/>
      <c r="C1015" s="16"/>
      <c r="D1015" s="15"/>
      <c r="E1015" s="11" t="str">
        <f aca="false">IF(D1015="","",IFERROR(INDEX(Players!$C$5:$C$304,MATCH(D1015,Players!$B$5:$B$304,0)),""))</f>
        <v/>
      </c>
      <c r="F1015" s="22" t="str">
        <f aca="false">IF(D1015="","",IF(COUNTIFS($B$5:$B$2004,B1015,$D$5:$D$2004,D1015)&gt;1,"DUPLICATE",IF(ISNA(MATCH(D1015,Players!$B$5:$B$304,0)),"UID not found",IF(INDEX(Players!$H$5:$H$304,MATCH(D1015,Players!$B$5:$B$304,0))&lt;0,"LOW BALANCE","OK"))))</f>
        <v/>
      </c>
      <c r="G1015" s="1"/>
      <c r="H1015" s="1"/>
      <c r="I1015" s="1"/>
    </row>
    <row r="1016" customFormat="false" ht="21.75" hidden="false" customHeight="true" outlineLevel="0" collapsed="false">
      <c r="A1016" s="1"/>
      <c r="B1016" s="16"/>
      <c r="C1016" s="16"/>
      <c r="D1016" s="15"/>
      <c r="E1016" s="11" t="str">
        <f aca="false">IF(D1016="","",IFERROR(INDEX(Players!$C$5:$C$304,MATCH(D1016,Players!$B$5:$B$304,0)),""))</f>
        <v/>
      </c>
      <c r="F1016" s="22" t="str">
        <f aca="false">IF(D1016="","",IF(COUNTIFS($B$5:$B$2004,B1016,$D$5:$D$2004,D1016)&gt;1,"DUPLICATE",IF(ISNA(MATCH(D1016,Players!$B$5:$B$304,0)),"UID not found",IF(INDEX(Players!$H$5:$H$304,MATCH(D1016,Players!$B$5:$B$304,0))&lt;0,"LOW BALANCE","OK"))))</f>
        <v/>
      </c>
      <c r="G1016" s="1"/>
      <c r="H1016" s="1"/>
      <c r="I1016" s="1"/>
    </row>
    <row r="1017" customFormat="false" ht="21.75" hidden="false" customHeight="true" outlineLevel="0" collapsed="false">
      <c r="A1017" s="1"/>
      <c r="B1017" s="16"/>
      <c r="C1017" s="16"/>
      <c r="D1017" s="15"/>
      <c r="E1017" s="11" t="str">
        <f aca="false">IF(D1017="","",IFERROR(INDEX(Players!$C$5:$C$304,MATCH(D1017,Players!$B$5:$B$304,0)),""))</f>
        <v/>
      </c>
      <c r="F1017" s="22" t="str">
        <f aca="false">IF(D1017="","",IF(COUNTIFS($B$5:$B$2004,B1017,$D$5:$D$2004,D1017)&gt;1,"DUPLICATE",IF(ISNA(MATCH(D1017,Players!$B$5:$B$304,0)),"UID not found",IF(INDEX(Players!$H$5:$H$304,MATCH(D1017,Players!$B$5:$B$304,0))&lt;0,"LOW BALANCE","OK"))))</f>
        <v/>
      </c>
      <c r="G1017" s="1"/>
      <c r="H1017" s="1"/>
      <c r="I1017" s="1"/>
    </row>
    <row r="1018" customFormat="false" ht="21.75" hidden="false" customHeight="true" outlineLevel="0" collapsed="false">
      <c r="A1018" s="1"/>
      <c r="B1018" s="16"/>
      <c r="C1018" s="16"/>
      <c r="D1018" s="15"/>
      <c r="E1018" s="11" t="str">
        <f aca="false">IF(D1018="","",IFERROR(INDEX(Players!$C$5:$C$304,MATCH(D1018,Players!$B$5:$B$304,0)),""))</f>
        <v/>
      </c>
      <c r="F1018" s="22" t="str">
        <f aca="false">IF(D1018="","",IF(COUNTIFS($B$5:$B$2004,B1018,$D$5:$D$2004,D1018)&gt;1,"DUPLICATE",IF(ISNA(MATCH(D1018,Players!$B$5:$B$304,0)),"UID not found",IF(INDEX(Players!$H$5:$H$304,MATCH(D1018,Players!$B$5:$B$304,0))&lt;0,"LOW BALANCE","OK"))))</f>
        <v/>
      </c>
      <c r="G1018" s="1"/>
      <c r="H1018" s="1"/>
      <c r="I1018" s="1"/>
    </row>
    <row r="1019" customFormat="false" ht="21.75" hidden="false" customHeight="true" outlineLevel="0" collapsed="false">
      <c r="A1019" s="1"/>
      <c r="B1019" s="16"/>
      <c r="C1019" s="16"/>
      <c r="D1019" s="15"/>
      <c r="E1019" s="11" t="str">
        <f aca="false">IF(D1019="","",IFERROR(INDEX(Players!$C$5:$C$304,MATCH(D1019,Players!$B$5:$B$304,0)),""))</f>
        <v/>
      </c>
      <c r="F1019" s="22" t="str">
        <f aca="false">IF(D1019="","",IF(COUNTIFS($B$5:$B$2004,B1019,$D$5:$D$2004,D1019)&gt;1,"DUPLICATE",IF(ISNA(MATCH(D1019,Players!$B$5:$B$304,0)),"UID not found",IF(INDEX(Players!$H$5:$H$304,MATCH(D1019,Players!$B$5:$B$304,0))&lt;0,"LOW BALANCE","OK"))))</f>
        <v/>
      </c>
      <c r="G1019" s="1"/>
      <c r="H1019" s="1"/>
      <c r="I1019" s="1"/>
    </row>
    <row r="1020" customFormat="false" ht="21.75" hidden="false" customHeight="true" outlineLevel="0" collapsed="false">
      <c r="A1020" s="1"/>
      <c r="B1020" s="16"/>
      <c r="C1020" s="16"/>
      <c r="D1020" s="15"/>
      <c r="E1020" s="11" t="str">
        <f aca="false">IF(D1020="","",IFERROR(INDEX(Players!$C$5:$C$304,MATCH(D1020,Players!$B$5:$B$304,0)),""))</f>
        <v/>
      </c>
      <c r="F1020" s="22" t="str">
        <f aca="false">IF(D1020="","",IF(COUNTIFS($B$5:$B$2004,B1020,$D$5:$D$2004,D1020)&gt;1,"DUPLICATE",IF(ISNA(MATCH(D1020,Players!$B$5:$B$304,0)),"UID not found",IF(INDEX(Players!$H$5:$H$304,MATCH(D1020,Players!$B$5:$B$304,0))&lt;0,"LOW BALANCE","OK"))))</f>
        <v/>
      </c>
      <c r="G1020" s="1"/>
      <c r="H1020" s="1"/>
      <c r="I1020" s="1"/>
    </row>
    <row r="1021" customFormat="false" ht="21.75" hidden="false" customHeight="true" outlineLevel="0" collapsed="false">
      <c r="A1021" s="1"/>
      <c r="B1021" s="16"/>
      <c r="C1021" s="16"/>
      <c r="D1021" s="15"/>
      <c r="E1021" s="11" t="str">
        <f aca="false">IF(D1021="","",IFERROR(INDEX(Players!$C$5:$C$304,MATCH(D1021,Players!$B$5:$B$304,0)),""))</f>
        <v/>
      </c>
      <c r="F1021" s="22" t="str">
        <f aca="false">IF(D1021="","",IF(COUNTIFS($B$5:$B$2004,B1021,$D$5:$D$2004,D1021)&gt;1,"DUPLICATE",IF(ISNA(MATCH(D1021,Players!$B$5:$B$304,0)),"UID not found",IF(INDEX(Players!$H$5:$H$304,MATCH(D1021,Players!$B$5:$B$304,0))&lt;0,"LOW BALANCE","OK"))))</f>
        <v/>
      </c>
      <c r="G1021" s="1"/>
      <c r="H1021" s="1"/>
      <c r="I1021" s="1"/>
    </row>
    <row r="1022" customFormat="false" ht="21.75" hidden="false" customHeight="true" outlineLevel="0" collapsed="false">
      <c r="A1022" s="1"/>
      <c r="B1022" s="16"/>
      <c r="C1022" s="16"/>
      <c r="D1022" s="15"/>
      <c r="E1022" s="11" t="str">
        <f aca="false">IF(D1022="","",IFERROR(INDEX(Players!$C$5:$C$304,MATCH(D1022,Players!$B$5:$B$304,0)),""))</f>
        <v/>
      </c>
      <c r="F1022" s="22" t="str">
        <f aca="false">IF(D1022="","",IF(COUNTIFS($B$5:$B$2004,B1022,$D$5:$D$2004,D1022)&gt;1,"DUPLICATE",IF(ISNA(MATCH(D1022,Players!$B$5:$B$304,0)),"UID not found",IF(INDEX(Players!$H$5:$H$304,MATCH(D1022,Players!$B$5:$B$304,0))&lt;0,"LOW BALANCE","OK"))))</f>
        <v/>
      </c>
      <c r="G1022" s="1"/>
      <c r="H1022" s="1"/>
      <c r="I1022" s="1"/>
    </row>
    <row r="1023" customFormat="false" ht="21.75" hidden="false" customHeight="true" outlineLevel="0" collapsed="false">
      <c r="A1023" s="1"/>
      <c r="B1023" s="16"/>
      <c r="C1023" s="16"/>
      <c r="D1023" s="15"/>
      <c r="E1023" s="11" t="str">
        <f aca="false">IF(D1023="","",IFERROR(INDEX(Players!$C$5:$C$304,MATCH(D1023,Players!$B$5:$B$304,0)),""))</f>
        <v/>
      </c>
      <c r="F1023" s="22" t="str">
        <f aca="false">IF(D1023="","",IF(COUNTIFS($B$5:$B$2004,B1023,$D$5:$D$2004,D1023)&gt;1,"DUPLICATE",IF(ISNA(MATCH(D1023,Players!$B$5:$B$304,0)),"UID not found",IF(INDEX(Players!$H$5:$H$304,MATCH(D1023,Players!$B$5:$B$304,0))&lt;0,"LOW BALANCE","OK"))))</f>
        <v/>
      </c>
      <c r="G1023" s="1"/>
      <c r="H1023" s="1"/>
      <c r="I1023" s="1"/>
    </row>
    <row r="1024" customFormat="false" ht="21.75" hidden="false" customHeight="true" outlineLevel="0" collapsed="false">
      <c r="A1024" s="1"/>
      <c r="B1024" s="16"/>
      <c r="C1024" s="16"/>
      <c r="D1024" s="15"/>
      <c r="E1024" s="11" t="str">
        <f aca="false">IF(D1024="","",IFERROR(INDEX(Players!$C$5:$C$304,MATCH(D1024,Players!$B$5:$B$304,0)),""))</f>
        <v/>
      </c>
      <c r="F1024" s="22" t="str">
        <f aca="false">IF(D1024="","",IF(COUNTIFS($B$5:$B$2004,B1024,$D$5:$D$2004,D1024)&gt;1,"DUPLICATE",IF(ISNA(MATCH(D1024,Players!$B$5:$B$304,0)),"UID not found",IF(INDEX(Players!$H$5:$H$304,MATCH(D1024,Players!$B$5:$B$304,0))&lt;0,"LOW BALANCE","OK"))))</f>
        <v/>
      </c>
      <c r="G1024" s="1"/>
      <c r="H1024" s="1"/>
      <c r="I1024" s="1"/>
    </row>
    <row r="1025" customFormat="false" ht="21.75" hidden="false" customHeight="true" outlineLevel="0" collapsed="false">
      <c r="A1025" s="1"/>
      <c r="B1025" s="16"/>
      <c r="C1025" s="16"/>
      <c r="D1025" s="15"/>
      <c r="E1025" s="11" t="str">
        <f aca="false">IF(D1025="","",IFERROR(INDEX(Players!$C$5:$C$304,MATCH(D1025,Players!$B$5:$B$304,0)),""))</f>
        <v/>
      </c>
      <c r="F1025" s="22" t="str">
        <f aca="false">IF(D1025="","",IF(COUNTIFS($B$5:$B$2004,B1025,$D$5:$D$2004,D1025)&gt;1,"DUPLICATE",IF(ISNA(MATCH(D1025,Players!$B$5:$B$304,0)),"UID not found",IF(INDEX(Players!$H$5:$H$304,MATCH(D1025,Players!$B$5:$B$304,0))&lt;0,"LOW BALANCE","OK"))))</f>
        <v/>
      </c>
      <c r="G1025" s="1"/>
      <c r="H1025" s="1"/>
      <c r="I1025" s="1"/>
    </row>
    <row r="1026" customFormat="false" ht="21.75" hidden="false" customHeight="true" outlineLevel="0" collapsed="false">
      <c r="A1026" s="1"/>
      <c r="B1026" s="16"/>
      <c r="C1026" s="16"/>
      <c r="D1026" s="15"/>
      <c r="E1026" s="11" t="str">
        <f aca="false">IF(D1026="","",IFERROR(INDEX(Players!$C$5:$C$304,MATCH(D1026,Players!$B$5:$B$304,0)),""))</f>
        <v/>
      </c>
      <c r="F1026" s="22" t="str">
        <f aca="false">IF(D1026="","",IF(COUNTIFS($B$5:$B$2004,B1026,$D$5:$D$2004,D1026)&gt;1,"DUPLICATE",IF(ISNA(MATCH(D1026,Players!$B$5:$B$304,0)),"UID not found",IF(INDEX(Players!$H$5:$H$304,MATCH(D1026,Players!$B$5:$B$304,0))&lt;0,"LOW BALANCE","OK"))))</f>
        <v/>
      </c>
      <c r="G1026" s="1"/>
      <c r="H1026" s="1"/>
      <c r="I1026" s="1"/>
    </row>
    <row r="1027" customFormat="false" ht="21.75" hidden="false" customHeight="true" outlineLevel="0" collapsed="false">
      <c r="A1027" s="1"/>
      <c r="B1027" s="16"/>
      <c r="C1027" s="16"/>
      <c r="D1027" s="15"/>
      <c r="E1027" s="11" t="str">
        <f aca="false">IF(D1027="","",IFERROR(INDEX(Players!$C$5:$C$304,MATCH(D1027,Players!$B$5:$B$304,0)),""))</f>
        <v/>
      </c>
      <c r="F1027" s="22" t="str">
        <f aca="false">IF(D1027="","",IF(COUNTIFS($B$5:$B$2004,B1027,$D$5:$D$2004,D1027)&gt;1,"DUPLICATE",IF(ISNA(MATCH(D1027,Players!$B$5:$B$304,0)),"UID not found",IF(INDEX(Players!$H$5:$H$304,MATCH(D1027,Players!$B$5:$B$304,0))&lt;0,"LOW BALANCE","OK"))))</f>
        <v/>
      </c>
      <c r="G1027" s="1"/>
      <c r="H1027" s="1"/>
      <c r="I1027" s="1"/>
    </row>
    <row r="1028" customFormat="false" ht="21.75" hidden="false" customHeight="true" outlineLevel="0" collapsed="false">
      <c r="A1028" s="1"/>
      <c r="B1028" s="16"/>
      <c r="C1028" s="16"/>
      <c r="D1028" s="15"/>
      <c r="E1028" s="11" t="str">
        <f aca="false">IF(D1028="","",IFERROR(INDEX(Players!$C$5:$C$304,MATCH(D1028,Players!$B$5:$B$304,0)),""))</f>
        <v/>
      </c>
      <c r="F1028" s="22" t="str">
        <f aca="false">IF(D1028="","",IF(COUNTIFS($B$5:$B$2004,B1028,$D$5:$D$2004,D1028)&gt;1,"DUPLICATE",IF(ISNA(MATCH(D1028,Players!$B$5:$B$304,0)),"UID not found",IF(INDEX(Players!$H$5:$H$304,MATCH(D1028,Players!$B$5:$B$304,0))&lt;0,"LOW BALANCE","OK"))))</f>
        <v/>
      </c>
      <c r="G1028" s="1"/>
      <c r="H1028" s="1"/>
      <c r="I1028" s="1"/>
    </row>
    <row r="1029" customFormat="false" ht="21.75" hidden="false" customHeight="true" outlineLevel="0" collapsed="false">
      <c r="A1029" s="1"/>
      <c r="B1029" s="16"/>
      <c r="C1029" s="16"/>
      <c r="D1029" s="15"/>
      <c r="E1029" s="11" t="str">
        <f aca="false">IF(D1029="","",IFERROR(INDEX(Players!$C$5:$C$304,MATCH(D1029,Players!$B$5:$B$304,0)),""))</f>
        <v/>
      </c>
      <c r="F1029" s="22" t="str">
        <f aca="false">IF(D1029="","",IF(COUNTIFS($B$5:$B$2004,B1029,$D$5:$D$2004,D1029)&gt;1,"DUPLICATE",IF(ISNA(MATCH(D1029,Players!$B$5:$B$304,0)),"UID not found",IF(INDEX(Players!$H$5:$H$304,MATCH(D1029,Players!$B$5:$B$304,0))&lt;0,"LOW BALANCE","OK"))))</f>
        <v/>
      </c>
      <c r="G1029" s="1"/>
      <c r="H1029" s="1"/>
      <c r="I1029" s="1"/>
    </row>
    <row r="1030" customFormat="false" ht="21.75" hidden="false" customHeight="true" outlineLevel="0" collapsed="false">
      <c r="A1030" s="1"/>
      <c r="B1030" s="16"/>
      <c r="C1030" s="16"/>
      <c r="D1030" s="15"/>
      <c r="E1030" s="11" t="str">
        <f aca="false">IF(D1030="","",IFERROR(INDEX(Players!$C$5:$C$304,MATCH(D1030,Players!$B$5:$B$304,0)),""))</f>
        <v/>
      </c>
      <c r="F1030" s="22" t="str">
        <f aca="false">IF(D1030="","",IF(COUNTIFS($B$5:$B$2004,B1030,$D$5:$D$2004,D1030)&gt;1,"DUPLICATE",IF(ISNA(MATCH(D1030,Players!$B$5:$B$304,0)),"UID not found",IF(INDEX(Players!$H$5:$H$304,MATCH(D1030,Players!$B$5:$B$304,0))&lt;0,"LOW BALANCE","OK"))))</f>
        <v/>
      </c>
      <c r="G1030" s="1"/>
      <c r="H1030" s="1"/>
      <c r="I1030" s="1"/>
    </row>
    <row r="1031" customFormat="false" ht="21.75" hidden="false" customHeight="true" outlineLevel="0" collapsed="false">
      <c r="A1031" s="1"/>
      <c r="B1031" s="16"/>
      <c r="C1031" s="16"/>
      <c r="D1031" s="15"/>
      <c r="E1031" s="11" t="str">
        <f aca="false">IF(D1031="","",IFERROR(INDEX(Players!$C$5:$C$304,MATCH(D1031,Players!$B$5:$B$304,0)),""))</f>
        <v/>
      </c>
      <c r="F1031" s="22" t="str">
        <f aca="false">IF(D1031="","",IF(COUNTIFS($B$5:$B$2004,B1031,$D$5:$D$2004,D1031)&gt;1,"DUPLICATE",IF(ISNA(MATCH(D1031,Players!$B$5:$B$304,0)),"UID not found",IF(INDEX(Players!$H$5:$H$304,MATCH(D1031,Players!$B$5:$B$304,0))&lt;0,"LOW BALANCE","OK"))))</f>
        <v/>
      </c>
      <c r="G1031" s="1"/>
      <c r="H1031" s="1"/>
      <c r="I1031" s="1"/>
    </row>
    <row r="1032" customFormat="false" ht="21.75" hidden="false" customHeight="true" outlineLevel="0" collapsed="false">
      <c r="A1032" s="1"/>
      <c r="B1032" s="16"/>
      <c r="C1032" s="16"/>
      <c r="D1032" s="15"/>
      <c r="E1032" s="11" t="str">
        <f aca="false">IF(D1032="","",IFERROR(INDEX(Players!$C$5:$C$304,MATCH(D1032,Players!$B$5:$B$304,0)),""))</f>
        <v/>
      </c>
      <c r="F1032" s="22" t="str">
        <f aca="false">IF(D1032="","",IF(COUNTIFS($B$5:$B$2004,B1032,$D$5:$D$2004,D1032)&gt;1,"DUPLICATE",IF(ISNA(MATCH(D1032,Players!$B$5:$B$304,0)),"UID not found",IF(INDEX(Players!$H$5:$H$304,MATCH(D1032,Players!$B$5:$B$304,0))&lt;0,"LOW BALANCE","OK"))))</f>
        <v/>
      </c>
      <c r="G1032" s="1"/>
      <c r="H1032" s="1"/>
      <c r="I1032" s="1"/>
    </row>
    <row r="1033" customFormat="false" ht="21.75" hidden="false" customHeight="true" outlineLevel="0" collapsed="false">
      <c r="A1033" s="1"/>
      <c r="B1033" s="16"/>
      <c r="C1033" s="16"/>
      <c r="D1033" s="15"/>
      <c r="E1033" s="11" t="str">
        <f aca="false">IF(D1033="","",IFERROR(INDEX(Players!$C$5:$C$304,MATCH(D1033,Players!$B$5:$B$304,0)),""))</f>
        <v/>
      </c>
      <c r="F1033" s="22" t="str">
        <f aca="false">IF(D1033="","",IF(COUNTIFS($B$5:$B$2004,B1033,$D$5:$D$2004,D1033)&gt;1,"DUPLICATE",IF(ISNA(MATCH(D1033,Players!$B$5:$B$304,0)),"UID not found",IF(INDEX(Players!$H$5:$H$304,MATCH(D1033,Players!$B$5:$B$304,0))&lt;0,"LOW BALANCE","OK"))))</f>
        <v/>
      </c>
      <c r="G1033" s="1"/>
      <c r="H1033" s="1"/>
      <c r="I1033" s="1"/>
    </row>
    <row r="1034" customFormat="false" ht="21.75" hidden="false" customHeight="true" outlineLevel="0" collapsed="false">
      <c r="A1034" s="1"/>
      <c r="B1034" s="16"/>
      <c r="C1034" s="16"/>
      <c r="D1034" s="15"/>
      <c r="E1034" s="11" t="str">
        <f aca="false">IF(D1034="","",IFERROR(INDEX(Players!$C$5:$C$304,MATCH(D1034,Players!$B$5:$B$304,0)),""))</f>
        <v/>
      </c>
      <c r="F1034" s="22" t="str">
        <f aca="false">IF(D1034="","",IF(COUNTIFS($B$5:$B$2004,B1034,$D$5:$D$2004,D1034)&gt;1,"DUPLICATE",IF(ISNA(MATCH(D1034,Players!$B$5:$B$304,0)),"UID not found",IF(INDEX(Players!$H$5:$H$304,MATCH(D1034,Players!$B$5:$B$304,0))&lt;0,"LOW BALANCE","OK"))))</f>
        <v/>
      </c>
      <c r="G1034" s="1"/>
      <c r="H1034" s="1"/>
      <c r="I1034" s="1"/>
    </row>
    <row r="1035" customFormat="false" ht="21.75" hidden="false" customHeight="true" outlineLevel="0" collapsed="false">
      <c r="A1035" s="1"/>
      <c r="B1035" s="16"/>
      <c r="C1035" s="16"/>
      <c r="D1035" s="15"/>
      <c r="E1035" s="11" t="str">
        <f aca="false">IF(D1035="","",IFERROR(INDEX(Players!$C$5:$C$304,MATCH(D1035,Players!$B$5:$B$304,0)),""))</f>
        <v/>
      </c>
      <c r="F1035" s="22" t="str">
        <f aca="false">IF(D1035="","",IF(COUNTIFS($B$5:$B$2004,B1035,$D$5:$D$2004,D1035)&gt;1,"DUPLICATE",IF(ISNA(MATCH(D1035,Players!$B$5:$B$304,0)),"UID not found",IF(INDEX(Players!$H$5:$H$304,MATCH(D1035,Players!$B$5:$B$304,0))&lt;0,"LOW BALANCE","OK"))))</f>
        <v/>
      </c>
      <c r="G1035" s="1"/>
      <c r="H1035" s="1"/>
      <c r="I1035" s="1"/>
    </row>
    <row r="1036" customFormat="false" ht="21.75" hidden="false" customHeight="true" outlineLevel="0" collapsed="false">
      <c r="A1036" s="1"/>
      <c r="B1036" s="16"/>
      <c r="C1036" s="16"/>
      <c r="D1036" s="15"/>
      <c r="E1036" s="11" t="str">
        <f aca="false">IF(D1036="","",IFERROR(INDEX(Players!$C$5:$C$304,MATCH(D1036,Players!$B$5:$B$304,0)),""))</f>
        <v/>
      </c>
      <c r="F1036" s="22" t="str">
        <f aca="false">IF(D1036="","",IF(COUNTIFS($B$5:$B$2004,B1036,$D$5:$D$2004,D1036)&gt;1,"DUPLICATE",IF(ISNA(MATCH(D1036,Players!$B$5:$B$304,0)),"UID not found",IF(INDEX(Players!$H$5:$H$304,MATCH(D1036,Players!$B$5:$B$304,0))&lt;0,"LOW BALANCE","OK"))))</f>
        <v/>
      </c>
      <c r="G1036" s="1"/>
      <c r="H1036" s="1"/>
      <c r="I1036" s="1"/>
    </row>
    <row r="1037" customFormat="false" ht="21.75" hidden="false" customHeight="true" outlineLevel="0" collapsed="false">
      <c r="A1037" s="1"/>
      <c r="B1037" s="16"/>
      <c r="C1037" s="16"/>
      <c r="D1037" s="15"/>
      <c r="E1037" s="11" t="str">
        <f aca="false">IF(D1037="","",IFERROR(INDEX(Players!$C$5:$C$304,MATCH(D1037,Players!$B$5:$B$304,0)),""))</f>
        <v/>
      </c>
      <c r="F1037" s="22" t="str">
        <f aca="false">IF(D1037="","",IF(COUNTIFS($B$5:$B$2004,B1037,$D$5:$D$2004,D1037)&gt;1,"DUPLICATE",IF(ISNA(MATCH(D1037,Players!$B$5:$B$304,0)),"UID not found",IF(INDEX(Players!$H$5:$H$304,MATCH(D1037,Players!$B$5:$B$304,0))&lt;0,"LOW BALANCE","OK"))))</f>
        <v/>
      </c>
      <c r="G1037" s="1"/>
      <c r="H1037" s="1"/>
      <c r="I1037" s="1"/>
    </row>
    <row r="1038" customFormat="false" ht="21.75" hidden="false" customHeight="true" outlineLevel="0" collapsed="false">
      <c r="A1038" s="1"/>
      <c r="B1038" s="16"/>
      <c r="C1038" s="16"/>
      <c r="D1038" s="15"/>
      <c r="E1038" s="11" t="str">
        <f aca="false">IF(D1038="","",IFERROR(INDEX(Players!$C$5:$C$304,MATCH(D1038,Players!$B$5:$B$304,0)),""))</f>
        <v/>
      </c>
      <c r="F1038" s="22" t="str">
        <f aca="false">IF(D1038="","",IF(COUNTIFS($B$5:$B$2004,B1038,$D$5:$D$2004,D1038)&gt;1,"DUPLICATE",IF(ISNA(MATCH(D1038,Players!$B$5:$B$304,0)),"UID not found",IF(INDEX(Players!$H$5:$H$304,MATCH(D1038,Players!$B$5:$B$304,0))&lt;0,"LOW BALANCE","OK"))))</f>
        <v/>
      </c>
      <c r="G1038" s="1"/>
      <c r="H1038" s="1"/>
      <c r="I1038" s="1"/>
    </row>
    <row r="1039" customFormat="false" ht="21.75" hidden="false" customHeight="true" outlineLevel="0" collapsed="false">
      <c r="A1039" s="1"/>
      <c r="B1039" s="16"/>
      <c r="C1039" s="16"/>
      <c r="D1039" s="15"/>
      <c r="E1039" s="11" t="str">
        <f aca="false">IF(D1039="","",IFERROR(INDEX(Players!$C$5:$C$304,MATCH(D1039,Players!$B$5:$B$304,0)),""))</f>
        <v/>
      </c>
      <c r="F1039" s="22" t="str">
        <f aca="false">IF(D1039="","",IF(COUNTIFS($B$5:$B$2004,B1039,$D$5:$D$2004,D1039)&gt;1,"DUPLICATE",IF(ISNA(MATCH(D1039,Players!$B$5:$B$304,0)),"UID not found",IF(INDEX(Players!$H$5:$H$304,MATCH(D1039,Players!$B$5:$B$304,0))&lt;0,"LOW BALANCE","OK"))))</f>
        <v/>
      </c>
      <c r="G1039" s="1"/>
      <c r="H1039" s="1"/>
      <c r="I1039" s="1"/>
    </row>
    <row r="1040" customFormat="false" ht="21.75" hidden="false" customHeight="true" outlineLevel="0" collapsed="false">
      <c r="A1040" s="1"/>
      <c r="B1040" s="16"/>
      <c r="C1040" s="16"/>
      <c r="D1040" s="15"/>
      <c r="E1040" s="11" t="str">
        <f aca="false">IF(D1040="","",IFERROR(INDEX(Players!$C$5:$C$304,MATCH(D1040,Players!$B$5:$B$304,0)),""))</f>
        <v/>
      </c>
      <c r="F1040" s="22" t="str">
        <f aca="false">IF(D1040="","",IF(COUNTIFS($B$5:$B$2004,B1040,$D$5:$D$2004,D1040)&gt;1,"DUPLICATE",IF(ISNA(MATCH(D1040,Players!$B$5:$B$304,0)),"UID not found",IF(INDEX(Players!$H$5:$H$304,MATCH(D1040,Players!$B$5:$B$304,0))&lt;0,"LOW BALANCE","OK"))))</f>
        <v/>
      </c>
      <c r="G1040" s="1"/>
      <c r="H1040" s="1"/>
      <c r="I1040" s="1"/>
    </row>
    <row r="1041" customFormat="false" ht="21.75" hidden="false" customHeight="true" outlineLevel="0" collapsed="false">
      <c r="A1041" s="1"/>
      <c r="B1041" s="16"/>
      <c r="C1041" s="16"/>
      <c r="D1041" s="15"/>
      <c r="E1041" s="11" t="str">
        <f aca="false">IF(D1041="","",IFERROR(INDEX(Players!$C$5:$C$304,MATCH(D1041,Players!$B$5:$B$304,0)),""))</f>
        <v/>
      </c>
      <c r="F1041" s="22" t="str">
        <f aca="false">IF(D1041="","",IF(COUNTIFS($B$5:$B$2004,B1041,$D$5:$D$2004,D1041)&gt;1,"DUPLICATE",IF(ISNA(MATCH(D1041,Players!$B$5:$B$304,0)),"UID not found",IF(INDEX(Players!$H$5:$H$304,MATCH(D1041,Players!$B$5:$B$304,0))&lt;0,"LOW BALANCE","OK"))))</f>
        <v/>
      </c>
      <c r="G1041" s="1"/>
      <c r="H1041" s="1"/>
      <c r="I1041" s="1"/>
    </row>
    <row r="1042" customFormat="false" ht="21.75" hidden="false" customHeight="true" outlineLevel="0" collapsed="false">
      <c r="A1042" s="1"/>
      <c r="B1042" s="16"/>
      <c r="C1042" s="16"/>
      <c r="D1042" s="15"/>
      <c r="E1042" s="11" t="str">
        <f aca="false">IF(D1042="","",IFERROR(INDEX(Players!$C$5:$C$304,MATCH(D1042,Players!$B$5:$B$304,0)),""))</f>
        <v/>
      </c>
      <c r="F1042" s="22" t="str">
        <f aca="false">IF(D1042="","",IF(COUNTIFS($B$5:$B$2004,B1042,$D$5:$D$2004,D1042)&gt;1,"DUPLICATE",IF(ISNA(MATCH(D1042,Players!$B$5:$B$304,0)),"UID not found",IF(INDEX(Players!$H$5:$H$304,MATCH(D1042,Players!$B$5:$B$304,0))&lt;0,"LOW BALANCE","OK"))))</f>
        <v/>
      </c>
      <c r="G1042" s="1"/>
      <c r="H1042" s="1"/>
      <c r="I1042" s="1"/>
    </row>
    <row r="1043" customFormat="false" ht="21.75" hidden="false" customHeight="true" outlineLevel="0" collapsed="false">
      <c r="A1043" s="1"/>
      <c r="B1043" s="16"/>
      <c r="C1043" s="16"/>
      <c r="D1043" s="15"/>
      <c r="E1043" s="11" t="str">
        <f aca="false">IF(D1043="","",IFERROR(INDEX(Players!$C$5:$C$304,MATCH(D1043,Players!$B$5:$B$304,0)),""))</f>
        <v/>
      </c>
      <c r="F1043" s="22" t="str">
        <f aca="false">IF(D1043="","",IF(COUNTIFS($B$5:$B$2004,B1043,$D$5:$D$2004,D1043)&gt;1,"DUPLICATE",IF(ISNA(MATCH(D1043,Players!$B$5:$B$304,0)),"UID not found",IF(INDEX(Players!$H$5:$H$304,MATCH(D1043,Players!$B$5:$B$304,0))&lt;0,"LOW BALANCE","OK"))))</f>
        <v/>
      </c>
      <c r="G1043" s="1"/>
      <c r="H1043" s="1"/>
      <c r="I1043" s="1"/>
    </row>
    <row r="1044" customFormat="false" ht="21.75" hidden="false" customHeight="true" outlineLevel="0" collapsed="false">
      <c r="A1044" s="1"/>
      <c r="B1044" s="16"/>
      <c r="C1044" s="16"/>
      <c r="D1044" s="15"/>
      <c r="E1044" s="11" t="str">
        <f aca="false">IF(D1044="","",IFERROR(INDEX(Players!$C$5:$C$304,MATCH(D1044,Players!$B$5:$B$304,0)),""))</f>
        <v/>
      </c>
      <c r="F1044" s="22" t="str">
        <f aca="false">IF(D1044="","",IF(COUNTIFS($B$5:$B$2004,B1044,$D$5:$D$2004,D1044)&gt;1,"DUPLICATE",IF(ISNA(MATCH(D1044,Players!$B$5:$B$304,0)),"UID not found",IF(INDEX(Players!$H$5:$H$304,MATCH(D1044,Players!$B$5:$B$304,0))&lt;0,"LOW BALANCE","OK"))))</f>
        <v/>
      </c>
      <c r="G1044" s="1"/>
      <c r="H1044" s="1"/>
      <c r="I1044" s="1"/>
    </row>
    <row r="1045" customFormat="false" ht="21.75" hidden="false" customHeight="true" outlineLevel="0" collapsed="false">
      <c r="A1045" s="1"/>
      <c r="B1045" s="16"/>
      <c r="C1045" s="16"/>
      <c r="D1045" s="15"/>
      <c r="E1045" s="11" t="str">
        <f aca="false">IF(D1045="","",IFERROR(INDEX(Players!$C$5:$C$304,MATCH(D1045,Players!$B$5:$B$304,0)),""))</f>
        <v/>
      </c>
      <c r="F1045" s="22" t="str">
        <f aca="false">IF(D1045="","",IF(COUNTIFS($B$5:$B$2004,B1045,$D$5:$D$2004,D1045)&gt;1,"DUPLICATE",IF(ISNA(MATCH(D1045,Players!$B$5:$B$304,0)),"UID not found",IF(INDEX(Players!$H$5:$H$304,MATCH(D1045,Players!$B$5:$B$304,0))&lt;0,"LOW BALANCE","OK"))))</f>
        <v/>
      </c>
      <c r="G1045" s="1"/>
      <c r="H1045" s="1"/>
      <c r="I1045" s="1"/>
    </row>
    <row r="1046" customFormat="false" ht="21.75" hidden="false" customHeight="true" outlineLevel="0" collapsed="false">
      <c r="A1046" s="1"/>
      <c r="B1046" s="16"/>
      <c r="C1046" s="16"/>
      <c r="D1046" s="15"/>
      <c r="E1046" s="11" t="str">
        <f aca="false">IF(D1046="","",IFERROR(INDEX(Players!$C$5:$C$304,MATCH(D1046,Players!$B$5:$B$304,0)),""))</f>
        <v/>
      </c>
      <c r="F1046" s="22" t="str">
        <f aca="false">IF(D1046="","",IF(COUNTIFS($B$5:$B$2004,B1046,$D$5:$D$2004,D1046)&gt;1,"DUPLICATE",IF(ISNA(MATCH(D1046,Players!$B$5:$B$304,0)),"UID not found",IF(INDEX(Players!$H$5:$H$304,MATCH(D1046,Players!$B$5:$B$304,0))&lt;0,"LOW BALANCE","OK"))))</f>
        <v/>
      </c>
      <c r="G1046" s="1"/>
      <c r="H1046" s="1"/>
      <c r="I1046" s="1"/>
    </row>
    <row r="1047" customFormat="false" ht="21.75" hidden="false" customHeight="true" outlineLevel="0" collapsed="false">
      <c r="A1047" s="1"/>
      <c r="B1047" s="16"/>
      <c r="C1047" s="16"/>
      <c r="D1047" s="15"/>
      <c r="E1047" s="11" t="str">
        <f aca="false">IF(D1047="","",IFERROR(INDEX(Players!$C$5:$C$304,MATCH(D1047,Players!$B$5:$B$304,0)),""))</f>
        <v/>
      </c>
      <c r="F1047" s="22" t="str">
        <f aca="false">IF(D1047="","",IF(COUNTIFS($B$5:$B$2004,B1047,$D$5:$D$2004,D1047)&gt;1,"DUPLICATE",IF(ISNA(MATCH(D1047,Players!$B$5:$B$304,0)),"UID not found",IF(INDEX(Players!$H$5:$H$304,MATCH(D1047,Players!$B$5:$B$304,0))&lt;0,"LOW BALANCE","OK"))))</f>
        <v/>
      </c>
      <c r="G1047" s="1"/>
      <c r="H1047" s="1"/>
      <c r="I1047" s="1"/>
    </row>
    <row r="1048" customFormat="false" ht="21.75" hidden="false" customHeight="true" outlineLevel="0" collapsed="false">
      <c r="A1048" s="1"/>
      <c r="B1048" s="16"/>
      <c r="C1048" s="16"/>
      <c r="D1048" s="15"/>
      <c r="E1048" s="11" t="str">
        <f aca="false">IF(D1048="","",IFERROR(INDEX(Players!$C$5:$C$304,MATCH(D1048,Players!$B$5:$B$304,0)),""))</f>
        <v/>
      </c>
      <c r="F1048" s="22" t="str">
        <f aca="false">IF(D1048="","",IF(COUNTIFS($B$5:$B$2004,B1048,$D$5:$D$2004,D1048)&gt;1,"DUPLICATE",IF(ISNA(MATCH(D1048,Players!$B$5:$B$304,0)),"UID not found",IF(INDEX(Players!$H$5:$H$304,MATCH(D1048,Players!$B$5:$B$304,0))&lt;0,"LOW BALANCE","OK"))))</f>
        <v/>
      </c>
      <c r="G1048" s="1"/>
      <c r="H1048" s="1"/>
      <c r="I1048" s="1"/>
    </row>
    <row r="1049" customFormat="false" ht="21.75" hidden="false" customHeight="true" outlineLevel="0" collapsed="false">
      <c r="A1049" s="1"/>
      <c r="B1049" s="16"/>
      <c r="C1049" s="16"/>
      <c r="D1049" s="15"/>
      <c r="E1049" s="11" t="str">
        <f aca="false">IF(D1049="","",IFERROR(INDEX(Players!$C$5:$C$304,MATCH(D1049,Players!$B$5:$B$304,0)),""))</f>
        <v/>
      </c>
      <c r="F1049" s="22" t="str">
        <f aca="false">IF(D1049="","",IF(COUNTIFS($B$5:$B$2004,B1049,$D$5:$D$2004,D1049)&gt;1,"DUPLICATE",IF(ISNA(MATCH(D1049,Players!$B$5:$B$304,0)),"UID not found",IF(INDEX(Players!$H$5:$H$304,MATCH(D1049,Players!$B$5:$B$304,0))&lt;0,"LOW BALANCE","OK"))))</f>
        <v/>
      </c>
      <c r="G1049" s="1"/>
      <c r="H1049" s="1"/>
      <c r="I1049" s="1"/>
    </row>
    <row r="1050" customFormat="false" ht="21.75" hidden="false" customHeight="true" outlineLevel="0" collapsed="false">
      <c r="A1050" s="1"/>
      <c r="B1050" s="16"/>
      <c r="C1050" s="16"/>
      <c r="D1050" s="15"/>
      <c r="E1050" s="11" t="str">
        <f aca="false">IF(D1050="","",IFERROR(INDEX(Players!$C$5:$C$304,MATCH(D1050,Players!$B$5:$B$304,0)),""))</f>
        <v/>
      </c>
      <c r="F1050" s="22" t="str">
        <f aca="false">IF(D1050="","",IF(COUNTIFS($B$5:$B$2004,B1050,$D$5:$D$2004,D1050)&gt;1,"DUPLICATE",IF(ISNA(MATCH(D1050,Players!$B$5:$B$304,0)),"UID not found",IF(INDEX(Players!$H$5:$H$304,MATCH(D1050,Players!$B$5:$B$304,0))&lt;0,"LOW BALANCE","OK"))))</f>
        <v/>
      </c>
      <c r="G1050" s="1"/>
      <c r="H1050" s="1"/>
      <c r="I1050" s="1"/>
    </row>
    <row r="1051" customFormat="false" ht="21.75" hidden="false" customHeight="true" outlineLevel="0" collapsed="false">
      <c r="A1051" s="1"/>
      <c r="B1051" s="16"/>
      <c r="C1051" s="16"/>
      <c r="D1051" s="15"/>
      <c r="E1051" s="11" t="str">
        <f aca="false">IF(D1051="","",IFERROR(INDEX(Players!$C$5:$C$304,MATCH(D1051,Players!$B$5:$B$304,0)),""))</f>
        <v/>
      </c>
      <c r="F1051" s="22" t="str">
        <f aca="false">IF(D1051="","",IF(COUNTIFS($B$5:$B$2004,B1051,$D$5:$D$2004,D1051)&gt;1,"DUPLICATE",IF(ISNA(MATCH(D1051,Players!$B$5:$B$304,0)),"UID not found",IF(INDEX(Players!$H$5:$H$304,MATCH(D1051,Players!$B$5:$B$304,0))&lt;0,"LOW BALANCE","OK"))))</f>
        <v/>
      </c>
      <c r="G1051" s="1"/>
      <c r="H1051" s="1"/>
      <c r="I1051" s="1"/>
    </row>
    <row r="1052" customFormat="false" ht="21.75" hidden="false" customHeight="true" outlineLevel="0" collapsed="false">
      <c r="A1052" s="1"/>
      <c r="B1052" s="16"/>
      <c r="C1052" s="16"/>
      <c r="D1052" s="15"/>
      <c r="E1052" s="11" t="str">
        <f aca="false">IF(D1052="","",IFERROR(INDEX(Players!$C$5:$C$304,MATCH(D1052,Players!$B$5:$B$304,0)),""))</f>
        <v/>
      </c>
      <c r="F1052" s="22" t="str">
        <f aca="false">IF(D1052="","",IF(COUNTIFS($B$5:$B$2004,B1052,$D$5:$D$2004,D1052)&gt;1,"DUPLICATE",IF(ISNA(MATCH(D1052,Players!$B$5:$B$304,0)),"UID not found",IF(INDEX(Players!$H$5:$H$304,MATCH(D1052,Players!$B$5:$B$304,0))&lt;0,"LOW BALANCE","OK"))))</f>
        <v/>
      </c>
      <c r="G1052" s="1"/>
      <c r="H1052" s="1"/>
      <c r="I1052" s="1"/>
    </row>
    <row r="1053" customFormat="false" ht="21.75" hidden="false" customHeight="true" outlineLevel="0" collapsed="false">
      <c r="A1053" s="1"/>
      <c r="B1053" s="16"/>
      <c r="C1053" s="16"/>
      <c r="D1053" s="15"/>
      <c r="E1053" s="11" t="str">
        <f aca="false">IF(D1053="","",IFERROR(INDEX(Players!$C$5:$C$304,MATCH(D1053,Players!$B$5:$B$304,0)),""))</f>
        <v/>
      </c>
      <c r="F1053" s="22" t="str">
        <f aca="false">IF(D1053="","",IF(COUNTIFS($B$5:$B$2004,B1053,$D$5:$D$2004,D1053)&gt;1,"DUPLICATE",IF(ISNA(MATCH(D1053,Players!$B$5:$B$304,0)),"UID not found",IF(INDEX(Players!$H$5:$H$304,MATCH(D1053,Players!$B$5:$B$304,0))&lt;0,"LOW BALANCE","OK"))))</f>
        <v/>
      </c>
      <c r="G1053" s="1"/>
      <c r="H1053" s="1"/>
      <c r="I1053" s="1"/>
    </row>
    <row r="1054" customFormat="false" ht="21.75" hidden="false" customHeight="true" outlineLevel="0" collapsed="false">
      <c r="A1054" s="1"/>
      <c r="B1054" s="16"/>
      <c r="C1054" s="16"/>
      <c r="D1054" s="15"/>
      <c r="E1054" s="11" t="str">
        <f aca="false">IF(D1054="","",IFERROR(INDEX(Players!$C$5:$C$304,MATCH(D1054,Players!$B$5:$B$304,0)),""))</f>
        <v/>
      </c>
      <c r="F1054" s="22" t="str">
        <f aca="false">IF(D1054="","",IF(COUNTIFS($B$5:$B$2004,B1054,$D$5:$D$2004,D1054)&gt;1,"DUPLICATE",IF(ISNA(MATCH(D1054,Players!$B$5:$B$304,0)),"UID not found",IF(INDEX(Players!$H$5:$H$304,MATCH(D1054,Players!$B$5:$B$304,0))&lt;0,"LOW BALANCE","OK"))))</f>
        <v/>
      </c>
      <c r="G1054" s="1"/>
      <c r="H1054" s="1"/>
      <c r="I1054" s="1"/>
    </row>
    <row r="1055" customFormat="false" ht="21.75" hidden="false" customHeight="true" outlineLevel="0" collapsed="false">
      <c r="A1055" s="1"/>
      <c r="B1055" s="16"/>
      <c r="C1055" s="16"/>
      <c r="D1055" s="15"/>
      <c r="E1055" s="11" t="str">
        <f aca="false">IF(D1055="","",IFERROR(INDEX(Players!$C$5:$C$304,MATCH(D1055,Players!$B$5:$B$304,0)),""))</f>
        <v/>
      </c>
      <c r="F1055" s="22" t="str">
        <f aca="false">IF(D1055="","",IF(COUNTIFS($B$5:$B$2004,B1055,$D$5:$D$2004,D1055)&gt;1,"DUPLICATE",IF(ISNA(MATCH(D1055,Players!$B$5:$B$304,0)),"UID not found",IF(INDEX(Players!$H$5:$H$304,MATCH(D1055,Players!$B$5:$B$304,0))&lt;0,"LOW BALANCE","OK"))))</f>
        <v/>
      </c>
      <c r="G1055" s="1"/>
      <c r="H1055" s="1"/>
      <c r="I1055" s="1"/>
    </row>
    <row r="1056" customFormat="false" ht="21.75" hidden="false" customHeight="true" outlineLevel="0" collapsed="false">
      <c r="A1056" s="1"/>
      <c r="B1056" s="16"/>
      <c r="C1056" s="16"/>
      <c r="D1056" s="15"/>
      <c r="E1056" s="11" t="str">
        <f aca="false">IF(D1056="","",IFERROR(INDEX(Players!$C$5:$C$304,MATCH(D1056,Players!$B$5:$B$304,0)),""))</f>
        <v/>
      </c>
      <c r="F1056" s="22" t="str">
        <f aca="false">IF(D1056="","",IF(COUNTIFS($B$5:$B$2004,B1056,$D$5:$D$2004,D1056)&gt;1,"DUPLICATE",IF(ISNA(MATCH(D1056,Players!$B$5:$B$304,0)),"UID not found",IF(INDEX(Players!$H$5:$H$304,MATCH(D1056,Players!$B$5:$B$304,0))&lt;0,"LOW BALANCE","OK"))))</f>
        <v/>
      </c>
      <c r="G1056" s="1"/>
      <c r="H1056" s="1"/>
      <c r="I1056" s="1"/>
    </row>
    <row r="1057" customFormat="false" ht="21.75" hidden="false" customHeight="true" outlineLevel="0" collapsed="false">
      <c r="A1057" s="1"/>
      <c r="B1057" s="16"/>
      <c r="C1057" s="16"/>
      <c r="D1057" s="15"/>
      <c r="E1057" s="11" t="str">
        <f aca="false">IF(D1057="","",IFERROR(INDEX(Players!$C$5:$C$304,MATCH(D1057,Players!$B$5:$B$304,0)),""))</f>
        <v/>
      </c>
      <c r="F1057" s="22" t="str">
        <f aca="false">IF(D1057="","",IF(COUNTIFS($B$5:$B$2004,B1057,$D$5:$D$2004,D1057)&gt;1,"DUPLICATE",IF(ISNA(MATCH(D1057,Players!$B$5:$B$304,0)),"UID not found",IF(INDEX(Players!$H$5:$H$304,MATCH(D1057,Players!$B$5:$B$304,0))&lt;0,"LOW BALANCE","OK"))))</f>
        <v/>
      </c>
      <c r="G1057" s="1"/>
      <c r="H1057" s="1"/>
      <c r="I1057" s="1"/>
    </row>
    <row r="1058" customFormat="false" ht="21.75" hidden="false" customHeight="true" outlineLevel="0" collapsed="false">
      <c r="A1058" s="1"/>
      <c r="B1058" s="16"/>
      <c r="C1058" s="16"/>
      <c r="D1058" s="15"/>
      <c r="E1058" s="11" t="str">
        <f aca="false">IF(D1058="","",IFERROR(INDEX(Players!$C$5:$C$304,MATCH(D1058,Players!$B$5:$B$304,0)),""))</f>
        <v/>
      </c>
      <c r="F1058" s="22" t="str">
        <f aca="false">IF(D1058="","",IF(COUNTIFS($B$5:$B$2004,B1058,$D$5:$D$2004,D1058)&gt;1,"DUPLICATE",IF(ISNA(MATCH(D1058,Players!$B$5:$B$304,0)),"UID not found",IF(INDEX(Players!$H$5:$H$304,MATCH(D1058,Players!$B$5:$B$304,0))&lt;0,"LOW BALANCE","OK"))))</f>
        <v/>
      </c>
      <c r="G1058" s="1"/>
      <c r="H1058" s="1"/>
      <c r="I1058" s="1"/>
    </row>
    <row r="1059" customFormat="false" ht="21.75" hidden="false" customHeight="true" outlineLevel="0" collapsed="false">
      <c r="A1059" s="1"/>
      <c r="B1059" s="16"/>
      <c r="C1059" s="16"/>
      <c r="D1059" s="15"/>
      <c r="E1059" s="11" t="str">
        <f aca="false">IF(D1059="","",IFERROR(INDEX(Players!$C$5:$C$304,MATCH(D1059,Players!$B$5:$B$304,0)),""))</f>
        <v/>
      </c>
      <c r="F1059" s="22" t="str">
        <f aca="false">IF(D1059="","",IF(COUNTIFS($B$5:$B$2004,B1059,$D$5:$D$2004,D1059)&gt;1,"DUPLICATE",IF(ISNA(MATCH(D1059,Players!$B$5:$B$304,0)),"UID not found",IF(INDEX(Players!$H$5:$H$304,MATCH(D1059,Players!$B$5:$B$304,0))&lt;0,"LOW BALANCE","OK"))))</f>
        <v/>
      </c>
      <c r="G1059" s="1"/>
      <c r="H1059" s="1"/>
      <c r="I1059" s="1"/>
    </row>
    <row r="1060" customFormat="false" ht="21.75" hidden="false" customHeight="true" outlineLevel="0" collapsed="false">
      <c r="A1060" s="1"/>
      <c r="B1060" s="16"/>
      <c r="C1060" s="16"/>
      <c r="D1060" s="15"/>
      <c r="E1060" s="11" t="str">
        <f aca="false">IF(D1060="","",IFERROR(INDEX(Players!$C$5:$C$304,MATCH(D1060,Players!$B$5:$B$304,0)),""))</f>
        <v/>
      </c>
      <c r="F1060" s="22" t="str">
        <f aca="false">IF(D1060="","",IF(COUNTIFS($B$5:$B$2004,B1060,$D$5:$D$2004,D1060)&gt;1,"DUPLICATE",IF(ISNA(MATCH(D1060,Players!$B$5:$B$304,0)),"UID not found",IF(INDEX(Players!$H$5:$H$304,MATCH(D1060,Players!$B$5:$B$304,0))&lt;0,"LOW BALANCE","OK"))))</f>
        <v/>
      </c>
      <c r="G1060" s="1"/>
      <c r="H1060" s="1"/>
      <c r="I1060" s="1"/>
    </row>
    <row r="1061" customFormat="false" ht="21.75" hidden="false" customHeight="true" outlineLevel="0" collapsed="false">
      <c r="A1061" s="1"/>
      <c r="B1061" s="16"/>
      <c r="C1061" s="16"/>
      <c r="D1061" s="15"/>
      <c r="E1061" s="11" t="str">
        <f aca="false">IF(D1061="","",IFERROR(INDEX(Players!$C$5:$C$304,MATCH(D1061,Players!$B$5:$B$304,0)),""))</f>
        <v/>
      </c>
      <c r="F1061" s="22" t="str">
        <f aca="false">IF(D1061="","",IF(COUNTIFS($B$5:$B$2004,B1061,$D$5:$D$2004,D1061)&gt;1,"DUPLICATE",IF(ISNA(MATCH(D1061,Players!$B$5:$B$304,0)),"UID not found",IF(INDEX(Players!$H$5:$H$304,MATCH(D1061,Players!$B$5:$B$304,0))&lt;0,"LOW BALANCE","OK"))))</f>
        <v/>
      </c>
      <c r="G1061" s="1"/>
      <c r="H1061" s="1"/>
      <c r="I1061" s="1"/>
    </row>
    <row r="1062" customFormat="false" ht="21.75" hidden="false" customHeight="true" outlineLevel="0" collapsed="false">
      <c r="A1062" s="1"/>
      <c r="B1062" s="16"/>
      <c r="C1062" s="16"/>
      <c r="D1062" s="15"/>
      <c r="E1062" s="11" t="str">
        <f aca="false">IF(D1062="","",IFERROR(INDEX(Players!$C$5:$C$304,MATCH(D1062,Players!$B$5:$B$304,0)),""))</f>
        <v/>
      </c>
      <c r="F1062" s="22" t="str">
        <f aca="false">IF(D1062="","",IF(COUNTIFS($B$5:$B$2004,B1062,$D$5:$D$2004,D1062)&gt;1,"DUPLICATE",IF(ISNA(MATCH(D1062,Players!$B$5:$B$304,0)),"UID not found",IF(INDEX(Players!$H$5:$H$304,MATCH(D1062,Players!$B$5:$B$304,0))&lt;0,"LOW BALANCE","OK"))))</f>
        <v/>
      </c>
      <c r="G1062" s="1"/>
      <c r="H1062" s="1"/>
      <c r="I1062" s="1"/>
    </row>
    <row r="1063" customFormat="false" ht="21.75" hidden="false" customHeight="true" outlineLevel="0" collapsed="false">
      <c r="A1063" s="1"/>
      <c r="B1063" s="16"/>
      <c r="C1063" s="16"/>
      <c r="D1063" s="15"/>
      <c r="E1063" s="11" t="str">
        <f aca="false">IF(D1063="","",IFERROR(INDEX(Players!$C$5:$C$304,MATCH(D1063,Players!$B$5:$B$304,0)),""))</f>
        <v/>
      </c>
      <c r="F1063" s="22" t="str">
        <f aca="false">IF(D1063="","",IF(COUNTIFS($B$5:$B$2004,B1063,$D$5:$D$2004,D1063)&gt;1,"DUPLICATE",IF(ISNA(MATCH(D1063,Players!$B$5:$B$304,0)),"UID not found",IF(INDEX(Players!$H$5:$H$304,MATCH(D1063,Players!$B$5:$B$304,0))&lt;0,"LOW BALANCE","OK"))))</f>
        <v/>
      </c>
      <c r="G1063" s="1"/>
      <c r="H1063" s="1"/>
      <c r="I1063" s="1"/>
    </row>
    <row r="1064" customFormat="false" ht="21.75" hidden="false" customHeight="true" outlineLevel="0" collapsed="false">
      <c r="A1064" s="1"/>
      <c r="B1064" s="16"/>
      <c r="C1064" s="16"/>
      <c r="D1064" s="15"/>
      <c r="E1064" s="11" t="str">
        <f aca="false">IF(D1064="","",IFERROR(INDEX(Players!$C$5:$C$304,MATCH(D1064,Players!$B$5:$B$304,0)),""))</f>
        <v/>
      </c>
      <c r="F1064" s="22" t="str">
        <f aca="false">IF(D1064="","",IF(COUNTIFS($B$5:$B$2004,B1064,$D$5:$D$2004,D1064)&gt;1,"DUPLICATE",IF(ISNA(MATCH(D1064,Players!$B$5:$B$304,0)),"UID not found",IF(INDEX(Players!$H$5:$H$304,MATCH(D1064,Players!$B$5:$B$304,0))&lt;0,"LOW BALANCE","OK"))))</f>
        <v/>
      </c>
      <c r="G1064" s="1"/>
      <c r="H1064" s="1"/>
      <c r="I1064" s="1"/>
    </row>
    <row r="1065" customFormat="false" ht="21.75" hidden="false" customHeight="true" outlineLevel="0" collapsed="false">
      <c r="A1065" s="1"/>
      <c r="B1065" s="16"/>
      <c r="C1065" s="16"/>
      <c r="D1065" s="15"/>
      <c r="E1065" s="11" t="str">
        <f aca="false">IF(D1065="","",IFERROR(INDEX(Players!$C$5:$C$304,MATCH(D1065,Players!$B$5:$B$304,0)),""))</f>
        <v/>
      </c>
      <c r="F1065" s="22" t="str">
        <f aca="false">IF(D1065="","",IF(COUNTIFS($B$5:$B$2004,B1065,$D$5:$D$2004,D1065)&gt;1,"DUPLICATE",IF(ISNA(MATCH(D1065,Players!$B$5:$B$304,0)),"UID not found",IF(INDEX(Players!$H$5:$H$304,MATCH(D1065,Players!$B$5:$B$304,0))&lt;0,"LOW BALANCE","OK"))))</f>
        <v/>
      </c>
      <c r="G1065" s="1"/>
      <c r="H1065" s="1"/>
      <c r="I1065" s="1"/>
    </row>
    <row r="1066" customFormat="false" ht="21.75" hidden="false" customHeight="true" outlineLevel="0" collapsed="false">
      <c r="A1066" s="1"/>
      <c r="B1066" s="16"/>
      <c r="C1066" s="16"/>
      <c r="D1066" s="15"/>
      <c r="E1066" s="11" t="str">
        <f aca="false">IF(D1066="","",IFERROR(INDEX(Players!$C$5:$C$304,MATCH(D1066,Players!$B$5:$B$304,0)),""))</f>
        <v/>
      </c>
      <c r="F1066" s="22" t="str">
        <f aca="false">IF(D1066="","",IF(COUNTIFS($B$5:$B$2004,B1066,$D$5:$D$2004,D1066)&gt;1,"DUPLICATE",IF(ISNA(MATCH(D1066,Players!$B$5:$B$304,0)),"UID not found",IF(INDEX(Players!$H$5:$H$304,MATCH(D1066,Players!$B$5:$B$304,0))&lt;0,"LOW BALANCE","OK"))))</f>
        <v/>
      </c>
      <c r="G1066" s="1"/>
      <c r="H1066" s="1"/>
      <c r="I1066" s="1"/>
    </row>
    <row r="1067" customFormat="false" ht="21.75" hidden="false" customHeight="true" outlineLevel="0" collapsed="false">
      <c r="A1067" s="1"/>
      <c r="B1067" s="16"/>
      <c r="C1067" s="16"/>
      <c r="D1067" s="15"/>
      <c r="E1067" s="11" t="str">
        <f aca="false">IF(D1067="","",IFERROR(INDEX(Players!$C$5:$C$304,MATCH(D1067,Players!$B$5:$B$304,0)),""))</f>
        <v/>
      </c>
      <c r="F1067" s="22" t="str">
        <f aca="false">IF(D1067="","",IF(COUNTIFS($B$5:$B$2004,B1067,$D$5:$D$2004,D1067)&gt;1,"DUPLICATE",IF(ISNA(MATCH(D1067,Players!$B$5:$B$304,0)),"UID not found",IF(INDEX(Players!$H$5:$H$304,MATCH(D1067,Players!$B$5:$B$304,0))&lt;0,"LOW BALANCE","OK"))))</f>
        <v/>
      </c>
      <c r="G1067" s="1"/>
      <c r="H1067" s="1"/>
      <c r="I1067" s="1"/>
    </row>
    <row r="1068" customFormat="false" ht="21.75" hidden="false" customHeight="true" outlineLevel="0" collapsed="false">
      <c r="A1068" s="1"/>
      <c r="B1068" s="16"/>
      <c r="C1068" s="16"/>
      <c r="D1068" s="15"/>
      <c r="E1068" s="11" t="str">
        <f aca="false">IF(D1068="","",IFERROR(INDEX(Players!$C$5:$C$304,MATCH(D1068,Players!$B$5:$B$304,0)),""))</f>
        <v/>
      </c>
      <c r="F1068" s="22" t="str">
        <f aca="false">IF(D1068="","",IF(COUNTIFS($B$5:$B$2004,B1068,$D$5:$D$2004,D1068)&gt;1,"DUPLICATE",IF(ISNA(MATCH(D1068,Players!$B$5:$B$304,0)),"UID not found",IF(INDEX(Players!$H$5:$H$304,MATCH(D1068,Players!$B$5:$B$304,0))&lt;0,"LOW BALANCE","OK"))))</f>
        <v/>
      </c>
      <c r="G1068" s="1"/>
      <c r="H1068" s="1"/>
      <c r="I1068" s="1"/>
    </row>
    <row r="1069" customFormat="false" ht="21.75" hidden="false" customHeight="true" outlineLevel="0" collapsed="false">
      <c r="A1069" s="1"/>
      <c r="B1069" s="16"/>
      <c r="C1069" s="16"/>
      <c r="D1069" s="15"/>
      <c r="E1069" s="11" t="str">
        <f aca="false">IF(D1069="","",IFERROR(INDEX(Players!$C$5:$C$304,MATCH(D1069,Players!$B$5:$B$304,0)),""))</f>
        <v/>
      </c>
      <c r="F1069" s="22" t="str">
        <f aca="false">IF(D1069="","",IF(COUNTIFS($B$5:$B$2004,B1069,$D$5:$D$2004,D1069)&gt;1,"DUPLICATE",IF(ISNA(MATCH(D1069,Players!$B$5:$B$304,0)),"UID not found",IF(INDEX(Players!$H$5:$H$304,MATCH(D1069,Players!$B$5:$B$304,0))&lt;0,"LOW BALANCE","OK"))))</f>
        <v/>
      </c>
      <c r="G1069" s="1"/>
      <c r="H1069" s="1"/>
      <c r="I1069" s="1"/>
    </row>
    <row r="1070" customFormat="false" ht="21.75" hidden="false" customHeight="true" outlineLevel="0" collapsed="false">
      <c r="A1070" s="1"/>
      <c r="B1070" s="16"/>
      <c r="C1070" s="16"/>
      <c r="D1070" s="15"/>
      <c r="E1070" s="11" t="str">
        <f aca="false">IF(D1070="","",IFERROR(INDEX(Players!$C$5:$C$304,MATCH(D1070,Players!$B$5:$B$304,0)),""))</f>
        <v/>
      </c>
      <c r="F1070" s="22" t="str">
        <f aca="false">IF(D1070="","",IF(COUNTIFS($B$5:$B$2004,B1070,$D$5:$D$2004,D1070)&gt;1,"DUPLICATE",IF(ISNA(MATCH(D1070,Players!$B$5:$B$304,0)),"UID not found",IF(INDEX(Players!$H$5:$H$304,MATCH(D1070,Players!$B$5:$B$304,0))&lt;0,"LOW BALANCE","OK"))))</f>
        <v/>
      </c>
      <c r="G1070" s="1"/>
      <c r="H1070" s="1"/>
      <c r="I1070" s="1"/>
    </row>
    <row r="1071" customFormat="false" ht="21.75" hidden="false" customHeight="true" outlineLevel="0" collapsed="false">
      <c r="A1071" s="1"/>
      <c r="B1071" s="16"/>
      <c r="C1071" s="16"/>
      <c r="D1071" s="15"/>
      <c r="E1071" s="11" t="str">
        <f aca="false">IF(D1071="","",IFERROR(INDEX(Players!$C$5:$C$304,MATCH(D1071,Players!$B$5:$B$304,0)),""))</f>
        <v/>
      </c>
      <c r="F1071" s="22" t="str">
        <f aca="false">IF(D1071="","",IF(COUNTIFS($B$5:$B$2004,B1071,$D$5:$D$2004,D1071)&gt;1,"DUPLICATE",IF(ISNA(MATCH(D1071,Players!$B$5:$B$304,0)),"UID not found",IF(INDEX(Players!$H$5:$H$304,MATCH(D1071,Players!$B$5:$B$304,0))&lt;0,"LOW BALANCE","OK"))))</f>
        <v/>
      </c>
      <c r="G1071" s="1"/>
      <c r="H1071" s="1"/>
      <c r="I1071" s="1"/>
    </row>
    <row r="1072" customFormat="false" ht="21.75" hidden="false" customHeight="true" outlineLevel="0" collapsed="false">
      <c r="A1072" s="1"/>
      <c r="B1072" s="16"/>
      <c r="C1072" s="16"/>
      <c r="D1072" s="15"/>
      <c r="E1072" s="11" t="str">
        <f aca="false">IF(D1072="","",IFERROR(INDEX(Players!$C$5:$C$304,MATCH(D1072,Players!$B$5:$B$304,0)),""))</f>
        <v/>
      </c>
      <c r="F1072" s="22" t="str">
        <f aca="false">IF(D1072="","",IF(COUNTIFS($B$5:$B$2004,B1072,$D$5:$D$2004,D1072)&gt;1,"DUPLICATE",IF(ISNA(MATCH(D1072,Players!$B$5:$B$304,0)),"UID not found",IF(INDEX(Players!$H$5:$H$304,MATCH(D1072,Players!$B$5:$B$304,0))&lt;0,"LOW BALANCE","OK"))))</f>
        <v/>
      </c>
      <c r="G1072" s="1"/>
      <c r="H1072" s="1"/>
      <c r="I1072" s="1"/>
    </row>
    <row r="1073" customFormat="false" ht="21.75" hidden="false" customHeight="true" outlineLevel="0" collapsed="false">
      <c r="A1073" s="1"/>
      <c r="B1073" s="16"/>
      <c r="C1073" s="16"/>
      <c r="D1073" s="15"/>
      <c r="E1073" s="11" t="str">
        <f aca="false">IF(D1073="","",IFERROR(INDEX(Players!$C$5:$C$304,MATCH(D1073,Players!$B$5:$B$304,0)),""))</f>
        <v/>
      </c>
      <c r="F1073" s="22" t="str">
        <f aca="false">IF(D1073="","",IF(COUNTIFS($B$5:$B$2004,B1073,$D$5:$D$2004,D1073)&gt;1,"DUPLICATE",IF(ISNA(MATCH(D1073,Players!$B$5:$B$304,0)),"UID not found",IF(INDEX(Players!$H$5:$H$304,MATCH(D1073,Players!$B$5:$B$304,0))&lt;0,"LOW BALANCE","OK"))))</f>
        <v/>
      </c>
      <c r="G1073" s="1"/>
      <c r="H1073" s="1"/>
      <c r="I1073" s="1"/>
    </row>
    <row r="1074" customFormat="false" ht="21.75" hidden="false" customHeight="true" outlineLevel="0" collapsed="false">
      <c r="A1074" s="1"/>
      <c r="B1074" s="16"/>
      <c r="C1074" s="16"/>
      <c r="D1074" s="15"/>
      <c r="E1074" s="11" t="str">
        <f aca="false">IF(D1074="","",IFERROR(INDEX(Players!$C$5:$C$304,MATCH(D1074,Players!$B$5:$B$304,0)),""))</f>
        <v/>
      </c>
      <c r="F1074" s="22" t="str">
        <f aca="false">IF(D1074="","",IF(COUNTIFS($B$5:$B$2004,B1074,$D$5:$D$2004,D1074)&gt;1,"DUPLICATE",IF(ISNA(MATCH(D1074,Players!$B$5:$B$304,0)),"UID not found",IF(INDEX(Players!$H$5:$H$304,MATCH(D1074,Players!$B$5:$B$304,0))&lt;0,"LOW BALANCE","OK"))))</f>
        <v/>
      </c>
      <c r="G1074" s="1"/>
      <c r="H1074" s="1"/>
      <c r="I1074" s="1"/>
    </row>
    <row r="1075" customFormat="false" ht="21.75" hidden="false" customHeight="true" outlineLevel="0" collapsed="false">
      <c r="A1075" s="1"/>
      <c r="B1075" s="16"/>
      <c r="C1075" s="16"/>
      <c r="D1075" s="15"/>
      <c r="E1075" s="11" t="str">
        <f aca="false">IF(D1075="","",IFERROR(INDEX(Players!$C$5:$C$304,MATCH(D1075,Players!$B$5:$B$304,0)),""))</f>
        <v/>
      </c>
      <c r="F1075" s="22" t="str">
        <f aca="false">IF(D1075="","",IF(COUNTIFS($B$5:$B$2004,B1075,$D$5:$D$2004,D1075)&gt;1,"DUPLICATE",IF(ISNA(MATCH(D1075,Players!$B$5:$B$304,0)),"UID not found",IF(INDEX(Players!$H$5:$H$304,MATCH(D1075,Players!$B$5:$B$304,0))&lt;0,"LOW BALANCE","OK"))))</f>
        <v/>
      </c>
      <c r="G1075" s="1"/>
      <c r="H1075" s="1"/>
      <c r="I1075" s="1"/>
    </row>
    <row r="1076" customFormat="false" ht="21.75" hidden="false" customHeight="true" outlineLevel="0" collapsed="false">
      <c r="A1076" s="1"/>
      <c r="B1076" s="16"/>
      <c r="C1076" s="16"/>
      <c r="D1076" s="15"/>
      <c r="E1076" s="11" t="str">
        <f aca="false">IF(D1076="","",IFERROR(INDEX(Players!$C$5:$C$304,MATCH(D1076,Players!$B$5:$B$304,0)),""))</f>
        <v/>
      </c>
      <c r="F1076" s="22" t="str">
        <f aca="false">IF(D1076="","",IF(COUNTIFS($B$5:$B$2004,B1076,$D$5:$D$2004,D1076)&gt;1,"DUPLICATE",IF(ISNA(MATCH(D1076,Players!$B$5:$B$304,0)),"UID not found",IF(INDEX(Players!$H$5:$H$304,MATCH(D1076,Players!$B$5:$B$304,0))&lt;0,"LOW BALANCE","OK"))))</f>
        <v/>
      </c>
      <c r="G1076" s="1"/>
      <c r="H1076" s="1"/>
      <c r="I1076" s="1"/>
    </row>
    <row r="1077" customFormat="false" ht="21.75" hidden="false" customHeight="true" outlineLevel="0" collapsed="false">
      <c r="A1077" s="1"/>
      <c r="B1077" s="16"/>
      <c r="C1077" s="16"/>
      <c r="D1077" s="15"/>
      <c r="E1077" s="11" t="str">
        <f aca="false">IF(D1077="","",IFERROR(INDEX(Players!$C$5:$C$304,MATCH(D1077,Players!$B$5:$B$304,0)),""))</f>
        <v/>
      </c>
      <c r="F1077" s="22" t="str">
        <f aca="false">IF(D1077="","",IF(COUNTIFS($B$5:$B$2004,B1077,$D$5:$D$2004,D1077)&gt;1,"DUPLICATE",IF(ISNA(MATCH(D1077,Players!$B$5:$B$304,0)),"UID not found",IF(INDEX(Players!$H$5:$H$304,MATCH(D1077,Players!$B$5:$B$304,0))&lt;0,"LOW BALANCE","OK"))))</f>
        <v/>
      </c>
      <c r="G1077" s="1"/>
      <c r="H1077" s="1"/>
      <c r="I1077" s="1"/>
    </row>
    <row r="1078" customFormat="false" ht="21.75" hidden="false" customHeight="true" outlineLevel="0" collapsed="false">
      <c r="A1078" s="1"/>
      <c r="B1078" s="16"/>
      <c r="C1078" s="16"/>
      <c r="D1078" s="15"/>
      <c r="E1078" s="11" t="str">
        <f aca="false">IF(D1078="","",IFERROR(INDEX(Players!$C$5:$C$304,MATCH(D1078,Players!$B$5:$B$304,0)),""))</f>
        <v/>
      </c>
      <c r="F1078" s="22" t="str">
        <f aca="false">IF(D1078="","",IF(COUNTIFS($B$5:$B$2004,B1078,$D$5:$D$2004,D1078)&gt;1,"DUPLICATE",IF(ISNA(MATCH(D1078,Players!$B$5:$B$304,0)),"UID not found",IF(INDEX(Players!$H$5:$H$304,MATCH(D1078,Players!$B$5:$B$304,0))&lt;0,"LOW BALANCE","OK"))))</f>
        <v/>
      </c>
      <c r="G1078" s="1"/>
      <c r="H1078" s="1"/>
      <c r="I1078" s="1"/>
    </row>
    <row r="1079" customFormat="false" ht="21.75" hidden="false" customHeight="true" outlineLevel="0" collapsed="false">
      <c r="A1079" s="1"/>
      <c r="B1079" s="16"/>
      <c r="C1079" s="16"/>
      <c r="D1079" s="15"/>
      <c r="E1079" s="11" t="str">
        <f aca="false">IF(D1079="","",IFERROR(INDEX(Players!$C$5:$C$304,MATCH(D1079,Players!$B$5:$B$304,0)),""))</f>
        <v/>
      </c>
      <c r="F1079" s="22" t="str">
        <f aca="false">IF(D1079="","",IF(COUNTIFS($B$5:$B$2004,B1079,$D$5:$D$2004,D1079)&gt;1,"DUPLICATE",IF(ISNA(MATCH(D1079,Players!$B$5:$B$304,0)),"UID not found",IF(INDEX(Players!$H$5:$H$304,MATCH(D1079,Players!$B$5:$B$304,0))&lt;0,"LOW BALANCE","OK"))))</f>
        <v/>
      </c>
      <c r="G1079" s="1"/>
      <c r="H1079" s="1"/>
      <c r="I1079" s="1"/>
    </row>
    <row r="1080" customFormat="false" ht="21.75" hidden="false" customHeight="true" outlineLevel="0" collapsed="false">
      <c r="A1080" s="1"/>
      <c r="B1080" s="16"/>
      <c r="C1080" s="16"/>
      <c r="D1080" s="15"/>
      <c r="E1080" s="11" t="str">
        <f aca="false">IF(D1080="","",IFERROR(INDEX(Players!$C$5:$C$304,MATCH(D1080,Players!$B$5:$B$304,0)),""))</f>
        <v/>
      </c>
      <c r="F1080" s="22" t="str">
        <f aca="false">IF(D1080="","",IF(COUNTIFS($B$5:$B$2004,B1080,$D$5:$D$2004,D1080)&gt;1,"DUPLICATE",IF(ISNA(MATCH(D1080,Players!$B$5:$B$304,0)),"UID not found",IF(INDEX(Players!$H$5:$H$304,MATCH(D1080,Players!$B$5:$B$304,0))&lt;0,"LOW BALANCE","OK"))))</f>
        <v/>
      </c>
      <c r="G1080" s="1"/>
      <c r="H1080" s="1"/>
      <c r="I1080" s="1"/>
    </row>
    <row r="1081" customFormat="false" ht="21.75" hidden="false" customHeight="true" outlineLevel="0" collapsed="false">
      <c r="A1081" s="1"/>
      <c r="B1081" s="16"/>
      <c r="C1081" s="16"/>
      <c r="D1081" s="15"/>
      <c r="E1081" s="11" t="str">
        <f aca="false">IF(D1081="","",IFERROR(INDEX(Players!$C$5:$C$304,MATCH(D1081,Players!$B$5:$B$304,0)),""))</f>
        <v/>
      </c>
      <c r="F1081" s="22" t="str">
        <f aca="false">IF(D1081="","",IF(COUNTIFS($B$5:$B$2004,B1081,$D$5:$D$2004,D1081)&gt;1,"DUPLICATE",IF(ISNA(MATCH(D1081,Players!$B$5:$B$304,0)),"UID not found",IF(INDEX(Players!$H$5:$H$304,MATCH(D1081,Players!$B$5:$B$304,0))&lt;0,"LOW BALANCE","OK"))))</f>
        <v/>
      </c>
      <c r="G1081" s="1"/>
      <c r="H1081" s="1"/>
      <c r="I1081" s="1"/>
    </row>
    <row r="1082" customFormat="false" ht="21.75" hidden="false" customHeight="true" outlineLevel="0" collapsed="false">
      <c r="A1082" s="1"/>
      <c r="B1082" s="16"/>
      <c r="C1082" s="16"/>
      <c r="D1082" s="15"/>
      <c r="E1082" s="11" t="str">
        <f aca="false">IF(D1082="","",IFERROR(INDEX(Players!$C$5:$C$304,MATCH(D1082,Players!$B$5:$B$304,0)),""))</f>
        <v/>
      </c>
      <c r="F1082" s="22" t="str">
        <f aca="false">IF(D1082="","",IF(COUNTIFS($B$5:$B$2004,B1082,$D$5:$D$2004,D1082)&gt;1,"DUPLICATE",IF(ISNA(MATCH(D1082,Players!$B$5:$B$304,0)),"UID not found",IF(INDEX(Players!$H$5:$H$304,MATCH(D1082,Players!$B$5:$B$304,0))&lt;0,"LOW BALANCE","OK"))))</f>
        <v/>
      </c>
      <c r="G1082" s="1"/>
      <c r="H1082" s="1"/>
      <c r="I1082" s="1"/>
    </row>
    <row r="1083" customFormat="false" ht="21.75" hidden="false" customHeight="true" outlineLevel="0" collapsed="false">
      <c r="A1083" s="1"/>
      <c r="B1083" s="16"/>
      <c r="C1083" s="16"/>
      <c r="D1083" s="15"/>
      <c r="E1083" s="11" t="str">
        <f aca="false">IF(D1083="","",IFERROR(INDEX(Players!$C$5:$C$304,MATCH(D1083,Players!$B$5:$B$304,0)),""))</f>
        <v/>
      </c>
      <c r="F1083" s="22" t="str">
        <f aca="false">IF(D1083="","",IF(COUNTIFS($B$5:$B$2004,B1083,$D$5:$D$2004,D1083)&gt;1,"DUPLICATE",IF(ISNA(MATCH(D1083,Players!$B$5:$B$304,0)),"UID not found",IF(INDEX(Players!$H$5:$H$304,MATCH(D1083,Players!$B$5:$B$304,0))&lt;0,"LOW BALANCE","OK"))))</f>
        <v/>
      </c>
      <c r="G1083" s="1"/>
      <c r="H1083" s="1"/>
      <c r="I1083" s="1"/>
    </row>
    <row r="1084" customFormat="false" ht="21.75" hidden="false" customHeight="true" outlineLevel="0" collapsed="false">
      <c r="A1084" s="1"/>
      <c r="B1084" s="16"/>
      <c r="C1084" s="16"/>
      <c r="D1084" s="15"/>
      <c r="E1084" s="11" t="str">
        <f aca="false">IF(D1084="","",IFERROR(INDEX(Players!$C$5:$C$304,MATCH(D1084,Players!$B$5:$B$304,0)),""))</f>
        <v/>
      </c>
      <c r="F1084" s="22" t="str">
        <f aca="false">IF(D1084="","",IF(COUNTIFS($B$5:$B$2004,B1084,$D$5:$D$2004,D1084)&gt;1,"DUPLICATE",IF(ISNA(MATCH(D1084,Players!$B$5:$B$304,0)),"UID not found",IF(INDEX(Players!$H$5:$H$304,MATCH(D1084,Players!$B$5:$B$304,0))&lt;0,"LOW BALANCE","OK"))))</f>
        <v/>
      </c>
      <c r="G1084" s="1"/>
      <c r="H1084" s="1"/>
      <c r="I1084" s="1"/>
    </row>
    <row r="1085" customFormat="false" ht="21.75" hidden="false" customHeight="true" outlineLevel="0" collapsed="false">
      <c r="A1085" s="1"/>
      <c r="B1085" s="16"/>
      <c r="C1085" s="16"/>
      <c r="D1085" s="15"/>
      <c r="E1085" s="11" t="str">
        <f aca="false">IF(D1085="","",IFERROR(INDEX(Players!$C$5:$C$304,MATCH(D1085,Players!$B$5:$B$304,0)),""))</f>
        <v/>
      </c>
      <c r="F1085" s="22" t="str">
        <f aca="false">IF(D1085="","",IF(COUNTIFS($B$5:$B$2004,B1085,$D$5:$D$2004,D1085)&gt;1,"DUPLICATE",IF(ISNA(MATCH(D1085,Players!$B$5:$B$304,0)),"UID not found",IF(INDEX(Players!$H$5:$H$304,MATCH(D1085,Players!$B$5:$B$304,0))&lt;0,"LOW BALANCE","OK"))))</f>
        <v/>
      </c>
      <c r="G1085" s="1"/>
      <c r="H1085" s="1"/>
      <c r="I1085" s="1"/>
    </row>
    <row r="1086" customFormat="false" ht="21.75" hidden="false" customHeight="true" outlineLevel="0" collapsed="false">
      <c r="A1086" s="1"/>
      <c r="B1086" s="16"/>
      <c r="C1086" s="16"/>
      <c r="D1086" s="15"/>
      <c r="E1086" s="11" t="str">
        <f aca="false">IF(D1086="","",IFERROR(INDEX(Players!$C$5:$C$304,MATCH(D1086,Players!$B$5:$B$304,0)),""))</f>
        <v/>
      </c>
      <c r="F1086" s="22" t="str">
        <f aca="false">IF(D1086="","",IF(COUNTIFS($B$5:$B$2004,B1086,$D$5:$D$2004,D1086)&gt;1,"DUPLICATE",IF(ISNA(MATCH(D1086,Players!$B$5:$B$304,0)),"UID not found",IF(INDEX(Players!$H$5:$H$304,MATCH(D1086,Players!$B$5:$B$304,0))&lt;0,"LOW BALANCE","OK"))))</f>
        <v/>
      </c>
      <c r="G1086" s="1"/>
      <c r="H1086" s="1"/>
      <c r="I1086" s="1"/>
    </row>
    <row r="1087" customFormat="false" ht="21.75" hidden="false" customHeight="true" outlineLevel="0" collapsed="false">
      <c r="A1087" s="1"/>
      <c r="B1087" s="16"/>
      <c r="C1087" s="16"/>
      <c r="D1087" s="15"/>
      <c r="E1087" s="11" t="str">
        <f aca="false">IF(D1087="","",IFERROR(INDEX(Players!$C$5:$C$304,MATCH(D1087,Players!$B$5:$B$304,0)),""))</f>
        <v/>
      </c>
      <c r="F1087" s="22" t="str">
        <f aca="false">IF(D1087="","",IF(COUNTIFS($B$5:$B$2004,B1087,$D$5:$D$2004,D1087)&gt;1,"DUPLICATE",IF(ISNA(MATCH(D1087,Players!$B$5:$B$304,0)),"UID not found",IF(INDEX(Players!$H$5:$H$304,MATCH(D1087,Players!$B$5:$B$304,0))&lt;0,"LOW BALANCE","OK"))))</f>
        <v/>
      </c>
      <c r="G1087" s="1"/>
      <c r="H1087" s="1"/>
      <c r="I1087" s="1"/>
    </row>
    <row r="1088" customFormat="false" ht="21.75" hidden="false" customHeight="true" outlineLevel="0" collapsed="false">
      <c r="A1088" s="1"/>
      <c r="B1088" s="16"/>
      <c r="C1088" s="16"/>
      <c r="D1088" s="15"/>
      <c r="E1088" s="11" t="str">
        <f aca="false">IF(D1088="","",IFERROR(INDEX(Players!$C$5:$C$304,MATCH(D1088,Players!$B$5:$B$304,0)),""))</f>
        <v/>
      </c>
      <c r="F1088" s="22" t="str">
        <f aca="false">IF(D1088="","",IF(COUNTIFS($B$5:$B$2004,B1088,$D$5:$D$2004,D1088)&gt;1,"DUPLICATE",IF(ISNA(MATCH(D1088,Players!$B$5:$B$304,0)),"UID not found",IF(INDEX(Players!$H$5:$H$304,MATCH(D1088,Players!$B$5:$B$304,0))&lt;0,"LOW BALANCE","OK"))))</f>
        <v/>
      </c>
      <c r="G1088" s="1"/>
      <c r="H1088" s="1"/>
      <c r="I1088" s="1"/>
    </row>
    <row r="1089" customFormat="false" ht="21.75" hidden="false" customHeight="true" outlineLevel="0" collapsed="false">
      <c r="A1089" s="1"/>
      <c r="B1089" s="16"/>
      <c r="C1089" s="16"/>
      <c r="D1089" s="15"/>
      <c r="E1089" s="11" t="str">
        <f aca="false">IF(D1089="","",IFERROR(INDEX(Players!$C$5:$C$304,MATCH(D1089,Players!$B$5:$B$304,0)),""))</f>
        <v/>
      </c>
      <c r="F1089" s="22" t="str">
        <f aca="false">IF(D1089="","",IF(COUNTIFS($B$5:$B$2004,B1089,$D$5:$D$2004,D1089)&gt;1,"DUPLICATE",IF(ISNA(MATCH(D1089,Players!$B$5:$B$304,0)),"UID not found",IF(INDEX(Players!$H$5:$H$304,MATCH(D1089,Players!$B$5:$B$304,0))&lt;0,"LOW BALANCE","OK"))))</f>
        <v/>
      </c>
      <c r="G1089" s="1"/>
      <c r="H1089" s="1"/>
      <c r="I1089" s="1"/>
    </row>
    <row r="1090" customFormat="false" ht="21.75" hidden="false" customHeight="true" outlineLevel="0" collapsed="false">
      <c r="A1090" s="1"/>
      <c r="B1090" s="16"/>
      <c r="C1090" s="16"/>
      <c r="D1090" s="15"/>
      <c r="E1090" s="11" t="str">
        <f aca="false">IF(D1090="","",IFERROR(INDEX(Players!$C$5:$C$304,MATCH(D1090,Players!$B$5:$B$304,0)),""))</f>
        <v/>
      </c>
      <c r="F1090" s="22" t="str">
        <f aca="false">IF(D1090="","",IF(COUNTIFS($B$5:$B$2004,B1090,$D$5:$D$2004,D1090)&gt;1,"DUPLICATE",IF(ISNA(MATCH(D1090,Players!$B$5:$B$304,0)),"UID not found",IF(INDEX(Players!$H$5:$H$304,MATCH(D1090,Players!$B$5:$B$304,0))&lt;0,"LOW BALANCE","OK"))))</f>
        <v/>
      </c>
      <c r="G1090" s="1"/>
      <c r="H1090" s="1"/>
      <c r="I1090" s="1"/>
    </row>
    <row r="1091" customFormat="false" ht="21.75" hidden="false" customHeight="true" outlineLevel="0" collapsed="false">
      <c r="A1091" s="1"/>
      <c r="B1091" s="16"/>
      <c r="C1091" s="16"/>
      <c r="D1091" s="15"/>
      <c r="E1091" s="11" t="str">
        <f aca="false">IF(D1091="","",IFERROR(INDEX(Players!$C$5:$C$304,MATCH(D1091,Players!$B$5:$B$304,0)),""))</f>
        <v/>
      </c>
      <c r="F1091" s="22" t="str">
        <f aca="false">IF(D1091="","",IF(COUNTIFS($B$5:$B$2004,B1091,$D$5:$D$2004,D1091)&gt;1,"DUPLICATE",IF(ISNA(MATCH(D1091,Players!$B$5:$B$304,0)),"UID not found",IF(INDEX(Players!$H$5:$H$304,MATCH(D1091,Players!$B$5:$B$304,0))&lt;0,"LOW BALANCE","OK"))))</f>
        <v/>
      </c>
      <c r="G1091" s="1"/>
      <c r="H1091" s="1"/>
      <c r="I1091" s="1"/>
    </row>
    <row r="1092" customFormat="false" ht="21.75" hidden="false" customHeight="true" outlineLevel="0" collapsed="false">
      <c r="A1092" s="1"/>
      <c r="B1092" s="16"/>
      <c r="C1092" s="16"/>
      <c r="D1092" s="15"/>
      <c r="E1092" s="11" t="str">
        <f aca="false">IF(D1092="","",IFERROR(INDEX(Players!$C$5:$C$304,MATCH(D1092,Players!$B$5:$B$304,0)),""))</f>
        <v/>
      </c>
      <c r="F1092" s="22" t="str">
        <f aca="false">IF(D1092="","",IF(COUNTIFS($B$5:$B$2004,B1092,$D$5:$D$2004,D1092)&gt;1,"DUPLICATE",IF(ISNA(MATCH(D1092,Players!$B$5:$B$304,0)),"UID not found",IF(INDEX(Players!$H$5:$H$304,MATCH(D1092,Players!$B$5:$B$304,0))&lt;0,"LOW BALANCE","OK"))))</f>
        <v/>
      </c>
      <c r="G1092" s="1"/>
      <c r="H1092" s="1"/>
      <c r="I1092" s="1"/>
    </row>
    <row r="1093" customFormat="false" ht="21.75" hidden="false" customHeight="true" outlineLevel="0" collapsed="false">
      <c r="A1093" s="1"/>
      <c r="B1093" s="16"/>
      <c r="C1093" s="16"/>
      <c r="D1093" s="15"/>
      <c r="E1093" s="11" t="str">
        <f aca="false">IF(D1093="","",IFERROR(INDEX(Players!$C$5:$C$304,MATCH(D1093,Players!$B$5:$B$304,0)),""))</f>
        <v/>
      </c>
      <c r="F1093" s="22" t="str">
        <f aca="false">IF(D1093="","",IF(COUNTIFS($B$5:$B$2004,B1093,$D$5:$D$2004,D1093)&gt;1,"DUPLICATE",IF(ISNA(MATCH(D1093,Players!$B$5:$B$304,0)),"UID not found",IF(INDEX(Players!$H$5:$H$304,MATCH(D1093,Players!$B$5:$B$304,0))&lt;0,"LOW BALANCE","OK"))))</f>
        <v/>
      </c>
      <c r="G1093" s="1"/>
      <c r="H1093" s="1"/>
      <c r="I1093" s="1"/>
    </row>
    <row r="1094" customFormat="false" ht="21.75" hidden="false" customHeight="true" outlineLevel="0" collapsed="false">
      <c r="A1094" s="1"/>
      <c r="B1094" s="16"/>
      <c r="C1094" s="16"/>
      <c r="D1094" s="15"/>
      <c r="E1094" s="11" t="str">
        <f aca="false">IF(D1094="","",IFERROR(INDEX(Players!$C$5:$C$304,MATCH(D1094,Players!$B$5:$B$304,0)),""))</f>
        <v/>
      </c>
      <c r="F1094" s="22" t="str">
        <f aca="false">IF(D1094="","",IF(COUNTIFS($B$5:$B$2004,B1094,$D$5:$D$2004,D1094)&gt;1,"DUPLICATE",IF(ISNA(MATCH(D1094,Players!$B$5:$B$304,0)),"UID not found",IF(INDEX(Players!$H$5:$H$304,MATCH(D1094,Players!$B$5:$B$304,0))&lt;0,"LOW BALANCE","OK"))))</f>
        <v/>
      </c>
      <c r="G1094" s="1"/>
      <c r="H1094" s="1"/>
      <c r="I1094" s="1"/>
    </row>
    <row r="1095" customFormat="false" ht="21.75" hidden="false" customHeight="true" outlineLevel="0" collapsed="false">
      <c r="A1095" s="1"/>
      <c r="B1095" s="16"/>
      <c r="C1095" s="16"/>
      <c r="D1095" s="15"/>
      <c r="E1095" s="11" t="str">
        <f aca="false">IF(D1095="","",IFERROR(INDEX(Players!$C$5:$C$304,MATCH(D1095,Players!$B$5:$B$304,0)),""))</f>
        <v/>
      </c>
      <c r="F1095" s="22" t="str">
        <f aca="false">IF(D1095="","",IF(COUNTIFS($B$5:$B$2004,B1095,$D$5:$D$2004,D1095)&gt;1,"DUPLICATE",IF(ISNA(MATCH(D1095,Players!$B$5:$B$304,0)),"UID not found",IF(INDEX(Players!$H$5:$H$304,MATCH(D1095,Players!$B$5:$B$304,0))&lt;0,"LOW BALANCE","OK"))))</f>
        <v/>
      </c>
      <c r="G1095" s="1"/>
      <c r="H1095" s="1"/>
      <c r="I1095" s="1"/>
    </row>
    <row r="1096" customFormat="false" ht="21.75" hidden="false" customHeight="true" outlineLevel="0" collapsed="false">
      <c r="A1096" s="1"/>
      <c r="B1096" s="16"/>
      <c r="C1096" s="16"/>
      <c r="D1096" s="15"/>
      <c r="E1096" s="11" t="str">
        <f aca="false">IF(D1096="","",IFERROR(INDEX(Players!$C$5:$C$304,MATCH(D1096,Players!$B$5:$B$304,0)),""))</f>
        <v/>
      </c>
      <c r="F1096" s="22" t="str">
        <f aca="false">IF(D1096="","",IF(COUNTIFS($B$5:$B$2004,B1096,$D$5:$D$2004,D1096)&gt;1,"DUPLICATE",IF(ISNA(MATCH(D1096,Players!$B$5:$B$304,0)),"UID not found",IF(INDEX(Players!$H$5:$H$304,MATCH(D1096,Players!$B$5:$B$304,0))&lt;0,"LOW BALANCE","OK"))))</f>
        <v/>
      </c>
      <c r="G1096" s="1"/>
      <c r="H1096" s="1"/>
      <c r="I1096" s="1"/>
    </row>
    <row r="1097" customFormat="false" ht="21.75" hidden="false" customHeight="true" outlineLevel="0" collapsed="false">
      <c r="A1097" s="1"/>
      <c r="B1097" s="16"/>
      <c r="C1097" s="16"/>
      <c r="D1097" s="15"/>
      <c r="E1097" s="11" t="str">
        <f aca="false">IF(D1097="","",IFERROR(INDEX(Players!$C$5:$C$304,MATCH(D1097,Players!$B$5:$B$304,0)),""))</f>
        <v/>
      </c>
      <c r="F1097" s="22" t="str">
        <f aca="false">IF(D1097="","",IF(COUNTIFS($B$5:$B$2004,B1097,$D$5:$D$2004,D1097)&gt;1,"DUPLICATE",IF(ISNA(MATCH(D1097,Players!$B$5:$B$304,0)),"UID not found",IF(INDEX(Players!$H$5:$H$304,MATCH(D1097,Players!$B$5:$B$304,0))&lt;0,"LOW BALANCE","OK"))))</f>
        <v/>
      </c>
      <c r="G1097" s="1"/>
      <c r="H1097" s="1"/>
      <c r="I1097" s="1"/>
    </row>
    <row r="1098" customFormat="false" ht="21.75" hidden="false" customHeight="true" outlineLevel="0" collapsed="false">
      <c r="A1098" s="1"/>
      <c r="B1098" s="16"/>
      <c r="C1098" s="16"/>
      <c r="D1098" s="15"/>
      <c r="E1098" s="11" t="str">
        <f aca="false">IF(D1098="","",IFERROR(INDEX(Players!$C$5:$C$304,MATCH(D1098,Players!$B$5:$B$304,0)),""))</f>
        <v/>
      </c>
      <c r="F1098" s="22" t="str">
        <f aca="false">IF(D1098="","",IF(COUNTIFS($B$5:$B$2004,B1098,$D$5:$D$2004,D1098)&gt;1,"DUPLICATE",IF(ISNA(MATCH(D1098,Players!$B$5:$B$304,0)),"UID not found",IF(INDEX(Players!$H$5:$H$304,MATCH(D1098,Players!$B$5:$B$304,0))&lt;0,"LOW BALANCE","OK"))))</f>
        <v/>
      </c>
      <c r="G1098" s="1"/>
      <c r="H1098" s="1"/>
      <c r="I1098" s="1"/>
    </row>
    <row r="1099" customFormat="false" ht="21.75" hidden="false" customHeight="true" outlineLevel="0" collapsed="false">
      <c r="A1099" s="1"/>
      <c r="B1099" s="16"/>
      <c r="C1099" s="16"/>
      <c r="D1099" s="15"/>
      <c r="E1099" s="11" t="str">
        <f aca="false">IF(D1099="","",IFERROR(INDEX(Players!$C$5:$C$304,MATCH(D1099,Players!$B$5:$B$304,0)),""))</f>
        <v/>
      </c>
      <c r="F1099" s="22" t="str">
        <f aca="false">IF(D1099="","",IF(COUNTIFS($B$5:$B$2004,B1099,$D$5:$D$2004,D1099)&gt;1,"DUPLICATE",IF(ISNA(MATCH(D1099,Players!$B$5:$B$304,0)),"UID not found",IF(INDEX(Players!$H$5:$H$304,MATCH(D1099,Players!$B$5:$B$304,0))&lt;0,"LOW BALANCE","OK"))))</f>
        <v/>
      </c>
      <c r="G1099" s="1"/>
      <c r="H1099" s="1"/>
      <c r="I1099" s="1"/>
    </row>
    <row r="1100" customFormat="false" ht="21.75" hidden="false" customHeight="true" outlineLevel="0" collapsed="false">
      <c r="A1100" s="1"/>
      <c r="B1100" s="16"/>
      <c r="C1100" s="16"/>
      <c r="D1100" s="15"/>
      <c r="E1100" s="11" t="str">
        <f aca="false">IF(D1100="","",IFERROR(INDEX(Players!$C$5:$C$304,MATCH(D1100,Players!$B$5:$B$304,0)),""))</f>
        <v/>
      </c>
      <c r="F1100" s="22" t="str">
        <f aca="false">IF(D1100="","",IF(COUNTIFS($B$5:$B$2004,B1100,$D$5:$D$2004,D1100)&gt;1,"DUPLICATE",IF(ISNA(MATCH(D1100,Players!$B$5:$B$304,0)),"UID not found",IF(INDEX(Players!$H$5:$H$304,MATCH(D1100,Players!$B$5:$B$304,0))&lt;0,"LOW BALANCE","OK"))))</f>
        <v/>
      </c>
      <c r="G1100" s="1"/>
      <c r="H1100" s="1"/>
      <c r="I1100" s="1"/>
    </row>
    <row r="1101" customFormat="false" ht="21.75" hidden="false" customHeight="true" outlineLevel="0" collapsed="false">
      <c r="A1101" s="1"/>
      <c r="B1101" s="16"/>
      <c r="C1101" s="16"/>
      <c r="D1101" s="15"/>
      <c r="E1101" s="11" t="str">
        <f aca="false">IF(D1101="","",IFERROR(INDEX(Players!$C$5:$C$304,MATCH(D1101,Players!$B$5:$B$304,0)),""))</f>
        <v/>
      </c>
      <c r="F1101" s="22" t="str">
        <f aca="false">IF(D1101="","",IF(COUNTIFS($B$5:$B$2004,B1101,$D$5:$D$2004,D1101)&gt;1,"DUPLICATE",IF(ISNA(MATCH(D1101,Players!$B$5:$B$304,0)),"UID not found",IF(INDEX(Players!$H$5:$H$304,MATCH(D1101,Players!$B$5:$B$304,0))&lt;0,"LOW BALANCE","OK"))))</f>
        <v/>
      </c>
      <c r="G1101" s="1"/>
      <c r="H1101" s="1"/>
      <c r="I1101" s="1"/>
    </row>
    <row r="1102" customFormat="false" ht="21.75" hidden="false" customHeight="true" outlineLevel="0" collapsed="false">
      <c r="A1102" s="1"/>
      <c r="B1102" s="16"/>
      <c r="C1102" s="16"/>
      <c r="D1102" s="15"/>
      <c r="E1102" s="11" t="str">
        <f aca="false">IF(D1102="","",IFERROR(INDEX(Players!$C$5:$C$304,MATCH(D1102,Players!$B$5:$B$304,0)),""))</f>
        <v/>
      </c>
      <c r="F1102" s="22" t="str">
        <f aca="false">IF(D1102="","",IF(COUNTIFS($B$5:$B$2004,B1102,$D$5:$D$2004,D1102)&gt;1,"DUPLICATE",IF(ISNA(MATCH(D1102,Players!$B$5:$B$304,0)),"UID not found",IF(INDEX(Players!$H$5:$H$304,MATCH(D1102,Players!$B$5:$B$304,0))&lt;0,"LOW BALANCE","OK"))))</f>
        <v/>
      </c>
      <c r="G1102" s="1"/>
      <c r="H1102" s="1"/>
      <c r="I1102" s="1"/>
    </row>
    <row r="1103" customFormat="false" ht="21.75" hidden="false" customHeight="true" outlineLevel="0" collapsed="false">
      <c r="A1103" s="1"/>
      <c r="B1103" s="16"/>
      <c r="C1103" s="16"/>
      <c r="D1103" s="15"/>
      <c r="E1103" s="11" t="str">
        <f aca="false">IF(D1103="","",IFERROR(INDEX(Players!$C$5:$C$304,MATCH(D1103,Players!$B$5:$B$304,0)),""))</f>
        <v/>
      </c>
      <c r="F1103" s="22" t="str">
        <f aca="false">IF(D1103="","",IF(COUNTIFS($B$5:$B$2004,B1103,$D$5:$D$2004,D1103)&gt;1,"DUPLICATE",IF(ISNA(MATCH(D1103,Players!$B$5:$B$304,0)),"UID not found",IF(INDEX(Players!$H$5:$H$304,MATCH(D1103,Players!$B$5:$B$304,0))&lt;0,"LOW BALANCE","OK"))))</f>
        <v/>
      </c>
      <c r="G1103" s="1"/>
      <c r="H1103" s="1"/>
      <c r="I1103" s="1"/>
    </row>
    <row r="1104" customFormat="false" ht="21.75" hidden="false" customHeight="true" outlineLevel="0" collapsed="false">
      <c r="A1104" s="1"/>
      <c r="B1104" s="16"/>
      <c r="C1104" s="16"/>
      <c r="D1104" s="15"/>
      <c r="E1104" s="11" t="str">
        <f aca="false">IF(D1104="","",IFERROR(INDEX(Players!$C$5:$C$304,MATCH(D1104,Players!$B$5:$B$304,0)),""))</f>
        <v/>
      </c>
      <c r="F1104" s="22" t="str">
        <f aca="false">IF(D1104="","",IF(COUNTIFS($B$5:$B$2004,B1104,$D$5:$D$2004,D1104)&gt;1,"DUPLICATE",IF(ISNA(MATCH(D1104,Players!$B$5:$B$304,0)),"UID not found",IF(INDEX(Players!$H$5:$H$304,MATCH(D1104,Players!$B$5:$B$304,0))&lt;0,"LOW BALANCE","OK"))))</f>
        <v/>
      </c>
      <c r="G1104" s="1"/>
      <c r="H1104" s="1"/>
      <c r="I1104" s="1"/>
    </row>
    <row r="1105" customFormat="false" ht="21.75" hidden="false" customHeight="true" outlineLevel="0" collapsed="false">
      <c r="A1105" s="1"/>
      <c r="B1105" s="16"/>
      <c r="C1105" s="16"/>
      <c r="D1105" s="15"/>
      <c r="E1105" s="11" t="str">
        <f aca="false">IF(D1105="","",IFERROR(INDEX(Players!$C$5:$C$304,MATCH(D1105,Players!$B$5:$B$304,0)),""))</f>
        <v/>
      </c>
      <c r="F1105" s="22" t="str">
        <f aca="false">IF(D1105="","",IF(COUNTIFS($B$5:$B$2004,B1105,$D$5:$D$2004,D1105)&gt;1,"DUPLICATE",IF(ISNA(MATCH(D1105,Players!$B$5:$B$304,0)),"UID not found",IF(INDEX(Players!$H$5:$H$304,MATCH(D1105,Players!$B$5:$B$304,0))&lt;0,"LOW BALANCE","OK"))))</f>
        <v/>
      </c>
      <c r="G1105" s="1"/>
      <c r="H1105" s="1"/>
      <c r="I1105" s="1"/>
    </row>
    <row r="1106" customFormat="false" ht="21.75" hidden="false" customHeight="true" outlineLevel="0" collapsed="false">
      <c r="A1106" s="1"/>
      <c r="B1106" s="16"/>
      <c r="C1106" s="16"/>
      <c r="D1106" s="15"/>
      <c r="E1106" s="11" t="str">
        <f aca="false">IF(D1106="","",IFERROR(INDEX(Players!$C$5:$C$304,MATCH(D1106,Players!$B$5:$B$304,0)),""))</f>
        <v/>
      </c>
      <c r="F1106" s="22" t="str">
        <f aca="false">IF(D1106="","",IF(COUNTIFS($B$5:$B$2004,B1106,$D$5:$D$2004,D1106)&gt;1,"DUPLICATE",IF(ISNA(MATCH(D1106,Players!$B$5:$B$304,0)),"UID not found",IF(INDEX(Players!$H$5:$H$304,MATCH(D1106,Players!$B$5:$B$304,0))&lt;0,"LOW BALANCE","OK"))))</f>
        <v/>
      </c>
      <c r="G1106" s="1"/>
      <c r="H1106" s="1"/>
      <c r="I1106" s="1"/>
    </row>
    <row r="1107" customFormat="false" ht="21.75" hidden="false" customHeight="true" outlineLevel="0" collapsed="false">
      <c r="A1107" s="1"/>
      <c r="B1107" s="16"/>
      <c r="C1107" s="16"/>
      <c r="D1107" s="15"/>
      <c r="E1107" s="11" t="str">
        <f aca="false">IF(D1107="","",IFERROR(INDEX(Players!$C$5:$C$304,MATCH(D1107,Players!$B$5:$B$304,0)),""))</f>
        <v/>
      </c>
      <c r="F1107" s="22" t="str">
        <f aca="false">IF(D1107="","",IF(COUNTIFS($B$5:$B$2004,B1107,$D$5:$D$2004,D1107)&gt;1,"DUPLICATE",IF(ISNA(MATCH(D1107,Players!$B$5:$B$304,0)),"UID not found",IF(INDEX(Players!$H$5:$H$304,MATCH(D1107,Players!$B$5:$B$304,0))&lt;0,"LOW BALANCE","OK"))))</f>
        <v/>
      </c>
      <c r="G1107" s="1"/>
      <c r="H1107" s="1"/>
      <c r="I1107" s="1"/>
    </row>
    <row r="1108" customFormat="false" ht="21.75" hidden="false" customHeight="true" outlineLevel="0" collapsed="false">
      <c r="A1108" s="1"/>
      <c r="B1108" s="16"/>
      <c r="C1108" s="16"/>
      <c r="D1108" s="15"/>
      <c r="E1108" s="11" t="str">
        <f aca="false">IF(D1108="","",IFERROR(INDEX(Players!$C$5:$C$304,MATCH(D1108,Players!$B$5:$B$304,0)),""))</f>
        <v/>
      </c>
      <c r="F1108" s="22" t="str">
        <f aca="false">IF(D1108="","",IF(COUNTIFS($B$5:$B$2004,B1108,$D$5:$D$2004,D1108)&gt;1,"DUPLICATE",IF(ISNA(MATCH(D1108,Players!$B$5:$B$304,0)),"UID not found",IF(INDEX(Players!$H$5:$H$304,MATCH(D1108,Players!$B$5:$B$304,0))&lt;0,"LOW BALANCE","OK"))))</f>
        <v/>
      </c>
      <c r="G1108" s="1"/>
      <c r="H1108" s="1"/>
      <c r="I1108" s="1"/>
    </row>
    <row r="1109" customFormat="false" ht="21.75" hidden="false" customHeight="true" outlineLevel="0" collapsed="false">
      <c r="A1109" s="1"/>
      <c r="B1109" s="16"/>
      <c r="C1109" s="16"/>
      <c r="D1109" s="15"/>
      <c r="E1109" s="11" t="str">
        <f aca="false">IF(D1109="","",IFERROR(INDEX(Players!$C$5:$C$304,MATCH(D1109,Players!$B$5:$B$304,0)),""))</f>
        <v/>
      </c>
      <c r="F1109" s="22" t="str">
        <f aca="false">IF(D1109="","",IF(COUNTIFS($B$5:$B$2004,B1109,$D$5:$D$2004,D1109)&gt;1,"DUPLICATE",IF(ISNA(MATCH(D1109,Players!$B$5:$B$304,0)),"UID not found",IF(INDEX(Players!$H$5:$H$304,MATCH(D1109,Players!$B$5:$B$304,0))&lt;0,"LOW BALANCE","OK"))))</f>
        <v/>
      </c>
      <c r="G1109" s="1"/>
      <c r="H1109" s="1"/>
      <c r="I1109" s="1"/>
    </row>
    <row r="1110" customFormat="false" ht="21.75" hidden="false" customHeight="true" outlineLevel="0" collapsed="false">
      <c r="A1110" s="1"/>
      <c r="B1110" s="16"/>
      <c r="C1110" s="16"/>
      <c r="D1110" s="15"/>
      <c r="E1110" s="11" t="str">
        <f aca="false">IF(D1110="","",IFERROR(INDEX(Players!$C$5:$C$304,MATCH(D1110,Players!$B$5:$B$304,0)),""))</f>
        <v/>
      </c>
      <c r="F1110" s="22" t="str">
        <f aca="false">IF(D1110="","",IF(COUNTIFS($B$5:$B$2004,B1110,$D$5:$D$2004,D1110)&gt;1,"DUPLICATE",IF(ISNA(MATCH(D1110,Players!$B$5:$B$304,0)),"UID not found",IF(INDEX(Players!$H$5:$H$304,MATCH(D1110,Players!$B$5:$B$304,0))&lt;0,"LOW BALANCE","OK"))))</f>
        <v/>
      </c>
      <c r="G1110" s="1"/>
      <c r="H1110" s="1"/>
      <c r="I1110" s="1"/>
    </row>
    <row r="1111" customFormat="false" ht="21.75" hidden="false" customHeight="true" outlineLevel="0" collapsed="false">
      <c r="A1111" s="1"/>
      <c r="B1111" s="16"/>
      <c r="C1111" s="16"/>
      <c r="D1111" s="15"/>
      <c r="E1111" s="11" t="str">
        <f aca="false">IF(D1111="","",IFERROR(INDEX(Players!$C$5:$C$304,MATCH(D1111,Players!$B$5:$B$304,0)),""))</f>
        <v/>
      </c>
      <c r="F1111" s="22" t="str">
        <f aca="false">IF(D1111="","",IF(COUNTIFS($B$5:$B$2004,B1111,$D$5:$D$2004,D1111)&gt;1,"DUPLICATE",IF(ISNA(MATCH(D1111,Players!$B$5:$B$304,0)),"UID not found",IF(INDEX(Players!$H$5:$H$304,MATCH(D1111,Players!$B$5:$B$304,0))&lt;0,"LOW BALANCE","OK"))))</f>
        <v/>
      </c>
      <c r="G1111" s="1"/>
      <c r="H1111" s="1"/>
      <c r="I1111" s="1"/>
    </row>
    <row r="1112" customFormat="false" ht="21.75" hidden="false" customHeight="true" outlineLevel="0" collapsed="false">
      <c r="A1112" s="1"/>
      <c r="B1112" s="16"/>
      <c r="C1112" s="16"/>
      <c r="D1112" s="15"/>
      <c r="E1112" s="11" t="str">
        <f aca="false">IF(D1112="","",IFERROR(INDEX(Players!$C$5:$C$304,MATCH(D1112,Players!$B$5:$B$304,0)),""))</f>
        <v/>
      </c>
      <c r="F1112" s="22" t="str">
        <f aca="false">IF(D1112="","",IF(COUNTIFS($B$5:$B$2004,B1112,$D$5:$D$2004,D1112)&gt;1,"DUPLICATE",IF(ISNA(MATCH(D1112,Players!$B$5:$B$304,0)),"UID not found",IF(INDEX(Players!$H$5:$H$304,MATCH(D1112,Players!$B$5:$B$304,0))&lt;0,"LOW BALANCE","OK"))))</f>
        <v/>
      </c>
      <c r="G1112" s="1"/>
      <c r="H1112" s="1"/>
      <c r="I1112" s="1"/>
    </row>
    <row r="1113" customFormat="false" ht="21.75" hidden="false" customHeight="true" outlineLevel="0" collapsed="false">
      <c r="A1113" s="1"/>
      <c r="B1113" s="16"/>
      <c r="C1113" s="16"/>
      <c r="D1113" s="15"/>
      <c r="E1113" s="11" t="str">
        <f aca="false">IF(D1113="","",IFERROR(INDEX(Players!$C$5:$C$304,MATCH(D1113,Players!$B$5:$B$304,0)),""))</f>
        <v/>
      </c>
      <c r="F1113" s="22" t="str">
        <f aca="false">IF(D1113="","",IF(COUNTIFS($B$5:$B$2004,B1113,$D$5:$D$2004,D1113)&gt;1,"DUPLICATE",IF(ISNA(MATCH(D1113,Players!$B$5:$B$304,0)),"UID not found",IF(INDEX(Players!$H$5:$H$304,MATCH(D1113,Players!$B$5:$B$304,0))&lt;0,"LOW BALANCE","OK"))))</f>
        <v/>
      </c>
      <c r="G1113" s="1"/>
      <c r="H1113" s="1"/>
      <c r="I1113" s="1"/>
    </row>
    <row r="1114" customFormat="false" ht="21.75" hidden="false" customHeight="true" outlineLevel="0" collapsed="false">
      <c r="A1114" s="1"/>
      <c r="B1114" s="16"/>
      <c r="C1114" s="16"/>
      <c r="D1114" s="15"/>
      <c r="E1114" s="11" t="str">
        <f aca="false">IF(D1114="","",IFERROR(INDEX(Players!$C$5:$C$304,MATCH(D1114,Players!$B$5:$B$304,0)),""))</f>
        <v/>
      </c>
      <c r="F1114" s="22" t="str">
        <f aca="false">IF(D1114="","",IF(COUNTIFS($B$5:$B$2004,B1114,$D$5:$D$2004,D1114)&gt;1,"DUPLICATE",IF(ISNA(MATCH(D1114,Players!$B$5:$B$304,0)),"UID not found",IF(INDEX(Players!$H$5:$H$304,MATCH(D1114,Players!$B$5:$B$304,0))&lt;0,"LOW BALANCE","OK"))))</f>
        <v/>
      </c>
      <c r="G1114" s="1"/>
      <c r="H1114" s="1"/>
      <c r="I1114" s="1"/>
    </row>
    <row r="1115" customFormat="false" ht="21.75" hidden="false" customHeight="true" outlineLevel="0" collapsed="false">
      <c r="A1115" s="1"/>
      <c r="B1115" s="16"/>
      <c r="C1115" s="16"/>
      <c r="D1115" s="15"/>
      <c r="E1115" s="11" t="str">
        <f aca="false">IF(D1115="","",IFERROR(INDEX(Players!$C$5:$C$304,MATCH(D1115,Players!$B$5:$B$304,0)),""))</f>
        <v/>
      </c>
      <c r="F1115" s="22" t="str">
        <f aca="false">IF(D1115="","",IF(COUNTIFS($B$5:$B$2004,B1115,$D$5:$D$2004,D1115)&gt;1,"DUPLICATE",IF(ISNA(MATCH(D1115,Players!$B$5:$B$304,0)),"UID not found",IF(INDEX(Players!$H$5:$H$304,MATCH(D1115,Players!$B$5:$B$304,0))&lt;0,"LOW BALANCE","OK"))))</f>
        <v/>
      </c>
      <c r="G1115" s="1"/>
      <c r="H1115" s="1"/>
      <c r="I1115" s="1"/>
    </row>
    <row r="1116" customFormat="false" ht="21.75" hidden="false" customHeight="true" outlineLevel="0" collapsed="false">
      <c r="A1116" s="1"/>
      <c r="B1116" s="16"/>
      <c r="C1116" s="16"/>
      <c r="D1116" s="15"/>
      <c r="E1116" s="11" t="str">
        <f aca="false">IF(D1116="","",IFERROR(INDEX(Players!$C$5:$C$304,MATCH(D1116,Players!$B$5:$B$304,0)),""))</f>
        <v/>
      </c>
      <c r="F1116" s="22" t="str">
        <f aca="false">IF(D1116="","",IF(COUNTIFS($B$5:$B$2004,B1116,$D$5:$D$2004,D1116)&gt;1,"DUPLICATE",IF(ISNA(MATCH(D1116,Players!$B$5:$B$304,0)),"UID not found",IF(INDEX(Players!$H$5:$H$304,MATCH(D1116,Players!$B$5:$B$304,0))&lt;0,"LOW BALANCE","OK"))))</f>
        <v/>
      </c>
      <c r="G1116" s="1"/>
      <c r="H1116" s="1"/>
      <c r="I1116" s="1"/>
    </row>
    <row r="1117" customFormat="false" ht="21.75" hidden="false" customHeight="true" outlineLevel="0" collapsed="false">
      <c r="A1117" s="1"/>
      <c r="B1117" s="16"/>
      <c r="C1117" s="16"/>
      <c r="D1117" s="15"/>
      <c r="E1117" s="11" t="str">
        <f aca="false">IF(D1117="","",IFERROR(INDEX(Players!$C$5:$C$304,MATCH(D1117,Players!$B$5:$B$304,0)),""))</f>
        <v/>
      </c>
      <c r="F1117" s="22" t="str">
        <f aca="false">IF(D1117="","",IF(COUNTIFS($B$5:$B$2004,B1117,$D$5:$D$2004,D1117)&gt;1,"DUPLICATE",IF(ISNA(MATCH(D1117,Players!$B$5:$B$304,0)),"UID not found",IF(INDEX(Players!$H$5:$H$304,MATCH(D1117,Players!$B$5:$B$304,0))&lt;0,"LOW BALANCE","OK"))))</f>
        <v/>
      </c>
      <c r="G1117" s="1"/>
      <c r="H1117" s="1"/>
      <c r="I1117" s="1"/>
    </row>
    <row r="1118" customFormat="false" ht="21.75" hidden="false" customHeight="true" outlineLevel="0" collapsed="false">
      <c r="A1118" s="1"/>
      <c r="B1118" s="16"/>
      <c r="C1118" s="16"/>
      <c r="D1118" s="15"/>
      <c r="E1118" s="11" t="str">
        <f aca="false">IF(D1118="","",IFERROR(INDEX(Players!$C$5:$C$304,MATCH(D1118,Players!$B$5:$B$304,0)),""))</f>
        <v/>
      </c>
      <c r="F1118" s="22" t="str">
        <f aca="false">IF(D1118="","",IF(COUNTIFS($B$5:$B$2004,B1118,$D$5:$D$2004,D1118)&gt;1,"DUPLICATE",IF(ISNA(MATCH(D1118,Players!$B$5:$B$304,0)),"UID not found",IF(INDEX(Players!$H$5:$H$304,MATCH(D1118,Players!$B$5:$B$304,0))&lt;0,"LOW BALANCE","OK"))))</f>
        <v/>
      </c>
      <c r="G1118" s="1"/>
      <c r="H1118" s="1"/>
      <c r="I1118" s="1"/>
    </row>
    <row r="1119" customFormat="false" ht="21.75" hidden="false" customHeight="true" outlineLevel="0" collapsed="false">
      <c r="A1119" s="1"/>
      <c r="B1119" s="16"/>
      <c r="C1119" s="16"/>
      <c r="D1119" s="15"/>
      <c r="E1119" s="11" t="str">
        <f aca="false">IF(D1119="","",IFERROR(INDEX(Players!$C$5:$C$304,MATCH(D1119,Players!$B$5:$B$304,0)),""))</f>
        <v/>
      </c>
      <c r="F1119" s="22" t="str">
        <f aca="false">IF(D1119="","",IF(COUNTIFS($B$5:$B$2004,B1119,$D$5:$D$2004,D1119)&gt;1,"DUPLICATE",IF(ISNA(MATCH(D1119,Players!$B$5:$B$304,0)),"UID not found",IF(INDEX(Players!$H$5:$H$304,MATCH(D1119,Players!$B$5:$B$304,0))&lt;0,"LOW BALANCE","OK"))))</f>
        <v/>
      </c>
      <c r="G1119" s="1"/>
      <c r="H1119" s="1"/>
      <c r="I1119" s="1"/>
    </row>
    <row r="1120" customFormat="false" ht="21.75" hidden="false" customHeight="true" outlineLevel="0" collapsed="false">
      <c r="A1120" s="1"/>
      <c r="B1120" s="16"/>
      <c r="C1120" s="16"/>
      <c r="D1120" s="15"/>
      <c r="E1120" s="11" t="str">
        <f aca="false">IF(D1120="","",IFERROR(INDEX(Players!$C$5:$C$304,MATCH(D1120,Players!$B$5:$B$304,0)),""))</f>
        <v/>
      </c>
      <c r="F1120" s="22" t="str">
        <f aca="false">IF(D1120="","",IF(COUNTIFS($B$5:$B$2004,B1120,$D$5:$D$2004,D1120)&gt;1,"DUPLICATE",IF(ISNA(MATCH(D1120,Players!$B$5:$B$304,0)),"UID not found",IF(INDEX(Players!$H$5:$H$304,MATCH(D1120,Players!$B$5:$B$304,0))&lt;0,"LOW BALANCE","OK"))))</f>
        <v/>
      </c>
      <c r="G1120" s="1"/>
      <c r="H1120" s="1"/>
      <c r="I1120" s="1"/>
    </row>
    <row r="1121" customFormat="false" ht="21.75" hidden="false" customHeight="true" outlineLevel="0" collapsed="false">
      <c r="A1121" s="1"/>
      <c r="B1121" s="16"/>
      <c r="C1121" s="16"/>
      <c r="D1121" s="15"/>
      <c r="E1121" s="11" t="str">
        <f aca="false">IF(D1121="","",IFERROR(INDEX(Players!$C$5:$C$304,MATCH(D1121,Players!$B$5:$B$304,0)),""))</f>
        <v/>
      </c>
      <c r="F1121" s="22" t="str">
        <f aca="false">IF(D1121="","",IF(COUNTIFS($B$5:$B$2004,B1121,$D$5:$D$2004,D1121)&gt;1,"DUPLICATE",IF(ISNA(MATCH(D1121,Players!$B$5:$B$304,0)),"UID not found",IF(INDEX(Players!$H$5:$H$304,MATCH(D1121,Players!$B$5:$B$304,0))&lt;0,"LOW BALANCE","OK"))))</f>
        <v/>
      </c>
      <c r="G1121" s="1"/>
      <c r="H1121" s="1"/>
      <c r="I1121" s="1"/>
    </row>
    <row r="1122" customFormat="false" ht="21.75" hidden="false" customHeight="true" outlineLevel="0" collapsed="false">
      <c r="A1122" s="1"/>
      <c r="B1122" s="16"/>
      <c r="C1122" s="16"/>
      <c r="D1122" s="15"/>
      <c r="E1122" s="11" t="str">
        <f aca="false">IF(D1122="","",IFERROR(INDEX(Players!$C$5:$C$304,MATCH(D1122,Players!$B$5:$B$304,0)),""))</f>
        <v/>
      </c>
      <c r="F1122" s="22" t="str">
        <f aca="false">IF(D1122="","",IF(COUNTIFS($B$5:$B$2004,B1122,$D$5:$D$2004,D1122)&gt;1,"DUPLICATE",IF(ISNA(MATCH(D1122,Players!$B$5:$B$304,0)),"UID not found",IF(INDEX(Players!$H$5:$H$304,MATCH(D1122,Players!$B$5:$B$304,0))&lt;0,"LOW BALANCE","OK"))))</f>
        <v/>
      </c>
      <c r="G1122" s="1"/>
      <c r="H1122" s="1"/>
      <c r="I1122" s="1"/>
    </row>
    <row r="1123" customFormat="false" ht="21.75" hidden="false" customHeight="true" outlineLevel="0" collapsed="false">
      <c r="A1123" s="1"/>
      <c r="B1123" s="16"/>
      <c r="C1123" s="16"/>
      <c r="D1123" s="15"/>
      <c r="E1123" s="11" t="str">
        <f aca="false">IF(D1123="","",IFERROR(INDEX(Players!$C$5:$C$304,MATCH(D1123,Players!$B$5:$B$304,0)),""))</f>
        <v/>
      </c>
      <c r="F1123" s="22" t="str">
        <f aca="false">IF(D1123="","",IF(COUNTIFS($B$5:$B$2004,B1123,$D$5:$D$2004,D1123)&gt;1,"DUPLICATE",IF(ISNA(MATCH(D1123,Players!$B$5:$B$304,0)),"UID not found",IF(INDEX(Players!$H$5:$H$304,MATCH(D1123,Players!$B$5:$B$304,0))&lt;0,"LOW BALANCE","OK"))))</f>
        <v/>
      </c>
      <c r="G1123" s="1"/>
      <c r="H1123" s="1"/>
      <c r="I1123" s="1"/>
    </row>
    <row r="1124" customFormat="false" ht="21.75" hidden="false" customHeight="true" outlineLevel="0" collapsed="false">
      <c r="A1124" s="1"/>
      <c r="B1124" s="16"/>
      <c r="C1124" s="16"/>
      <c r="D1124" s="15"/>
      <c r="E1124" s="11" t="str">
        <f aca="false">IF(D1124="","",IFERROR(INDEX(Players!$C$5:$C$304,MATCH(D1124,Players!$B$5:$B$304,0)),""))</f>
        <v/>
      </c>
      <c r="F1124" s="22" t="str">
        <f aca="false">IF(D1124="","",IF(COUNTIFS($B$5:$B$2004,B1124,$D$5:$D$2004,D1124)&gt;1,"DUPLICATE",IF(ISNA(MATCH(D1124,Players!$B$5:$B$304,0)),"UID not found",IF(INDEX(Players!$H$5:$H$304,MATCH(D1124,Players!$B$5:$B$304,0))&lt;0,"LOW BALANCE","OK"))))</f>
        <v/>
      </c>
      <c r="G1124" s="1"/>
      <c r="H1124" s="1"/>
      <c r="I1124" s="1"/>
    </row>
    <row r="1125" customFormat="false" ht="21.75" hidden="false" customHeight="true" outlineLevel="0" collapsed="false">
      <c r="A1125" s="1"/>
      <c r="B1125" s="16"/>
      <c r="C1125" s="16"/>
      <c r="D1125" s="15"/>
      <c r="E1125" s="11" t="str">
        <f aca="false">IF(D1125="","",IFERROR(INDEX(Players!$C$5:$C$304,MATCH(D1125,Players!$B$5:$B$304,0)),""))</f>
        <v/>
      </c>
      <c r="F1125" s="22" t="str">
        <f aca="false">IF(D1125="","",IF(COUNTIFS($B$5:$B$2004,B1125,$D$5:$D$2004,D1125)&gt;1,"DUPLICATE",IF(ISNA(MATCH(D1125,Players!$B$5:$B$304,0)),"UID not found",IF(INDEX(Players!$H$5:$H$304,MATCH(D1125,Players!$B$5:$B$304,0))&lt;0,"LOW BALANCE","OK"))))</f>
        <v/>
      </c>
      <c r="G1125" s="1"/>
      <c r="H1125" s="1"/>
      <c r="I1125" s="1"/>
    </row>
    <row r="1126" customFormat="false" ht="21.75" hidden="false" customHeight="true" outlineLevel="0" collapsed="false">
      <c r="A1126" s="1"/>
      <c r="B1126" s="16"/>
      <c r="C1126" s="16"/>
      <c r="D1126" s="15"/>
      <c r="E1126" s="11" t="str">
        <f aca="false">IF(D1126="","",IFERROR(INDEX(Players!$C$5:$C$304,MATCH(D1126,Players!$B$5:$B$304,0)),""))</f>
        <v/>
      </c>
      <c r="F1126" s="22" t="str">
        <f aca="false">IF(D1126="","",IF(COUNTIFS($B$5:$B$2004,B1126,$D$5:$D$2004,D1126)&gt;1,"DUPLICATE",IF(ISNA(MATCH(D1126,Players!$B$5:$B$304,0)),"UID not found",IF(INDEX(Players!$H$5:$H$304,MATCH(D1126,Players!$B$5:$B$304,0))&lt;0,"LOW BALANCE","OK"))))</f>
        <v/>
      </c>
      <c r="G1126" s="1"/>
      <c r="H1126" s="1"/>
      <c r="I1126" s="1"/>
    </row>
    <row r="1127" customFormat="false" ht="21.75" hidden="false" customHeight="true" outlineLevel="0" collapsed="false">
      <c r="A1127" s="1"/>
      <c r="B1127" s="16"/>
      <c r="C1127" s="16"/>
      <c r="D1127" s="15"/>
      <c r="E1127" s="11" t="str">
        <f aca="false">IF(D1127="","",IFERROR(INDEX(Players!$C$5:$C$304,MATCH(D1127,Players!$B$5:$B$304,0)),""))</f>
        <v/>
      </c>
      <c r="F1127" s="22" t="str">
        <f aca="false">IF(D1127="","",IF(COUNTIFS($B$5:$B$2004,B1127,$D$5:$D$2004,D1127)&gt;1,"DUPLICATE",IF(ISNA(MATCH(D1127,Players!$B$5:$B$304,0)),"UID not found",IF(INDEX(Players!$H$5:$H$304,MATCH(D1127,Players!$B$5:$B$304,0))&lt;0,"LOW BALANCE","OK"))))</f>
        <v/>
      </c>
      <c r="G1127" s="1"/>
      <c r="H1127" s="1"/>
      <c r="I1127" s="1"/>
    </row>
    <row r="1128" customFormat="false" ht="21.75" hidden="false" customHeight="true" outlineLevel="0" collapsed="false">
      <c r="A1128" s="1"/>
      <c r="B1128" s="16"/>
      <c r="C1128" s="16"/>
      <c r="D1128" s="15"/>
      <c r="E1128" s="11" t="str">
        <f aca="false">IF(D1128="","",IFERROR(INDEX(Players!$C$5:$C$304,MATCH(D1128,Players!$B$5:$B$304,0)),""))</f>
        <v/>
      </c>
      <c r="F1128" s="22" t="str">
        <f aca="false">IF(D1128="","",IF(COUNTIFS($B$5:$B$2004,B1128,$D$5:$D$2004,D1128)&gt;1,"DUPLICATE",IF(ISNA(MATCH(D1128,Players!$B$5:$B$304,0)),"UID not found",IF(INDEX(Players!$H$5:$H$304,MATCH(D1128,Players!$B$5:$B$304,0))&lt;0,"LOW BALANCE","OK"))))</f>
        <v/>
      </c>
      <c r="G1128" s="1"/>
      <c r="H1128" s="1"/>
      <c r="I1128" s="1"/>
    </row>
    <row r="1129" customFormat="false" ht="21.75" hidden="false" customHeight="true" outlineLevel="0" collapsed="false">
      <c r="A1129" s="1"/>
      <c r="B1129" s="16"/>
      <c r="C1129" s="16"/>
      <c r="D1129" s="15"/>
      <c r="E1129" s="11" t="str">
        <f aca="false">IF(D1129="","",IFERROR(INDEX(Players!$C$5:$C$304,MATCH(D1129,Players!$B$5:$B$304,0)),""))</f>
        <v/>
      </c>
      <c r="F1129" s="22" t="str">
        <f aca="false">IF(D1129="","",IF(COUNTIFS($B$5:$B$2004,B1129,$D$5:$D$2004,D1129)&gt;1,"DUPLICATE",IF(ISNA(MATCH(D1129,Players!$B$5:$B$304,0)),"UID not found",IF(INDEX(Players!$H$5:$H$304,MATCH(D1129,Players!$B$5:$B$304,0))&lt;0,"LOW BALANCE","OK"))))</f>
        <v/>
      </c>
      <c r="G1129" s="1"/>
      <c r="H1129" s="1"/>
      <c r="I1129" s="1"/>
    </row>
    <row r="1130" customFormat="false" ht="21.75" hidden="false" customHeight="true" outlineLevel="0" collapsed="false">
      <c r="A1130" s="1"/>
      <c r="B1130" s="16"/>
      <c r="C1130" s="16"/>
      <c r="D1130" s="15"/>
      <c r="E1130" s="11" t="str">
        <f aca="false">IF(D1130="","",IFERROR(INDEX(Players!$C$5:$C$304,MATCH(D1130,Players!$B$5:$B$304,0)),""))</f>
        <v/>
      </c>
      <c r="F1130" s="22" t="str">
        <f aca="false">IF(D1130="","",IF(COUNTIFS($B$5:$B$2004,B1130,$D$5:$D$2004,D1130)&gt;1,"DUPLICATE",IF(ISNA(MATCH(D1130,Players!$B$5:$B$304,0)),"UID not found",IF(INDEX(Players!$H$5:$H$304,MATCH(D1130,Players!$B$5:$B$304,0))&lt;0,"LOW BALANCE","OK"))))</f>
        <v/>
      </c>
      <c r="G1130" s="1"/>
      <c r="H1130" s="1"/>
      <c r="I1130" s="1"/>
    </row>
    <row r="1131" customFormat="false" ht="21.75" hidden="false" customHeight="true" outlineLevel="0" collapsed="false">
      <c r="A1131" s="1"/>
      <c r="B1131" s="16"/>
      <c r="C1131" s="16"/>
      <c r="D1131" s="15"/>
      <c r="E1131" s="11" t="str">
        <f aca="false">IF(D1131="","",IFERROR(INDEX(Players!$C$5:$C$304,MATCH(D1131,Players!$B$5:$B$304,0)),""))</f>
        <v/>
      </c>
      <c r="F1131" s="22" t="str">
        <f aca="false">IF(D1131="","",IF(COUNTIFS($B$5:$B$2004,B1131,$D$5:$D$2004,D1131)&gt;1,"DUPLICATE",IF(ISNA(MATCH(D1131,Players!$B$5:$B$304,0)),"UID not found",IF(INDEX(Players!$H$5:$H$304,MATCH(D1131,Players!$B$5:$B$304,0))&lt;0,"LOW BALANCE","OK"))))</f>
        <v/>
      </c>
      <c r="G1131" s="1"/>
      <c r="H1131" s="1"/>
      <c r="I1131" s="1"/>
    </row>
    <row r="1132" customFormat="false" ht="21.75" hidden="false" customHeight="true" outlineLevel="0" collapsed="false">
      <c r="A1132" s="1"/>
      <c r="B1132" s="16"/>
      <c r="C1132" s="16"/>
      <c r="D1132" s="15"/>
      <c r="E1132" s="11" t="str">
        <f aca="false">IF(D1132="","",IFERROR(INDEX(Players!$C$5:$C$304,MATCH(D1132,Players!$B$5:$B$304,0)),""))</f>
        <v/>
      </c>
      <c r="F1132" s="22" t="str">
        <f aca="false">IF(D1132="","",IF(COUNTIFS($B$5:$B$2004,B1132,$D$5:$D$2004,D1132)&gt;1,"DUPLICATE",IF(ISNA(MATCH(D1132,Players!$B$5:$B$304,0)),"UID not found",IF(INDEX(Players!$H$5:$H$304,MATCH(D1132,Players!$B$5:$B$304,0))&lt;0,"LOW BALANCE","OK"))))</f>
        <v/>
      </c>
      <c r="G1132" s="1"/>
      <c r="H1132" s="1"/>
      <c r="I1132" s="1"/>
    </row>
    <row r="1133" customFormat="false" ht="21.75" hidden="false" customHeight="true" outlineLevel="0" collapsed="false">
      <c r="A1133" s="1"/>
      <c r="B1133" s="16"/>
      <c r="C1133" s="16"/>
      <c r="D1133" s="15"/>
      <c r="E1133" s="11" t="str">
        <f aca="false">IF(D1133="","",IFERROR(INDEX(Players!$C$5:$C$304,MATCH(D1133,Players!$B$5:$B$304,0)),""))</f>
        <v/>
      </c>
      <c r="F1133" s="22" t="str">
        <f aca="false">IF(D1133="","",IF(COUNTIFS($B$5:$B$2004,B1133,$D$5:$D$2004,D1133)&gt;1,"DUPLICATE",IF(ISNA(MATCH(D1133,Players!$B$5:$B$304,0)),"UID not found",IF(INDEX(Players!$H$5:$H$304,MATCH(D1133,Players!$B$5:$B$304,0))&lt;0,"LOW BALANCE","OK"))))</f>
        <v/>
      </c>
      <c r="G1133" s="1"/>
      <c r="H1133" s="1"/>
      <c r="I1133" s="1"/>
    </row>
    <row r="1134" customFormat="false" ht="21.75" hidden="false" customHeight="true" outlineLevel="0" collapsed="false">
      <c r="A1134" s="1"/>
      <c r="B1134" s="16"/>
      <c r="C1134" s="16"/>
      <c r="D1134" s="15"/>
      <c r="E1134" s="11" t="str">
        <f aca="false">IF(D1134="","",IFERROR(INDEX(Players!$C$5:$C$304,MATCH(D1134,Players!$B$5:$B$304,0)),""))</f>
        <v/>
      </c>
      <c r="F1134" s="22" t="str">
        <f aca="false">IF(D1134="","",IF(COUNTIFS($B$5:$B$2004,B1134,$D$5:$D$2004,D1134)&gt;1,"DUPLICATE",IF(ISNA(MATCH(D1134,Players!$B$5:$B$304,0)),"UID not found",IF(INDEX(Players!$H$5:$H$304,MATCH(D1134,Players!$B$5:$B$304,0))&lt;0,"LOW BALANCE","OK"))))</f>
        <v/>
      </c>
      <c r="G1134" s="1"/>
      <c r="H1134" s="1"/>
      <c r="I1134" s="1"/>
    </row>
    <row r="1135" customFormat="false" ht="21.75" hidden="false" customHeight="true" outlineLevel="0" collapsed="false">
      <c r="A1135" s="1"/>
      <c r="B1135" s="16"/>
      <c r="C1135" s="16"/>
      <c r="D1135" s="15"/>
      <c r="E1135" s="11" t="str">
        <f aca="false">IF(D1135="","",IFERROR(INDEX(Players!$C$5:$C$304,MATCH(D1135,Players!$B$5:$B$304,0)),""))</f>
        <v/>
      </c>
      <c r="F1135" s="22" t="str">
        <f aca="false">IF(D1135="","",IF(COUNTIFS($B$5:$B$2004,B1135,$D$5:$D$2004,D1135)&gt;1,"DUPLICATE",IF(ISNA(MATCH(D1135,Players!$B$5:$B$304,0)),"UID not found",IF(INDEX(Players!$H$5:$H$304,MATCH(D1135,Players!$B$5:$B$304,0))&lt;0,"LOW BALANCE","OK"))))</f>
        <v/>
      </c>
      <c r="G1135" s="1"/>
      <c r="H1135" s="1"/>
      <c r="I1135" s="1"/>
    </row>
    <row r="1136" customFormat="false" ht="21.75" hidden="false" customHeight="true" outlineLevel="0" collapsed="false">
      <c r="A1136" s="1"/>
      <c r="B1136" s="16"/>
      <c r="C1136" s="16"/>
      <c r="D1136" s="15"/>
      <c r="E1136" s="11" t="str">
        <f aca="false">IF(D1136="","",IFERROR(INDEX(Players!$C$5:$C$304,MATCH(D1136,Players!$B$5:$B$304,0)),""))</f>
        <v/>
      </c>
      <c r="F1136" s="22" t="str">
        <f aca="false">IF(D1136="","",IF(COUNTIFS($B$5:$B$2004,B1136,$D$5:$D$2004,D1136)&gt;1,"DUPLICATE",IF(ISNA(MATCH(D1136,Players!$B$5:$B$304,0)),"UID not found",IF(INDEX(Players!$H$5:$H$304,MATCH(D1136,Players!$B$5:$B$304,0))&lt;0,"LOW BALANCE","OK"))))</f>
        <v/>
      </c>
      <c r="G1136" s="1"/>
      <c r="H1136" s="1"/>
      <c r="I1136" s="1"/>
    </row>
    <row r="1137" customFormat="false" ht="21.75" hidden="false" customHeight="true" outlineLevel="0" collapsed="false">
      <c r="A1137" s="1"/>
      <c r="B1137" s="16"/>
      <c r="C1137" s="16"/>
      <c r="D1137" s="15"/>
      <c r="E1137" s="11" t="str">
        <f aca="false">IF(D1137="","",IFERROR(INDEX(Players!$C$5:$C$304,MATCH(D1137,Players!$B$5:$B$304,0)),""))</f>
        <v/>
      </c>
      <c r="F1137" s="22" t="str">
        <f aca="false">IF(D1137="","",IF(COUNTIFS($B$5:$B$2004,B1137,$D$5:$D$2004,D1137)&gt;1,"DUPLICATE",IF(ISNA(MATCH(D1137,Players!$B$5:$B$304,0)),"UID not found",IF(INDEX(Players!$H$5:$H$304,MATCH(D1137,Players!$B$5:$B$304,0))&lt;0,"LOW BALANCE","OK"))))</f>
        <v/>
      </c>
      <c r="G1137" s="1"/>
      <c r="H1137" s="1"/>
      <c r="I1137" s="1"/>
    </row>
    <row r="1138" customFormat="false" ht="21.75" hidden="false" customHeight="true" outlineLevel="0" collapsed="false">
      <c r="A1138" s="1"/>
      <c r="B1138" s="16"/>
      <c r="C1138" s="16"/>
      <c r="D1138" s="15"/>
      <c r="E1138" s="11" t="str">
        <f aca="false">IF(D1138="","",IFERROR(INDEX(Players!$C$5:$C$304,MATCH(D1138,Players!$B$5:$B$304,0)),""))</f>
        <v/>
      </c>
      <c r="F1138" s="22" t="str">
        <f aca="false">IF(D1138="","",IF(COUNTIFS($B$5:$B$2004,B1138,$D$5:$D$2004,D1138)&gt;1,"DUPLICATE",IF(ISNA(MATCH(D1138,Players!$B$5:$B$304,0)),"UID not found",IF(INDEX(Players!$H$5:$H$304,MATCH(D1138,Players!$B$5:$B$304,0))&lt;0,"LOW BALANCE","OK"))))</f>
        <v/>
      </c>
      <c r="G1138" s="1"/>
      <c r="H1138" s="1"/>
      <c r="I1138" s="1"/>
    </row>
    <row r="1139" customFormat="false" ht="21.75" hidden="false" customHeight="true" outlineLevel="0" collapsed="false">
      <c r="A1139" s="1"/>
      <c r="B1139" s="16"/>
      <c r="C1139" s="16"/>
      <c r="D1139" s="15"/>
      <c r="E1139" s="11" t="str">
        <f aca="false">IF(D1139="","",IFERROR(INDEX(Players!$C$5:$C$304,MATCH(D1139,Players!$B$5:$B$304,0)),""))</f>
        <v/>
      </c>
      <c r="F1139" s="22" t="str">
        <f aca="false">IF(D1139="","",IF(COUNTIFS($B$5:$B$2004,B1139,$D$5:$D$2004,D1139)&gt;1,"DUPLICATE",IF(ISNA(MATCH(D1139,Players!$B$5:$B$304,0)),"UID not found",IF(INDEX(Players!$H$5:$H$304,MATCH(D1139,Players!$B$5:$B$304,0))&lt;0,"LOW BALANCE","OK"))))</f>
        <v/>
      </c>
      <c r="G1139" s="1"/>
      <c r="H1139" s="1"/>
      <c r="I1139" s="1"/>
    </row>
    <row r="1140" customFormat="false" ht="21.75" hidden="false" customHeight="true" outlineLevel="0" collapsed="false">
      <c r="A1140" s="1"/>
      <c r="B1140" s="16"/>
      <c r="C1140" s="16"/>
      <c r="D1140" s="15"/>
      <c r="E1140" s="11" t="str">
        <f aca="false">IF(D1140="","",IFERROR(INDEX(Players!$C$5:$C$304,MATCH(D1140,Players!$B$5:$B$304,0)),""))</f>
        <v/>
      </c>
      <c r="F1140" s="22" t="str">
        <f aca="false">IF(D1140="","",IF(COUNTIFS($B$5:$B$2004,B1140,$D$5:$D$2004,D1140)&gt;1,"DUPLICATE",IF(ISNA(MATCH(D1140,Players!$B$5:$B$304,0)),"UID not found",IF(INDEX(Players!$H$5:$H$304,MATCH(D1140,Players!$B$5:$B$304,0))&lt;0,"LOW BALANCE","OK"))))</f>
        <v/>
      </c>
      <c r="G1140" s="1"/>
      <c r="H1140" s="1"/>
      <c r="I1140" s="1"/>
    </row>
    <row r="1141" customFormat="false" ht="21.75" hidden="false" customHeight="true" outlineLevel="0" collapsed="false">
      <c r="A1141" s="1"/>
      <c r="B1141" s="16"/>
      <c r="C1141" s="16"/>
      <c r="D1141" s="15"/>
      <c r="E1141" s="11" t="str">
        <f aca="false">IF(D1141="","",IFERROR(INDEX(Players!$C$5:$C$304,MATCH(D1141,Players!$B$5:$B$304,0)),""))</f>
        <v/>
      </c>
      <c r="F1141" s="22" t="str">
        <f aca="false">IF(D1141="","",IF(COUNTIFS($B$5:$B$2004,B1141,$D$5:$D$2004,D1141)&gt;1,"DUPLICATE",IF(ISNA(MATCH(D1141,Players!$B$5:$B$304,0)),"UID not found",IF(INDEX(Players!$H$5:$H$304,MATCH(D1141,Players!$B$5:$B$304,0))&lt;0,"LOW BALANCE","OK"))))</f>
        <v/>
      </c>
      <c r="G1141" s="1"/>
      <c r="H1141" s="1"/>
      <c r="I1141" s="1"/>
    </row>
    <row r="1142" customFormat="false" ht="21.75" hidden="false" customHeight="true" outlineLevel="0" collapsed="false">
      <c r="A1142" s="1"/>
      <c r="B1142" s="16"/>
      <c r="C1142" s="16"/>
      <c r="D1142" s="15"/>
      <c r="E1142" s="11" t="str">
        <f aca="false">IF(D1142="","",IFERROR(INDEX(Players!$C$5:$C$304,MATCH(D1142,Players!$B$5:$B$304,0)),""))</f>
        <v/>
      </c>
      <c r="F1142" s="22" t="str">
        <f aca="false">IF(D1142="","",IF(COUNTIFS($B$5:$B$2004,B1142,$D$5:$D$2004,D1142)&gt;1,"DUPLICATE",IF(ISNA(MATCH(D1142,Players!$B$5:$B$304,0)),"UID not found",IF(INDEX(Players!$H$5:$H$304,MATCH(D1142,Players!$B$5:$B$304,0))&lt;0,"LOW BALANCE","OK"))))</f>
        <v/>
      </c>
      <c r="G1142" s="1"/>
      <c r="H1142" s="1"/>
      <c r="I1142" s="1"/>
    </row>
    <row r="1143" customFormat="false" ht="21.75" hidden="false" customHeight="true" outlineLevel="0" collapsed="false">
      <c r="A1143" s="1"/>
      <c r="B1143" s="16"/>
      <c r="C1143" s="16"/>
      <c r="D1143" s="15"/>
      <c r="E1143" s="11" t="str">
        <f aca="false">IF(D1143="","",IFERROR(INDEX(Players!$C$5:$C$304,MATCH(D1143,Players!$B$5:$B$304,0)),""))</f>
        <v/>
      </c>
      <c r="F1143" s="22" t="str">
        <f aca="false">IF(D1143="","",IF(COUNTIFS($B$5:$B$2004,B1143,$D$5:$D$2004,D1143)&gt;1,"DUPLICATE",IF(ISNA(MATCH(D1143,Players!$B$5:$B$304,0)),"UID not found",IF(INDEX(Players!$H$5:$H$304,MATCH(D1143,Players!$B$5:$B$304,0))&lt;0,"LOW BALANCE","OK"))))</f>
        <v/>
      </c>
      <c r="G1143" s="1"/>
      <c r="H1143" s="1"/>
      <c r="I1143" s="1"/>
    </row>
    <row r="1144" customFormat="false" ht="21.75" hidden="false" customHeight="true" outlineLevel="0" collapsed="false">
      <c r="A1144" s="1"/>
      <c r="B1144" s="16"/>
      <c r="C1144" s="16"/>
      <c r="D1144" s="15"/>
      <c r="E1144" s="11" t="str">
        <f aca="false">IF(D1144="","",IFERROR(INDEX(Players!$C$5:$C$304,MATCH(D1144,Players!$B$5:$B$304,0)),""))</f>
        <v/>
      </c>
      <c r="F1144" s="22" t="str">
        <f aca="false">IF(D1144="","",IF(COUNTIFS($B$5:$B$2004,B1144,$D$5:$D$2004,D1144)&gt;1,"DUPLICATE",IF(ISNA(MATCH(D1144,Players!$B$5:$B$304,0)),"UID not found",IF(INDEX(Players!$H$5:$H$304,MATCH(D1144,Players!$B$5:$B$304,0))&lt;0,"LOW BALANCE","OK"))))</f>
        <v/>
      </c>
      <c r="G1144" s="1"/>
      <c r="H1144" s="1"/>
      <c r="I1144" s="1"/>
    </row>
    <row r="1145" customFormat="false" ht="21.75" hidden="false" customHeight="true" outlineLevel="0" collapsed="false">
      <c r="A1145" s="1"/>
      <c r="B1145" s="16"/>
      <c r="C1145" s="16"/>
      <c r="D1145" s="15"/>
      <c r="E1145" s="11" t="str">
        <f aca="false">IF(D1145="","",IFERROR(INDEX(Players!$C$5:$C$304,MATCH(D1145,Players!$B$5:$B$304,0)),""))</f>
        <v/>
      </c>
      <c r="F1145" s="22" t="str">
        <f aca="false">IF(D1145="","",IF(COUNTIFS($B$5:$B$2004,B1145,$D$5:$D$2004,D1145)&gt;1,"DUPLICATE",IF(ISNA(MATCH(D1145,Players!$B$5:$B$304,0)),"UID not found",IF(INDEX(Players!$H$5:$H$304,MATCH(D1145,Players!$B$5:$B$304,0))&lt;0,"LOW BALANCE","OK"))))</f>
        <v/>
      </c>
      <c r="G1145" s="1"/>
      <c r="H1145" s="1"/>
      <c r="I1145" s="1"/>
    </row>
    <row r="1146" customFormat="false" ht="21.75" hidden="false" customHeight="true" outlineLevel="0" collapsed="false">
      <c r="A1146" s="1"/>
      <c r="B1146" s="16"/>
      <c r="C1146" s="16"/>
      <c r="D1146" s="15"/>
      <c r="E1146" s="11" t="str">
        <f aca="false">IF(D1146="","",IFERROR(INDEX(Players!$C$5:$C$304,MATCH(D1146,Players!$B$5:$B$304,0)),""))</f>
        <v/>
      </c>
      <c r="F1146" s="22" t="str">
        <f aca="false">IF(D1146="","",IF(COUNTIFS($B$5:$B$2004,B1146,$D$5:$D$2004,D1146)&gt;1,"DUPLICATE",IF(ISNA(MATCH(D1146,Players!$B$5:$B$304,0)),"UID not found",IF(INDEX(Players!$H$5:$H$304,MATCH(D1146,Players!$B$5:$B$304,0))&lt;0,"LOW BALANCE","OK"))))</f>
        <v/>
      </c>
      <c r="G1146" s="1"/>
      <c r="H1146" s="1"/>
      <c r="I1146" s="1"/>
    </row>
    <row r="1147" customFormat="false" ht="21.75" hidden="false" customHeight="true" outlineLevel="0" collapsed="false">
      <c r="A1147" s="1"/>
      <c r="B1147" s="16"/>
      <c r="C1147" s="16"/>
      <c r="D1147" s="15"/>
      <c r="E1147" s="11" t="str">
        <f aca="false">IF(D1147="","",IFERROR(INDEX(Players!$C$5:$C$304,MATCH(D1147,Players!$B$5:$B$304,0)),""))</f>
        <v/>
      </c>
      <c r="F1147" s="22" t="str">
        <f aca="false">IF(D1147="","",IF(COUNTIFS($B$5:$B$2004,B1147,$D$5:$D$2004,D1147)&gt;1,"DUPLICATE",IF(ISNA(MATCH(D1147,Players!$B$5:$B$304,0)),"UID not found",IF(INDEX(Players!$H$5:$H$304,MATCH(D1147,Players!$B$5:$B$304,0))&lt;0,"LOW BALANCE","OK"))))</f>
        <v/>
      </c>
      <c r="G1147" s="1"/>
      <c r="H1147" s="1"/>
      <c r="I1147" s="1"/>
    </row>
    <row r="1148" customFormat="false" ht="21.75" hidden="false" customHeight="true" outlineLevel="0" collapsed="false">
      <c r="A1148" s="1"/>
      <c r="B1148" s="16"/>
      <c r="C1148" s="16"/>
      <c r="D1148" s="15"/>
      <c r="E1148" s="11" t="str">
        <f aca="false">IF(D1148="","",IFERROR(INDEX(Players!$C$5:$C$304,MATCH(D1148,Players!$B$5:$B$304,0)),""))</f>
        <v/>
      </c>
      <c r="F1148" s="22" t="str">
        <f aca="false">IF(D1148="","",IF(COUNTIFS($B$5:$B$2004,B1148,$D$5:$D$2004,D1148)&gt;1,"DUPLICATE",IF(ISNA(MATCH(D1148,Players!$B$5:$B$304,0)),"UID not found",IF(INDEX(Players!$H$5:$H$304,MATCH(D1148,Players!$B$5:$B$304,0))&lt;0,"LOW BALANCE","OK"))))</f>
        <v/>
      </c>
      <c r="G1148" s="1"/>
      <c r="H1148" s="1"/>
      <c r="I1148" s="1"/>
    </row>
    <row r="1149" customFormat="false" ht="21.75" hidden="false" customHeight="true" outlineLevel="0" collapsed="false">
      <c r="A1149" s="1"/>
      <c r="B1149" s="16"/>
      <c r="C1149" s="16"/>
      <c r="D1149" s="15"/>
      <c r="E1149" s="11" t="str">
        <f aca="false">IF(D1149="","",IFERROR(INDEX(Players!$C$5:$C$304,MATCH(D1149,Players!$B$5:$B$304,0)),""))</f>
        <v/>
      </c>
      <c r="F1149" s="22" t="str">
        <f aca="false">IF(D1149="","",IF(COUNTIFS($B$5:$B$2004,B1149,$D$5:$D$2004,D1149)&gt;1,"DUPLICATE",IF(ISNA(MATCH(D1149,Players!$B$5:$B$304,0)),"UID not found",IF(INDEX(Players!$H$5:$H$304,MATCH(D1149,Players!$B$5:$B$304,0))&lt;0,"LOW BALANCE","OK"))))</f>
        <v/>
      </c>
      <c r="G1149" s="1"/>
      <c r="H1149" s="1"/>
      <c r="I1149" s="1"/>
    </row>
    <row r="1150" customFormat="false" ht="21.75" hidden="false" customHeight="true" outlineLevel="0" collapsed="false">
      <c r="A1150" s="1"/>
      <c r="B1150" s="16"/>
      <c r="C1150" s="16"/>
      <c r="D1150" s="15"/>
      <c r="E1150" s="11" t="str">
        <f aca="false">IF(D1150="","",IFERROR(INDEX(Players!$C$5:$C$304,MATCH(D1150,Players!$B$5:$B$304,0)),""))</f>
        <v/>
      </c>
      <c r="F1150" s="22" t="str">
        <f aca="false">IF(D1150="","",IF(COUNTIFS($B$5:$B$2004,B1150,$D$5:$D$2004,D1150)&gt;1,"DUPLICATE",IF(ISNA(MATCH(D1150,Players!$B$5:$B$304,0)),"UID not found",IF(INDEX(Players!$H$5:$H$304,MATCH(D1150,Players!$B$5:$B$304,0))&lt;0,"LOW BALANCE","OK"))))</f>
        <v/>
      </c>
      <c r="G1150" s="1"/>
      <c r="H1150" s="1"/>
      <c r="I1150" s="1"/>
    </row>
    <row r="1151" customFormat="false" ht="21.75" hidden="false" customHeight="true" outlineLevel="0" collapsed="false">
      <c r="A1151" s="1"/>
      <c r="B1151" s="16"/>
      <c r="C1151" s="16"/>
      <c r="D1151" s="15"/>
      <c r="E1151" s="11" t="str">
        <f aca="false">IF(D1151="","",IFERROR(INDEX(Players!$C$5:$C$304,MATCH(D1151,Players!$B$5:$B$304,0)),""))</f>
        <v/>
      </c>
      <c r="F1151" s="22" t="str">
        <f aca="false">IF(D1151="","",IF(COUNTIFS($B$5:$B$2004,B1151,$D$5:$D$2004,D1151)&gt;1,"DUPLICATE",IF(ISNA(MATCH(D1151,Players!$B$5:$B$304,0)),"UID not found",IF(INDEX(Players!$H$5:$H$304,MATCH(D1151,Players!$B$5:$B$304,0))&lt;0,"LOW BALANCE","OK"))))</f>
        <v/>
      </c>
      <c r="G1151" s="1"/>
      <c r="H1151" s="1"/>
      <c r="I1151" s="1"/>
    </row>
    <row r="1152" customFormat="false" ht="21.75" hidden="false" customHeight="true" outlineLevel="0" collapsed="false">
      <c r="A1152" s="1"/>
      <c r="B1152" s="16"/>
      <c r="C1152" s="16"/>
      <c r="D1152" s="15"/>
      <c r="E1152" s="11" t="str">
        <f aca="false">IF(D1152="","",IFERROR(INDEX(Players!$C$5:$C$304,MATCH(D1152,Players!$B$5:$B$304,0)),""))</f>
        <v/>
      </c>
      <c r="F1152" s="22" t="str">
        <f aca="false">IF(D1152="","",IF(COUNTIFS($B$5:$B$2004,B1152,$D$5:$D$2004,D1152)&gt;1,"DUPLICATE",IF(ISNA(MATCH(D1152,Players!$B$5:$B$304,0)),"UID not found",IF(INDEX(Players!$H$5:$H$304,MATCH(D1152,Players!$B$5:$B$304,0))&lt;0,"LOW BALANCE","OK"))))</f>
        <v/>
      </c>
      <c r="G1152" s="1"/>
      <c r="H1152" s="1"/>
      <c r="I1152" s="1"/>
    </row>
    <row r="1153" customFormat="false" ht="21.75" hidden="false" customHeight="true" outlineLevel="0" collapsed="false">
      <c r="A1153" s="1"/>
      <c r="B1153" s="16"/>
      <c r="C1153" s="16"/>
      <c r="D1153" s="15"/>
      <c r="E1153" s="11" t="str">
        <f aca="false">IF(D1153="","",IFERROR(INDEX(Players!$C$5:$C$304,MATCH(D1153,Players!$B$5:$B$304,0)),""))</f>
        <v/>
      </c>
      <c r="F1153" s="22" t="str">
        <f aca="false">IF(D1153="","",IF(COUNTIFS($B$5:$B$2004,B1153,$D$5:$D$2004,D1153)&gt;1,"DUPLICATE",IF(ISNA(MATCH(D1153,Players!$B$5:$B$304,0)),"UID not found",IF(INDEX(Players!$H$5:$H$304,MATCH(D1153,Players!$B$5:$B$304,0))&lt;0,"LOW BALANCE","OK"))))</f>
        <v/>
      </c>
      <c r="G1153" s="1"/>
      <c r="H1153" s="1"/>
      <c r="I1153" s="1"/>
    </row>
    <row r="1154" customFormat="false" ht="21.75" hidden="false" customHeight="true" outlineLevel="0" collapsed="false">
      <c r="A1154" s="1"/>
      <c r="B1154" s="16"/>
      <c r="C1154" s="16"/>
      <c r="D1154" s="15"/>
      <c r="E1154" s="11" t="str">
        <f aca="false">IF(D1154="","",IFERROR(INDEX(Players!$C$5:$C$304,MATCH(D1154,Players!$B$5:$B$304,0)),""))</f>
        <v/>
      </c>
      <c r="F1154" s="22" t="str">
        <f aca="false">IF(D1154="","",IF(COUNTIFS($B$5:$B$2004,B1154,$D$5:$D$2004,D1154)&gt;1,"DUPLICATE",IF(ISNA(MATCH(D1154,Players!$B$5:$B$304,0)),"UID not found",IF(INDEX(Players!$H$5:$H$304,MATCH(D1154,Players!$B$5:$B$304,0))&lt;0,"LOW BALANCE","OK"))))</f>
        <v/>
      </c>
      <c r="G1154" s="1"/>
      <c r="H1154" s="1"/>
      <c r="I1154" s="1"/>
    </row>
    <row r="1155" customFormat="false" ht="21.75" hidden="false" customHeight="true" outlineLevel="0" collapsed="false">
      <c r="A1155" s="1"/>
      <c r="B1155" s="16"/>
      <c r="C1155" s="16"/>
      <c r="D1155" s="15"/>
      <c r="E1155" s="11" t="str">
        <f aca="false">IF(D1155="","",IFERROR(INDEX(Players!$C$5:$C$304,MATCH(D1155,Players!$B$5:$B$304,0)),""))</f>
        <v/>
      </c>
      <c r="F1155" s="22" t="str">
        <f aca="false">IF(D1155="","",IF(COUNTIFS($B$5:$B$2004,B1155,$D$5:$D$2004,D1155)&gt;1,"DUPLICATE",IF(ISNA(MATCH(D1155,Players!$B$5:$B$304,0)),"UID not found",IF(INDEX(Players!$H$5:$H$304,MATCH(D1155,Players!$B$5:$B$304,0))&lt;0,"LOW BALANCE","OK"))))</f>
        <v/>
      </c>
      <c r="G1155" s="1"/>
      <c r="H1155" s="1"/>
      <c r="I1155" s="1"/>
    </row>
    <row r="1156" customFormat="false" ht="21.75" hidden="false" customHeight="true" outlineLevel="0" collapsed="false">
      <c r="A1156" s="1"/>
      <c r="B1156" s="16"/>
      <c r="C1156" s="16"/>
      <c r="D1156" s="15"/>
      <c r="E1156" s="11" t="str">
        <f aca="false">IF(D1156="","",IFERROR(INDEX(Players!$C$5:$C$304,MATCH(D1156,Players!$B$5:$B$304,0)),""))</f>
        <v/>
      </c>
      <c r="F1156" s="22" t="str">
        <f aca="false">IF(D1156="","",IF(COUNTIFS($B$5:$B$2004,B1156,$D$5:$D$2004,D1156)&gt;1,"DUPLICATE",IF(ISNA(MATCH(D1156,Players!$B$5:$B$304,0)),"UID not found",IF(INDEX(Players!$H$5:$H$304,MATCH(D1156,Players!$B$5:$B$304,0))&lt;0,"LOW BALANCE","OK"))))</f>
        <v/>
      </c>
      <c r="G1156" s="1"/>
      <c r="H1156" s="1"/>
      <c r="I1156" s="1"/>
    </row>
    <row r="1157" customFormat="false" ht="21.75" hidden="false" customHeight="true" outlineLevel="0" collapsed="false">
      <c r="A1157" s="1"/>
      <c r="B1157" s="16"/>
      <c r="C1157" s="16"/>
      <c r="D1157" s="15"/>
      <c r="E1157" s="11" t="str">
        <f aca="false">IF(D1157="","",IFERROR(INDEX(Players!$C$5:$C$304,MATCH(D1157,Players!$B$5:$B$304,0)),""))</f>
        <v/>
      </c>
      <c r="F1157" s="22" t="str">
        <f aca="false">IF(D1157="","",IF(COUNTIFS($B$5:$B$2004,B1157,$D$5:$D$2004,D1157)&gt;1,"DUPLICATE",IF(ISNA(MATCH(D1157,Players!$B$5:$B$304,0)),"UID not found",IF(INDEX(Players!$H$5:$H$304,MATCH(D1157,Players!$B$5:$B$304,0))&lt;0,"LOW BALANCE","OK"))))</f>
        <v/>
      </c>
      <c r="G1157" s="1"/>
      <c r="H1157" s="1"/>
      <c r="I1157" s="1"/>
    </row>
    <row r="1158" customFormat="false" ht="21.75" hidden="false" customHeight="true" outlineLevel="0" collapsed="false">
      <c r="A1158" s="1"/>
      <c r="B1158" s="16"/>
      <c r="C1158" s="16"/>
      <c r="D1158" s="15"/>
      <c r="E1158" s="11" t="str">
        <f aca="false">IF(D1158="","",IFERROR(INDEX(Players!$C$5:$C$304,MATCH(D1158,Players!$B$5:$B$304,0)),""))</f>
        <v/>
      </c>
      <c r="F1158" s="22" t="str">
        <f aca="false">IF(D1158="","",IF(COUNTIFS($B$5:$B$2004,B1158,$D$5:$D$2004,D1158)&gt;1,"DUPLICATE",IF(ISNA(MATCH(D1158,Players!$B$5:$B$304,0)),"UID not found",IF(INDEX(Players!$H$5:$H$304,MATCH(D1158,Players!$B$5:$B$304,0))&lt;0,"LOW BALANCE","OK"))))</f>
        <v/>
      </c>
      <c r="G1158" s="1"/>
      <c r="H1158" s="1"/>
      <c r="I1158" s="1"/>
    </row>
    <row r="1159" customFormat="false" ht="21.75" hidden="false" customHeight="true" outlineLevel="0" collapsed="false">
      <c r="A1159" s="1"/>
      <c r="B1159" s="16"/>
      <c r="C1159" s="16"/>
      <c r="D1159" s="15"/>
      <c r="E1159" s="11" t="str">
        <f aca="false">IF(D1159="","",IFERROR(INDEX(Players!$C$5:$C$304,MATCH(D1159,Players!$B$5:$B$304,0)),""))</f>
        <v/>
      </c>
      <c r="F1159" s="22" t="str">
        <f aca="false">IF(D1159="","",IF(COUNTIFS($B$5:$B$2004,B1159,$D$5:$D$2004,D1159)&gt;1,"DUPLICATE",IF(ISNA(MATCH(D1159,Players!$B$5:$B$304,0)),"UID not found",IF(INDEX(Players!$H$5:$H$304,MATCH(D1159,Players!$B$5:$B$304,0))&lt;0,"LOW BALANCE","OK"))))</f>
        <v/>
      </c>
      <c r="G1159" s="1"/>
      <c r="H1159" s="1"/>
      <c r="I1159" s="1"/>
    </row>
    <row r="1160" customFormat="false" ht="21.75" hidden="false" customHeight="true" outlineLevel="0" collapsed="false">
      <c r="A1160" s="1"/>
      <c r="B1160" s="16"/>
      <c r="C1160" s="16"/>
      <c r="D1160" s="15"/>
      <c r="E1160" s="11" t="str">
        <f aca="false">IF(D1160="","",IFERROR(INDEX(Players!$C$5:$C$304,MATCH(D1160,Players!$B$5:$B$304,0)),""))</f>
        <v/>
      </c>
      <c r="F1160" s="22" t="str">
        <f aca="false">IF(D1160="","",IF(COUNTIFS($B$5:$B$2004,B1160,$D$5:$D$2004,D1160)&gt;1,"DUPLICATE",IF(ISNA(MATCH(D1160,Players!$B$5:$B$304,0)),"UID not found",IF(INDEX(Players!$H$5:$H$304,MATCH(D1160,Players!$B$5:$B$304,0))&lt;0,"LOW BALANCE","OK"))))</f>
        <v/>
      </c>
      <c r="G1160" s="1"/>
      <c r="H1160" s="1"/>
      <c r="I1160" s="1"/>
    </row>
    <row r="1161" customFormat="false" ht="21.75" hidden="false" customHeight="true" outlineLevel="0" collapsed="false">
      <c r="A1161" s="1"/>
      <c r="B1161" s="16"/>
      <c r="C1161" s="16"/>
      <c r="D1161" s="15"/>
      <c r="E1161" s="11" t="str">
        <f aca="false">IF(D1161="","",IFERROR(INDEX(Players!$C$5:$C$304,MATCH(D1161,Players!$B$5:$B$304,0)),""))</f>
        <v/>
      </c>
      <c r="F1161" s="22" t="str">
        <f aca="false">IF(D1161="","",IF(COUNTIFS($B$5:$B$2004,B1161,$D$5:$D$2004,D1161)&gt;1,"DUPLICATE",IF(ISNA(MATCH(D1161,Players!$B$5:$B$304,0)),"UID not found",IF(INDEX(Players!$H$5:$H$304,MATCH(D1161,Players!$B$5:$B$304,0))&lt;0,"LOW BALANCE","OK"))))</f>
        <v/>
      </c>
      <c r="G1161" s="1"/>
      <c r="H1161" s="1"/>
      <c r="I1161" s="1"/>
    </row>
    <row r="1162" customFormat="false" ht="21.75" hidden="false" customHeight="true" outlineLevel="0" collapsed="false">
      <c r="A1162" s="1"/>
      <c r="B1162" s="16"/>
      <c r="C1162" s="16"/>
      <c r="D1162" s="15"/>
      <c r="E1162" s="11" t="str">
        <f aca="false">IF(D1162="","",IFERROR(INDEX(Players!$C$5:$C$304,MATCH(D1162,Players!$B$5:$B$304,0)),""))</f>
        <v/>
      </c>
      <c r="F1162" s="22" t="str">
        <f aca="false">IF(D1162="","",IF(COUNTIFS($B$5:$B$2004,B1162,$D$5:$D$2004,D1162)&gt;1,"DUPLICATE",IF(ISNA(MATCH(D1162,Players!$B$5:$B$304,0)),"UID not found",IF(INDEX(Players!$H$5:$H$304,MATCH(D1162,Players!$B$5:$B$304,0))&lt;0,"LOW BALANCE","OK"))))</f>
        <v/>
      </c>
      <c r="G1162" s="1"/>
      <c r="H1162" s="1"/>
      <c r="I1162" s="1"/>
    </row>
    <row r="1163" customFormat="false" ht="21.75" hidden="false" customHeight="true" outlineLevel="0" collapsed="false">
      <c r="A1163" s="1"/>
      <c r="B1163" s="16"/>
      <c r="C1163" s="16"/>
      <c r="D1163" s="15"/>
      <c r="E1163" s="11" t="str">
        <f aca="false">IF(D1163="","",IFERROR(INDEX(Players!$C$5:$C$304,MATCH(D1163,Players!$B$5:$B$304,0)),""))</f>
        <v/>
      </c>
      <c r="F1163" s="22" t="str">
        <f aca="false">IF(D1163="","",IF(COUNTIFS($B$5:$B$2004,B1163,$D$5:$D$2004,D1163)&gt;1,"DUPLICATE",IF(ISNA(MATCH(D1163,Players!$B$5:$B$304,0)),"UID not found",IF(INDEX(Players!$H$5:$H$304,MATCH(D1163,Players!$B$5:$B$304,0))&lt;0,"LOW BALANCE","OK"))))</f>
        <v/>
      </c>
      <c r="G1163" s="1"/>
      <c r="H1163" s="1"/>
      <c r="I1163" s="1"/>
    </row>
    <row r="1164" customFormat="false" ht="21.75" hidden="false" customHeight="true" outlineLevel="0" collapsed="false">
      <c r="A1164" s="1"/>
      <c r="B1164" s="16"/>
      <c r="C1164" s="16"/>
      <c r="D1164" s="15"/>
      <c r="E1164" s="11" t="str">
        <f aca="false">IF(D1164="","",IFERROR(INDEX(Players!$C$5:$C$304,MATCH(D1164,Players!$B$5:$B$304,0)),""))</f>
        <v/>
      </c>
      <c r="F1164" s="22" t="str">
        <f aca="false">IF(D1164="","",IF(COUNTIFS($B$5:$B$2004,B1164,$D$5:$D$2004,D1164)&gt;1,"DUPLICATE",IF(ISNA(MATCH(D1164,Players!$B$5:$B$304,0)),"UID not found",IF(INDEX(Players!$H$5:$H$304,MATCH(D1164,Players!$B$5:$B$304,0))&lt;0,"LOW BALANCE","OK"))))</f>
        <v/>
      </c>
      <c r="G1164" s="1"/>
      <c r="H1164" s="1"/>
      <c r="I1164" s="1"/>
    </row>
    <row r="1165" customFormat="false" ht="21.75" hidden="false" customHeight="true" outlineLevel="0" collapsed="false">
      <c r="A1165" s="1"/>
      <c r="B1165" s="16"/>
      <c r="C1165" s="16"/>
      <c r="D1165" s="15"/>
      <c r="E1165" s="11" t="str">
        <f aca="false">IF(D1165="","",IFERROR(INDEX(Players!$C$5:$C$304,MATCH(D1165,Players!$B$5:$B$304,0)),""))</f>
        <v/>
      </c>
      <c r="F1165" s="22" t="str">
        <f aca="false">IF(D1165="","",IF(COUNTIFS($B$5:$B$2004,B1165,$D$5:$D$2004,D1165)&gt;1,"DUPLICATE",IF(ISNA(MATCH(D1165,Players!$B$5:$B$304,0)),"UID not found",IF(INDEX(Players!$H$5:$H$304,MATCH(D1165,Players!$B$5:$B$304,0))&lt;0,"LOW BALANCE","OK"))))</f>
        <v/>
      </c>
      <c r="G1165" s="1"/>
      <c r="H1165" s="1"/>
      <c r="I1165" s="1"/>
    </row>
    <row r="1166" customFormat="false" ht="21.75" hidden="false" customHeight="true" outlineLevel="0" collapsed="false">
      <c r="A1166" s="1"/>
      <c r="B1166" s="16"/>
      <c r="C1166" s="16"/>
      <c r="D1166" s="15"/>
      <c r="E1166" s="11" t="str">
        <f aca="false">IF(D1166="","",IFERROR(INDEX(Players!$C$5:$C$304,MATCH(D1166,Players!$B$5:$B$304,0)),""))</f>
        <v/>
      </c>
      <c r="F1166" s="22" t="str">
        <f aca="false">IF(D1166="","",IF(COUNTIFS($B$5:$B$2004,B1166,$D$5:$D$2004,D1166)&gt;1,"DUPLICATE",IF(ISNA(MATCH(D1166,Players!$B$5:$B$304,0)),"UID not found",IF(INDEX(Players!$H$5:$H$304,MATCH(D1166,Players!$B$5:$B$304,0))&lt;0,"LOW BALANCE","OK"))))</f>
        <v/>
      </c>
      <c r="G1166" s="1"/>
      <c r="H1166" s="1"/>
      <c r="I1166" s="1"/>
    </row>
    <row r="1167" customFormat="false" ht="21.75" hidden="false" customHeight="true" outlineLevel="0" collapsed="false">
      <c r="A1167" s="1"/>
      <c r="B1167" s="16"/>
      <c r="C1167" s="16"/>
      <c r="D1167" s="15"/>
      <c r="E1167" s="11" t="str">
        <f aca="false">IF(D1167="","",IFERROR(INDEX(Players!$C$5:$C$304,MATCH(D1167,Players!$B$5:$B$304,0)),""))</f>
        <v/>
      </c>
      <c r="F1167" s="22" t="str">
        <f aca="false">IF(D1167="","",IF(COUNTIFS($B$5:$B$2004,B1167,$D$5:$D$2004,D1167)&gt;1,"DUPLICATE",IF(ISNA(MATCH(D1167,Players!$B$5:$B$304,0)),"UID not found",IF(INDEX(Players!$H$5:$H$304,MATCH(D1167,Players!$B$5:$B$304,0))&lt;0,"LOW BALANCE","OK"))))</f>
        <v/>
      </c>
      <c r="G1167" s="1"/>
      <c r="H1167" s="1"/>
      <c r="I1167" s="1"/>
    </row>
    <row r="1168" customFormat="false" ht="21.75" hidden="false" customHeight="true" outlineLevel="0" collapsed="false">
      <c r="A1168" s="1"/>
      <c r="B1168" s="16"/>
      <c r="C1168" s="16"/>
      <c r="D1168" s="15"/>
      <c r="E1168" s="11" t="str">
        <f aca="false">IF(D1168="","",IFERROR(INDEX(Players!$C$5:$C$304,MATCH(D1168,Players!$B$5:$B$304,0)),""))</f>
        <v/>
      </c>
      <c r="F1168" s="22" t="str">
        <f aca="false">IF(D1168="","",IF(COUNTIFS($B$5:$B$2004,B1168,$D$5:$D$2004,D1168)&gt;1,"DUPLICATE",IF(ISNA(MATCH(D1168,Players!$B$5:$B$304,0)),"UID not found",IF(INDEX(Players!$H$5:$H$304,MATCH(D1168,Players!$B$5:$B$304,0))&lt;0,"LOW BALANCE","OK"))))</f>
        <v/>
      </c>
      <c r="G1168" s="1"/>
      <c r="H1168" s="1"/>
      <c r="I1168" s="1"/>
    </row>
    <row r="1169" customFormat="false" ht="21.75" hidden="false" customHeight="true" outlineLevel="0" collapsed="false">
      <c r="A1169" s="1"/>
      <c r="B1169" s="16"/>
      <c r="C1169" s="16"/>
      <c r="D1169" s="15"/>
      <c r="E1169" s="11" t="str">
        <f aca="false">IF(D1169="","",IFERROR(INDEX(Players!$C$5:$C$304,MATCH(D1169,Players!$B$5:$B$304,0)),""))</f>
        <v/>
      </c>
      <c r="F1169" s="22" t="str">
        <f aca="false">IF(D1169="","",IF(COUNTIFS($B$5:$B$2004,B1169,$D$5:$D$2004,D1169)&gt;1,"DUPLICATE",IF(ISNA(MATCH(D1169,Players!$B$5:$B$304,0)),"UID not found",IF(INDEX(Players!$H$5:$H$304,MATCH(D1169,Players!$B$5:$B$304,0))&lt;0,"LOW BALANCE","OK"))))</f>
        <v/>
      </c>
      <c r="G1169" s="1"/>
      <c r="H1169" s="1"/>
      <c r="I1169" s="1"/>
    </row>
    <row r="1170" customFormat="false" ht="21.75" hidden="false" customHeight="true" outlineLevel="0" collapsed="false">
      <c r="A1170" s="1"/>
      <c r="B1170" s="16"/>
      <c r="C1170" s="16"/>
      <c r="D1170" s="15"/>
      <c r="E1170" s="11" t="str">
        <f aca="false">IF(D1170="","",IFERROR(INDEX(Players!$C$5:$C$304,MATCH(D1170,Players!$B$5:$B$304,0)),""))</f>
        <v/>
      </c>
      <c r="F1170" s="22" t="str">
        <f aca="false">IF(D1170="","",IF(COUNTIFS($B$5:$B$2004,B1170,$D$5:$D$2004,D1170)&gt;1,"DUPLICATE",IF(ISNA(MATCH(D1170,Players!$B$5:$B$304,0)),"UID not found",IF(INDEX(Players!$H$5:$H$304,MATCH(D1170,Players!$B$5:$B$304,0))&lt;0,"LOW BALANCE","OK"))))</f>
        <v/>
      </c>
      <c r="G1170" s="1"/>
      <c r="H1170" s="1"/>
      <c r="I1170" s="1"/>
    </row>
    <row r="1171" customFormat="false" ht="21.75" hidden="false" customHeight="true" outlineLevel="0" collapsed="false">
      <c r="A1171" s="1"/>
      <c r="B1171" s="16"/>
      <c r="C1171" s="16"/>
      <c r="D1171" s="15"/>
      <c r="E1171" s="11" t="str">
        <f aca="false">IF(D1171="","",IFERROR(INDEX(Players!$C$5:$C$304,MATCH(D1171,Players!$B$5:$B$304,0)),""))</f>
        <v/>
      </c>
      <c r="F1171" s="22" t="str">
        <f aca="false">IF(D1171="","",IF(COUNTIFS($B$5:$B$2004,B1171,$D$5:$D$2004,D1171)&gt;1,"DUPLICATE",IF(ISNA(MATCH(D1171,Players!$B$5:$B$304,0)),"UID not found",IF(INDEX(Players!$H$5:$H$304,MATCH(D1171,Players!$B$5:$B$304,0))&lt;0,"LOW BALANCE","OK"))))</f>
        <v/>
      </c>
      <c r="G1171" s="1"/>
      <c r="H1171" s="1"/>
      <c r="I1171" s="1"/>
    </row>
    <row r="1172" customFormat="false" ht="21.75" hidden="false" customHeight="true" outlineLevel="0" collapsed="false">
      <c r="A1172" s="1"/>
      <c r="B1172" s="16"/>
      <c r="C1172" s="16"/>
      <c r="D1172" s="15"/>
      <c r="E1172" s="11" t="str">
        <f aca="false">IF(D1172="","",IFERROR(INDEX(Players!$C$5:$C$304,MATCH(D1172,Players!$B$5:$B$304,0)),""))</f>
        <v/>
      </c>
      <c r="F1172" s="22" t="str">
        <f aca="false">IF(D1172="","",IF(COUNTIFS($B$5:$B$2004,B1172,$D$5:$D$2004,D1172)&gt;1,"DUPLICATE",IF(ISNA(MATCH(D1172,Players!$B$5:$B$304,0)),"UID not found",IF(INDEX(Players!$H$5:$H$304,MATCH(D1172,Players!$B$5:$B$304,0))&lt;0,"LOW BALANCE","OK"))))</f>
        <v/>
      </c>
      <c r="G1172" s="1"/>
      <c r="H1172" s="1"/>
      <c r="I1172" s="1"/>
    </row>
    <row r="1173" customFormat="false" ht="21.75" hidden="false" customHeight="true" outlineLevel="0" collapsed="false">
      <c r="A1173" s="1"/>
      <c r="B1173" s="16"/>
      <c r="C1173" s="16"/>
      <c r="D1173" s="15"/>
      <c r="E1173" s="11" t="str">
        <f aca="false">IF(D1173="","",IFERROR(INDEX(Players!$C$5:$C$304,MATCH(D1173,Players!$B$5:$B$304,0)),""))</f>
        <v/>
      </c>
      <c r="F1173" s="22" t="str">
        <f aca="false">IF(D1173="","",IF(COUNTIFS($B$5:$B$2004,B1173,$D$5:$D$2004,D1173)&gt;1,"DUPLICATE",IF(ISNA(MATCH(D1173,Players!$B$5:$B$304,0)),"UID not found",IF(INDEX(Players!$H$5:$H$304,MATCH(D1173,Players!$B$5:$B$304,0))&lt;0,"LOW BALANCE","OK"))))</f>
        <v/>
      </c>
      <c r="G1173" s="1"/>
      <c r="H1173" s="1"/>
      <c r="I1173" s="1"/>
    </row>
    <row r="1174" customFormat="false" ht="21.75" hidden="false" customHeight="true" outlineLevel="0" collapsed="false">
      <c r="A1174" s="1"/>
      <c r="B1174" s="16"/>
      <c r="C1174" s="16"/>
      <c r="D1174" s="15"/>
      <c r="E1174" s="11" t="str">
        <f aca="false">IF(D1174="","",IFERROR(INDEX(Players!$C$5:$C$304,MATCH(D1174,Players!$B$5:$B$304,0)),""))</f>
        <v/>
      </c>
      <c r="F1174" s="22" t="str">
        <f aca="false">IF(D1174="","",IF(COUNTIFS($B$5:$B$2004,B1174,$D$5:$D$2004,D1174)&gt;1,"DUPLICATE",IF(ISNA(MATCH(D1174,Players!$B$5:$B$304,0)),"UID not found",IF(INDEX(Players!$H$5:$H$304,MATCH(D1174,Players!$B$5:$B$304,0))&lt;0,"LOW BALANCE","OK"))))</f>
        <v/>
      </c>
      <c r="G1174" s="1"/>
      <c r="H1174" s="1"/>
      <c r="I1174" s="1"/>
    </row>
    <row r="1175" customFormat="false" ht="21.75" hidden="false" customHeight="true" outlineLevel="0" collapsed="false">
      <c r="A1175" s="1"/>
      <c r="B1175" s="16"/>
      <c r="C1175" s="16"/>
      <c r="D1175" s="15"/>
      <c r="E1175" s="11" t="str">
        <f aca="false">IF(D1175="","",IFERROR(INDEX(Players!$C$5:$C$304,MATCH(D1175,Players!$B$5:$B$304,0)),""))</f>
        <v/>
      </c>
      <c r="F1175" s="22" t="str">
        <f aca="false">IF(D1175="","",IF(COUNTIFS($B$5:$B$2004,B1175,$D$5:$D$2004,D1175)&gt;1,"DUPLICATE",IF(ISNA(MATCH(D1175,Players!$B$5:$B$304,0)),"UID not found",IF(INDEX(Players!$H$5:$H$304,MATCH(D1175,Players!$B$5:$B$304,0))&lt;0,"LOW BALANCE","OK"))))</f>
        <v/>
      </c>
      <c r="G1175" s="1"/>
      <c r="H1175" s="1"/>
      <c r="I1175" s="1"/>
    </row>
    <row r="1176" customFormat="false" ht="21.75" hidden="false" customHeight="true" outlineLevel="0" collapsed="false">
      <c r="A1176" s="1"/>
      <c r="B1176" s="16"/>
      <c r="C1176" s="16"/>
      <c r="D1176" s="15"/>
      <c r="E1176" s="11" t="str">
        <f aca="false">IF(D1176="","",IFERROR(INDEX(Players!$C$5:$C$304,MATCH(D1176,Players!$B$5:$B$304,0)),""))</f>
        <v/>
      </c>
      <c r="F1176" s="22" t="str">
        <f aca="false">IF(D1176="","",IF(COUNTIFS($B$5:$B$2004,B1176,$D$5:$D$2004,D1176)&gt;1,"DUPLICATE",IF(ISNA(MATCH(D1176,Players!$B$5:$B$304,0)),"UID not found",IF(INDEX(Players!$H$5:$H$304,MATCH(D1176,Players!$B$5:$B$304,0))&lt;0,"LOW BALANCE","OK"))))</f>
        <v/>
      </c>
      <c r="G1176" s="1"/>
      <c r="H1176" s="1"/>
      <c r="I1176" s="1"/>
    </row>
    <row r="1177" customFormat="false" ht="21.75" hidden="false" customHeight="true" outlineLevel="0" collapsed="false">
      <c r="A1177" s="1"/>
      <c r="B1177" s="16"/>
      <c r="C1177" s="16"/>
      <c r="D1177" s="15"/>
      <c r="E1177" s="11" t="str">
        <f aca="false">IF(D1177="","",IFERROR(INDEX(Players!$C$5:$C$304,MATCH(D1177,Players!$B$5:$B$304,0)),""))</f>
        <v/>
      </c>
      <c r="F1177" s="22" t="str">
        <f aca="false">IF(D1177="","",IF(COUNTIFS($B$5:$B$2004,B1177,$D$5:$D$2004,D1177)&gt;1,"DUPLICATE",IF(ISNA(MATCH(D1177,Players!$B$5:$B$304,0)),"UID not found",IF(INDEX(Players!$H$5:$H$304,MATCH(D1177,Players!$B$5:$B$304,0))&lt;0,"LOW BALANCE","OK"))))</f>
        <v/>
      </c>
      <c r="G1177" s="1"/>
      <c r="H1177" s="1"/>
      <c r="I1177" s="1"/>
    </row>
    <row r="1178" customFormat="false" ht="21.75" hidden="false" customHeight="true" outlineLevel="0" collapsed="false">
      <c r="A1178" s="1"/>
      <c r="B1178" s="16"/>
      <c r="C1178" s="16"/>
      <c r="D1178" s="15"/>
      <c r="E1178" s="11" t="str">
        <f aca="false">IF(D1178="","",IFERROR(INDEX(Players!$C$5:$C$304,MATCH(D1178,Players!$B$5:$B$304,0)),""))</f>
        <v/>
      </c>
      <c r="F1178" s="22" t="str">
        <f aca="false">IF(D1178="","",IF(COUNTIFS($B$5:$B$2004,B1178,$D$5:$D$2004,D1178)&gt;1,"DUPLICATE",IF(ISNA(MATCH(D1178,Players!$B$5:$B$304,0)),"UID not found",IF(INDEX(Players!$H$5:$H$304,MATCH(D1178,Players!$B$5:$B$304,0))&lt;0,"LOW BALANCE","OK"))))</f>
        <v/>
      </c>
      <c r="G1178" s="1"/>
      <c r="H1178" s="1"/>
      <c r="I1178" s="1"/>
    </row>
    <row r="1179" customFormat="false" ht="21.75" hidden="false" customHeight="true" outlineLevel="0" collapsed="false">
      <c r="A1179" s="1"/>
      <c r="B1179" s="16"/>
      <c r="C1179" s="16"/>
      <c r="D1179" s="15"/>
      <c r="E1179" s="11" t="str">
        <f aca="false">IF(D1179="","",IFERROR(INDEX(Players!$C$5:$C$304,MATCH(D1179,Players!$B$5:$B$304,0)),""))</f>
        <v/>
      </c>
      <c r="F1179" s="22" t="str">
        <f aca="false">IF(D1179="","",IF(COUNTIFS($B$5:$B$2004,B1179,$D$5:$D$2004,D1179)&gt;1,"DUPLICATE",IF(ISNA(MATCH(D1179,Players!$B$5:$B$304,0)),"UID not found",IF(INDEX(Players!$H$5:$H$304,MATCH(D1179,Players!$B$5:$B$304,0))&lt;0,"LOW BALANCE","OK"))))</f>
        <v/>
      </c>
      <c r="G1179" s="1"/>
      <c r="H1179" s="1"/>
      <c r="I1179" s="1"/>
    </row>
    <row r="1180" customFormat="false" ht="21.75" hidden="false" customHeight="true" outlineLevel="0" collapsed="false">
      <c r="A1180" s="1"/>
      <c r="B1180" s="16"/>
      <c r="C1180" s="16"/>
      <c r="D1180" s="15"/>
      <c r="E1180" s="11" t="str">
        <f aca="false">IF(D1180="","",IFERROR(INDEX(Players!$C$5:$C$304,MATCH(D1180,Players!$B$5:$B$304,0)),""))</f>
        <v/>
      </c>
      <c r="F1180" s="22" t="str">
        <f aca="false">IF(D1180="","",IF(COUNTIFS($B$5:$B$2004,B1180,$D$5:$D$2004,D1180)&gt;1,"DUPLICATE",IF(ISNA(MATCH(D1180,Players!$B$5:$B$304,0)),"UID not found",IF(INDEX(Players!$H$5:$H$304,MATCH(D1180,Players!$B$5:$B$304,0))&lt;0,"LOW BALANCE","OK"))))</f>
        <v/>
      </c>
      <c r="G1180" s="1"/>
      <c r="H1180" s="1"/>
      <c r="I1180" s="1"/>
    </row>
    <row r="1181" customFormat="false" ht="21.75" hidden="false" customHeight="true" outlineLevel="0" collapsed="false">
      <c r="A1181" s="1"/>
      <c r="B1181" s="16"/>
      <c r="C1181" s="16"/>
      <c r="D1181" s="15"/>
      <c r="E1181" s="11" t="str">
        <f aca="false">IF(D1181="","",IFERROR(INDEX(Players!$C$5:$C$304,MATCH(D1181,Players!$B$5:$B$304,0)),""))</f>
        <v/>
      </c>
      <c r="F1181" s="22" t="str">
        <f aca="false">IF(D1181="","",IF(COUNTIFS($B$5:$B$2004,B1181,$D$5:$D$2004,D1181)&gt;1,"DUPLICATE",IF(ISNA(MATCH(D1181,Players!$B$5:$B$304,0)),"UID not found",IF(INDEX(Players!$H$5:$H$304,MATCH(D1181,Players!$B$5:$B$304,0))&lt;0,"LOW BALANCE","OK"))))</f>
        <v/>
      </c>
      <c r="G1181" s="1"/>
      <c r="H1181" s="1"/>
      <c r="I1181" s="1"/>
    </row>
    <row r="1182" customFormat="false" ht="21.75" hidden="false" customHeight="true" outlineLevel="0" collapsed="false">
      <c r="A1182" s="1"/>
      <c r="B1182" s="16"/>
      <c r="C1182" s="16"/>
      <c r="D1182" s="15"/>
      <c r="E1182" s="11" t="str">
        <f aca="false">IF(D1182="","",IFERROR(INDEX(Players!$C$5:$C$304,MATCH(D1182,Players!$B$5:$B$304,0)),""))</f>
        <v/>
      </c>
      <c r="F1182" s="22" t="str">
        <f aca="false">IF(D1182="","",IF(COUNTIFS($B$5:$B$2004,B1182,$D$5:$D$2004,D1182)&gt;1,"DUPLICATE",IF(ISNA(MATCH(D1182,Players!$B$5:$B$304,0)),"UID not found",IF(INDEX(Players!$H$5:$H$304,MATCH(D1182,Players!$B$5:$B$304,0))&lt;0,"LOW BALANCE","OK"))))</f>
        <v/>
      </c>
      <c r="G1182" s="1"/>
      <c r="H1182" s="1"/>
      <c r="I1182" s="1"/>
    </row>
    <row r="1183" customFormat="false" ht="21.75" hidden="false" customHeight="true" outlineLevel="0" collapsed="false">
      <c r="A1183" s="1"/>
      <c r="B1183" s="16"/>
      <c r="C1183" s="16"/>
      <c r="D1183" s="15"/>
      <c r="E1183" s="11" t="str">
        <f aca="false">IF(D1183="","",IFERROR(INDEX(Players!$C$5:$C$304,MATCH(D1183,Players!$B$5:$B$304,0)),""))</f>
        <v/>
      </c>
      <c r="F1183" s="22" t="str">
        <f aca="false">IF(D1183="","",IF(COUNTIFS($B$5:$B$2004,B1183,$D$5:$D$2004,D1183)&gt;1,"DUPLICATE",IF(ISNA(MATCH(D1183,Players!$B$5:$B$304,0)),"UID not found",IF(INDEX(Players!$H$5:$H$304,MATCH(D1183,Players!$B$5:$B$304,0))&lt;0,"LOW BALANCE","OK"))))</f>
        <v/>
      </c>
      <c r="G1183" s="1"/>
      <c r="H1183" s="1"/>
      <c r="I1183" s="1"/>
    </row>
    <row r="1184" customFormat="false" ht="21.75" hidden="false" customHeight="true" outlineLevel="0" collapsed="false">
      <c r="A1184" s="1"/>
      <c r="B1184" s="16"/>
      <c r="C1184" s="16"/>
      <c r="D1184" s="15"/>
      <c r="E1184" s="11" t="str">
        <f aca="false">IF(D1184="","",IFERROR(INDEX(Players!$C$5:$C$304,MATCH(D1184,Players!$B$5:$B$304,0)),""))</f>
        <v/>
      </c>
      <c r="F1184" s="22" t="str">
        <f aca="false">IF(D1184="","",IF(COUNTIFS($B$5:$B$2004,B1184,$D$5:$D$2004,D1184)&gt;1,"DUPLICATE",IF(ISNA(MATCH(D1184,Players!$B$5:$B$304,0)),"UID not found",IF(INDEX(Players!$H$5:$H$304,MATCH(D1184,Players!$B$5:$B$304,0))&lt;0,"LOW BALANCE","OK"))))</f>
        <v/>
      </c>
      <c r="G1184" s="1"/>
      <c r="H1184" s="1"/>
      <c r="I1184" s="1"/>
    </row>
    <row r="1185" customFormat="false" ht="21.75" hidden="false" customHeight="true" outlineLevel="0" collapsed="false">
      <c r="A1185" s="1"/>
      <c r="B1185" s="16"/>
      <c r="C1185" s="16"/>
      <c r="D1185" s="15"/>
      <c r="E1185" s="11" t="str">
        <f aca="false">IF(D1185="","",IFERROR(INDEX(Players!$C$5:$C$304,MATCH(D1185,Players!$B$5:$B$304,0)),""))</f>
        <v/>
      </c>
      <c r="F1185" s="22" t="str">
        <f aca="false">IF(D1185="","",IF(COUNTIFS($B$5:$B$2004,B1185,$D$5:$D$2004,D1185)&gt;1,"DUPLICATE",IF(ISNA(MATCH(D1185,Players!$B$5:$B$304,0)),"UID not found",IF(INDEX(Players!$H$5:$H$304,MATCH(D1185,Players!$B$5:$B$304,0))&lt;0,"LOW BALANCE","OK"))))</f>
        <v/>
      </c>
      <c r="G1185" s="1"/>
      <c r="H1185" s="1"/>
      <c r="I1185" s="1"/>
    </row>
    <row r="1186" customFormat="false" ht="21.75" hidden="false" customHeight="true" outlineLevel="0" collapsed="false">
      <c r="A1186" s="1"/>
      <c r="B1186" s="16"/>
      <c r="C1186" s="16"/>
      <c r="D1186" s="15"/>
      <c r="E1186" s="11" t="str">
        <f aca="false">IF(D1186="","",IFERROR(INDEX(Players!$C$5:$C$304,MATCH(D1186,Players!$B$5:$B$304,0)),""))</f>
        <v/>
      </c>
      <c r="F1186" s="22" t="str">
        <f aca="false">IF(D1186="","",IF(COUNTIFS($B$5:$B$2004,B1186,$D$5:$D$2004,D1186)&gt;1,"DUPLICATE",IF(ISNA(MATCH(D1186,Players!$B$5:$B$304,0)),"UID not found",IF(INDEX(Players!$H$5:$H$304,MATCH(D1186,Players!$B$5:$B$304,0))&lt;0,"LOW BALANCE","OK"))))</f>
        <v/>
      </c>
      <c r="G1186" s="1"/>
      <c r="H1186" s="1"/>
      <c r="I1186" s="1"/>
    </row>
    <row r="1187" customFormat="false" ht="21.75" hidden="false" customHeight="true" outlineLevel="0" collapsed="false">
      <c r="A1187" s="1"/>
      <c r="B1187" s="16"/>
      <c r="C1187" s="16"/>
      <c r="D1187" s="15"/>
      <c r="E1187" s="11" t="str">
        <f aca="false">IF(D1187="","",IFERROR(INDEX(Players!$C$5:$C$304,MATCH(D1187,Players!$B$5:$B$304,0)),""))</f>
        <v/>
      </c>
      <c r="F1187" s="22" t="str">
        <f aca="false">IF(D1187="","",IF(COUNTIFS($B$5:$B$2004,B1187,$D$5:$D$2004,D1187)&gt;1,"DUPLICATE",IF(ISNA(MATCH(D1187,Players!$B$5:$B$304,0)),"UID not found",IF(INDEX(Players!$H$5:$H$304,MATCH(D1187,Players!$B$5:$B$304,0))&lt;0,"LOW BALANCE","OK"))))</f>
        <v/>
      </c>
      <c r="G1187" s="1"/>
      <c r="H1187" s="1"/>
      <c r="I1187" s="1"/>
    </row>
    <row r="1188" customFormat="false" ht="21.75" hidden="false" customHeight="true" outlineLevel="0" collapsed="false">
      <c r="A1188" s="1"/>
      <c r="B1188" s="16"/>
      <c r="C1188" s="16"/>
      <c r="D1188" s="15"/>
      <c r="E1188" s="11" t="str">
        <f aca="false">IF(D1188="","",IFERROR(INDEX(Players!$C$5:$C$304,MATCH(D1188,Players!$B$5:$B$304,0)),""))</f>
        <v/>
      </c>
      <c r="F1188" s="22" t="str">
        <f aca="false">IF(D1188="","",IF(COUNTIFS($B$5:$B$2004,B1188,$D$5:$D$2004,D1188)&gt;1,"DUPLICATE",IF(ISNA(MATCH(D1188,Players!$B$5:$B$304,0)),"UID not found",IF(INDEX(Players!$H$5:$H$304,MATCH(D1188,Players!$B$5:$B$304,0))&lt;0,"LOW BALANCE","OK"))))</f>
        <v/>
      </c>
      <c r="G1188" s="1"/>
      <c r="H1188" s="1"/>
      <c r="I1188" s="1"/>
    </row>
    <row r="1189" customFormat="false" ht="21.75" hidden="false" customHeight="true" outlineLevel="0" collapsed="false">
      <c r="A1189" s="1"/>
      <c r="B1189" s="16"/>
      <c r="C1189" s="16"/>
      <c r="D1189" s="15"/>
      <c r="E1189" s="11" t="str">
        <f aca="false">IF(D1189="","",IFERROR(INDEX(Players!$C$5:$C$304,MATCH(D1189,Players!$B$5:$B$304,0)),""))</f>
        <v/>
      </c>
      <c r="F1189" s="22" t="str">
        <f aca="false">IF(D1189="","",IF(COUNTIFS($B$5:$B$2004,B1189,$D$5:$D$2004,D1189)&gt;1,"DUPLICATE",IF(ISNA(MATCH(D1189,Players!$B$5:$B$304,0)),"UID not found",IF(INDEX(Players!$H$5:$H$304,MATCH(D1189,Players!$B$5:$B$304,0))&lt;0,"LOW BALANCE","OK"))))</f>
        <v/>
      </c>
      <c r="G1189" s="1"/>
      <c r="H1189" s="1"/>
      <c r="I1189" s="1"/>
    </row>
    <row r="1190" customFormat="false" ht="21.75" hidden="false" customHeight="true" outlineLevel="0" collapsed="false">
      <c r="A1190" s="1"/>
      <c r="B1190" s="16"/>
      <c r="C1190" s="16"/>
      <c r="D1190" s="15"/>
      <c r="E1190" s="11" t="str">
        <f aca="false">IF(D1190="","",IFERROR(INDEX(Players!$C$5:$C$304,MATCH(D1190,Players!$B$5:$B$304,0)),""))</f>
        <v/>
      </c>
      <c r="F1190" s="22" t="str">
        <f aca="false">IF(D1190="","",IF(COUNTIFS($B$5:$B$2004,B1190,$D$5:$D$2004,D1190)&gt;1,"DUPLICATE",IF(ISNA(MATCH(D1190,Players!$B$5:$B$304,0)),"UID not found",IF(INDEX(Players!$H$5:$H$304,MATCH(D1190,Players!$B$5:$B$304,0))&lt;0,"LOW BALANCE","OK"))))</f>
        <v/>
      </c>
      <c r="G1190" s="1"/>
      <c r="H1190" s="1"/>
      <c r="I1190" s="1"/>
    </row>
    <row r="1191" customFormat="false" ht="21.75" hidden="false" customHeight="true" outlineLevel="0" collapsed="false">
      <c r="A1191" s="1"/>
      <c r="B1191" s="16"/>
      <c r="C1191" s="16"/>
      <c r="D1191" s="15"/>
      <c r="E1191" s="11" t="str">
        <f aca="false">IF(D1191="","",IFERROR(INDEX(Players!$C$5:$C$304,MATCH(D1191,Players!$B$5:$B$304,0)),""))</f>
        <v/>
      </c>
      <c r="F1191" s="22" t="str">
        <f aca="false">IF(D1191="","",IF(COUNTIFS($B$5:$B$2004,B1191,$D$5:$D$2004,D1191)&gt;1,"DUPLICATE",IF(ISNA(MATCH(D1191,Players!$B$5:$B$304,0)),"UID not found",IF(INDEX(Players!$H$5:$H$304,MATCH(D1191,Players!$B$5:$B$304,0))&lt;0,"LOW BALANCE","OK"))))</f>
        <v/>
      </c>
      <c r="G1191" s="1"/>
      <c r="H1191" s="1"/>
      <c r="I1191" s="1"/>
    </row>
    <row r="1192" customFormat="false" ht="21.75" hidden="false" customHeight="true" outlineLevel="0" collapsed="false">
      <c r="A1192" s="1"/>
      <c r="B1192" s="16"/>
      <c r="C1192" s="16"/>
      <c r="D1192" s="15"/>
      <c r="E1192" s="11" t="str">
        <f aca="false">IF(D1192="","",IFERROR(INDEX(Players!$C$5:$C$304,MATCH(D1192,Players!$B$5:$B$304,0)),""))</f>
        <v/>
      </c>
      <c r="F1192" s="22" t="str">
        <f aca="false">IF(D1192="","",IF(COUNTIFS($B$5:$B$2004,B1192,$D$5:$D$2004,D1192)&gt;1,"DUPLICATE",IF(ISNA(MATCH(D1192,Players!$B$5:$B$304,0)),"UID not found",IF(INDEX(Players!$H$5:$H$304,MATCH(D1192,Players!$B$5:$B$304,0))&lt;0,"LOW BALANCE","OK"))))</f>
        <v/>
      </c>
      <c r="G1192" s="1"/>
      <c r="H1192" s="1"/>
      <c r="I1192" s="1"/>
    </row>
    <row r="1193" customFormat="false" ht="21.75" hidden="false" customHeight="true" outlineLevel="0" collapsed="false">
      <c r="A1193" s="1"/>
      <c r="B1193" s="16"/>
      <c r="C1193" s="16"/>
      <c r="D1193" s="15"/>
      <c r="E1193" s="11" t="str">
        <f aca="false">IF(D1193="","",IFERROR(INDEX(Players!$C$5:$C$304,MATCH(D1193,Players!$B$5:$B$304,0)),""))</f>
        <v/>
      </c>
      <c r="F1193" s="22" t="str">
        <f aca="false">IF(D1193="","",IF(COUNTIFS($B$5:$B$2004,B1193,$D$5:$D$2004,D1193)&gt;1,"DUPLICATE",IF(ISNA(MATCH(D1193,Players!$B$5:$B$304,0)),"UID not found",IF(INDEX(Players!$H$5:$H$304,MATCH(D1193,Players!$B$5:$B$304,0))&lt;0,"LOW BALANCE","OK"))))</f>
        <v/>
      </c>
      <c r="G1193" s="1"/>
      <c r="H1193" s="1"/>
      <c r="I1193" s="1"/>
    </row>
    <row r="1194" customFormat="false" ht="21.75" hidden="false" customHeight="true" outlineLevel="0" collapsed="false">
      <c r="A1194" s="1"/>
      <c r="B1194" s="16"/>
      <c r="C1194" s="16"/>
      <c r="D1194" s="15"/>
      <c r="E1194" s="11" t="str">
        <f aca="false">IF(D1194="","",IFERROR(INDEX(Players!$C$5:$C$304,MATCH(D1194,Players!$B$5:$B$304,0)),""))</f>
        <v/>
      </c>
      <c r="F1194" s="22" t="str">
        <f aca="false">IF(D1194="","",IF(COUNTIFS($B$5:$B$2004,B1194,$D$5:$D$2004,D1194)&gt;1,"DUPLICATE",IF(ISNA(MATCH(D1194,Players!$B$5:$B$304,0)),"UID not found",IF(INDEX(Players!$H$5:$H$304,MATCH(D1194,Players!$B$5:$B$304,0))&lt;0,"LOW BALANCE","OK"))))</f>
        <v/>
      </c>
      <c r="G1194" s="1"/>
      <c r="H1194" s="1"/>
      <c r="I1194" s="1"/>
    </row>
    <row r="1195" customFormat="false" ht="21.75" hidden="false" customHeight="true" outlineLevel="0" collapsed="false">
      <c r="A1195" s="1"/>
      <c r="B1195" s="16"/>
      <c r="C1195" s="16"/>
      <c r="D1195" s="15"/>
      <c r="E1195" s="11" t="str">
        <f aca="false">IF(D1195="","",IFERROR(INDEX(Players!$C$5:$C$304,MATCH(D1195,Players!$B$5:$B$304,0)),""))</f>
        <v/>
      </c>
      <c r="F1195" s="22" t="str">
        <f aca="false">IF(D1195="","",IF(COUNTIFS($B$5:$B$2004,B1195,$D$5:$D$2004,D1195)&gt;1,"DUPLICATE",IF(ISNA(MATCH(D1195,Players!$B$5:$B$304,0)),"UID not found",IF(INDEX(Players!$H$5:$H$304,MATCH(D1195,Players!$B$5:$B$304,0))&lt;0,"LOW BALANCE","OK"))))</f>
        <v/>
      </c>
      <c r="G1195" s="1"/>
      <c r="H1195" s="1"/>
      <c r="I1195" s="1"/>
    </row>
    <row r="1196" customFormat="false" ht="21.75" hidden="false" customHeight="true" outlineLevel="0" collapsed="false">
      <c r="A1196" s="1"/>
      <c r="B1196" s="16"/>
      <c r="C1196" s="16"/>
      <c r="D1196" s="15"/>
      <c r="E1196" s="11" t="str">
        <f aca="false">IF(D1196="","",IFERROR(INDEX(Players!$C$5:$C$304,MATCH(D1196,Players!$B$5:$B$304,0)),""))</f>
        <v/>
      </c>
      <c r="F1196" s="22" t="str">
        <f aca="false">IF(D1196="","",IF(COUNTIFS($B$5:$B$2004,B1196,$D$5:$D$2004,D1196)&gt;1,"DUPLICATE",IF(ISNA(MATCH(D1196,Players!$B$5:$B$304,0)),"UID not found",IF(INDEX(Players!$H$5:$H$304,MATCH(D1196,Players!$B$5:$B$304,0))&lt;0,"LOW BALANCE","OK"))))</f>
        <v/>
      </c>
      <c r="G1196" s="1"/>
      <c r="H1196" s="1"/>
      <c r="I1196" s="1"/>
    </row>
    <row r="1197" customFormat="false" ht="21.75" hidden="false" customHeight="true" outlineLevel="0" collapsed="false">
      <c r="A1197" s="1"/>
      <c r="B1197" s="16"/>
      <c r="C1197" s="16"/>
      <c r="D1197" s="15"/>
      <c r="E1197" s="11" t="str">
        <f aca="false">IF(D1197="","",IFERROR(INDEX(Players!$C$5:$C$304,MATCH(D1197,Players!$B$5:$B$304,0)),""))</f>
        <v/>
      </c>
      <c r="F1197" s="22" t="str">
        <f aca="false">IF(D1197="","",IF(COUNTIFS($B$5:$B$2004,B1197,$D$5:$D$2004,D1197)&gt;1,"DUPLICATE",IF(ISNA(MATCH(D1197,Players!$B$5:$B$304,0)),"UID not found",IF(INDEX(Players!$H$5:$H$304,MATCH(D1197,Players!$B$5:$B$304,0))&lt;0,"LOW BALANCE","OK"))))</f>
        <v/>
      </c>
      <c r="G1197" s="1"/>
      <c r="H1197" s="1"/>
      <c r="I1197" s="1"/>
    </row>
    <row r="1198" customFormat="false" ht="21.75" hidden="false" customHeight="true" outlineLevel="0" collapsed="false">
      <c r="A1198" s="1"/>
      <c r="B1198" s="16"/>
      <c r="C1198" s="16"/>
      <c r="D1198" s="15"/>
      <c r="E1198" s="11" t="str">
        <f aca="false">IF(D1198="","",IFERROR(INDEX(Players!$C$5:$C$304,MATCH(D1198,Players!$B$5:$B$304,0)),""))</f>
        <v/>
      </c>
      <c r="F1198" s="22" t="str">
        <f aca="false">IF(D1198="","",IF(COUNTIFS($B$5:$B$2004,B1198,$D$5:$D$2004,D1198)&gt;1,"DUPLICATE",IF(ISNA(MATCH(D1198,Players!$B$5:$B$304,0)),"UID not found",IF(INDEX(Players!$H$5:$H$304,MATCH(D1198,Players!$B$5:$B$304,0))&lt;0,"LOW BALANCE","OK"))))</f>
        <v/>
      </c>
      <c r="G1198" s="1"/>
      <c r="H1198" s="1"/>
      <c r="I1198" s="1"/>
    </row>
    <row r="1199" customFormat="false" ht="21.75" hidden="false" customHeight="true" outlineLevel="0" collapsed="false">
      <c r="A1199" s="1"/>
      <c r="B1199" s="16"/>
      <c r="C1199" s="16"/>
      <c r="D1199" s="15"/>
      <c r="E1199" s="11" t="str">
        <f aca="false">IF(D1199="","",IFERROR(INDEX(Players!$C$5:$C$304,MATCH(D1199,Players!$B$5:$B$304,0)),""))</f>
        <v/>
      </c>
      <c r="F1199" s="22" t="str">
        <f aca="false">IF(D1199="","",IF(COUNTIFS($B$5:$B$2004,B1199,$D$5:$D$2004,D1199)&gt;1,"DUPLICATE",IF(ISNA(MATCH(D1199,Players!$B$5:$B$304,0)),"UID not found",IF(INDEX(Players!$H$5:$H$304,MATCH(D1199,Players!$B$5:$B$304,0))&lt;0,"LOW BALANCE","OK"))))</f>
        <v/>
      </c>
      <c r="G1199" s="1"/>
      <c r="H1199" s="1"/>
      <c r="I1199" s="1"/>
    </row>
    <row r="1200" customFormat="false" ht="21.75" hidden="false" customHeight="true" outlineLevel="0" collapsed="false">
      <c r="A1200" s="1"/>
      <c r="B1200" s="16"/>
      <c r="C1200" s="16"/>
      <c r="D1200" s="15"/>
      <c r="E1200" s="11" t="str">
        <f aca="false">IF(D1200="","",IFERROR(INDEX(Players!$C$5:$C$304,MATCH(D1200,Players!$B$5:$B$304,0)),""))</f>
        <v/>
      </c>
      <c r="F1200" s="22" t="str">
        <f aca="false">IF(D1200="","",IF(COUNTIFS($B$5:$B$2004,B1200,$D$5:$D$2004,D1200)&gt;1,"DUPLICATE",IF(ISNA(MATCH(D1200,Players!$B$5:$B$304,0)),"UID not found",IF(INDEX(Players!$H$5:$H$304,MATCH(D1200,Players!$B$5:$B$304,0))&lt;0,"LOW BALANCE","OK"))))</f>
        <v/>
      </c>
      <c r="G1200" s="1"/>
      <c r="H1200" s="1"/>
      <c r="I1200" s="1"/>
    </row>
    <row r="1201" customFormat="false" ht="21.75" hidden="false" customHeight="true" outlineLevel="0" collapsed="false">
      <c r="A1201" s="1"/>
      <c r="B1201" s="16"/>
      <c r="C1201" s="16"/>
      <c r="D1201" s="15"/>
      <c r="E1201" s="11" t="str">
        <f aca="false">IF(D1201="","",IFERROR(INDEX(Players!$C$5:$C$304,MATCH(D1201,Players!$B$5:$B$304,0)),""))</f>
        <v/>
      </c>
      <c r="F1201" s="22" t="str">
        <f aca="false">IF(D1201="","",IF(COUNTIFS($B$5:$B$2004,B1201,$D$5:$D$2004,D1201)&gt;1,"DUPLICATE",IF(ISNA(MATCH(D1201,Players!$B$5:$B$304,0)),"UID not found",IF(INDEX(Players!$H$5:$H$304,MATCH(D1201,Players!$B$5:$B$304,0))&lt;0,"LOW BALANCE","OK"))))</f>
        <v/>
      </c>
      <c r="G1201" s="1"/>
      <c r="H1201" s="1"/>
      <c r="I1201" s="1"/>
    </row>
    <row r="1202" customFormat="false" ht="21.75" hidden="false" customHeight="true" outlineLevel="0" collapsed="false">
      <c r="A1202" s="1"/>
      <c r="B1202" s="16"/>
      <c r="C1202" s="16"/>
      <c r="D1202" s="15"/>
      <c r="E1202" s="11" t="str">
        <f aca="false">IF(D1202="","",IFERROR(INDEX(Players!$C$5:$C$304,MATCH(D1202,Players!$B$5:$B$304,0)),""))</f>
        <v/>
      </c>
      <c r="F1202" s="22" t="str">
        <f aca="false">IF(D1202="","",IF(COUNTIFS($B$5:$B$2004,B1202,$D$5:$D$2004,D1202)&gt;1,"DUPLICATE",IF(ISNA(MATCH(D1202,Players!$B$5:$B$304,0)),"UID not found",IF(INDEX(Players!$H$5:$H$304,MATCH(D1202,Players!$B$5:$B$304,0))&lt;0,"LOW BALANCE","OK"))))</f>
        <v/>
      </c>
      <c r="G1202" s="1"/>
      <c r="H1202" s="1"/>
      <c r="I1202" s="1"/>
    </row>
    <row r="1203" customFormat="false" ht="21.75" hidden="false" customHeight="true" outlineLevel="0" collapsed="false">
      <c r="A1203" s="1"/>
      <c r="B1203" s="16"/>
      <c r="C1203" s="16"/>
      <c r="D1203" s="15"/>
      <c r="E1203" s="11" t="str">
        <f aca="false">IF(D1203="","",IFERROR(INDEX(Players!$C$5:$C$304,MATCH(D1203,Players!$B$5:$B$304,0)),""))</f>
        <v/>
      </c>
      <c r="F1203" s="22" t="str">
        <f aca="false">IF(D1203="","",IF(COUNTIFS($B$5:$B$2004,B1203,$D$5:$D$2004,D1203)&gt;1,"DUPLICATE",IF(ISNA(MATCH(D1203,Players!$B$5:$B$304,0)),"UID not found",IF(INDEX(Players!$H$5:$H$304,MATCH(D1203,Players!$B$5:$B$304,0))&lt;0,"LOW BALANCE","OK"))))</f>
        <v/>
      </c>
      <c r="G1203" s="1"/>
      <c r="H1203" s="1"/>
      <c r="I1203" s="1"/>
    </row>
    <row r="1204" customFormat="false" ht="21.75" hidden="false" customHeight="true" outlineLevel="0" collapsed="false">
      <c r="A1204" s="1"/>
      <c r="B1204" s="16"/>
      <c r="C1204" s="16"/>
      <c r="D1204" s="15"/>
      <c r="E1204" s="11" t="str">
        <f aca="false">IF(D1204="","",IFERROR(INDEX(Players!$C$5:$C$304,MATCH(D1204,Players!$B$5:$B$304,0)),""))</f>
        <v/>
      </c>
      <c r="F1204" s="22" t="str">
        <f aca="false">IF(D1204="","",IF(COUNTIFS($B$5:$B$2004,B1204,$D$5:$D$2004,D1204)&gt;1,"DUPLICATE",IF(ISNA(MATCH(D1204,Players!$B$5:$B$304,0)),"UID not found",IF(INDEX(Players!$H$5:$H$304,MATCH(D1204,Players!$B$5:$B$304,0))&lt;0,"LOW BALANCE","OK"))))</f>
        <v/>
      </c>
      <c r="G1204" s="1"/>
      <c r="H1204" s="1"/>
      <c r="I1204" s="1"/>
    </row>
    <row r="1205" customFormat="false" ht="21.75" hidden="false" customHeight="true" outlineLevel="0" collapsed="false">
      <c r="A1205" s="1"/>
      <c r="B1205" s="16"/>
      <c r="C1205" s="16"/>
      <c r="D1205" s="15"/>
      <c r="E1205" s="11" t="str">
        <f aca="false">IF(D1205="","",IFERROR(INDEX(Players!$C$5:$C$304,MATCH(D1205,Players!$B$5:$B$304,0)),""))</f>
        <v/>
      </c>
      <c r="F1205" s="22" t="str">
        <f aca="false">IF(D1205="","",IF(COUNTIFS($B$5:$B$2004,B1205,$D$5:$D$2004,D1205)&gt;1,"DUPLICATE",IF(ISNA(MATCH(D1205,Players!$B$5:$B$304,0)),"UID not found",IF(INDEX(Players!$H$5:$H$304,MATCH(D1205,Players!$B$5:$B$304,0))&lt;0,"LOW BALANCE","OK"))))</f>
        <v/>
      </c>
      <c r="G1205" s="1"/>
      <c r="H1205" s="1"/>
      <c r="I1205" s="1"/>
    </row>
    <row r="1206" customFormat="false" ht="21.75" hidden="false" customHeight="true" outlineLevel="0" collapsed="false">
      <c r="A1206" s="1"/>
      <c r="B1206" s="16"/>
      <c r="C1206" s="16"/>
      <c r="D1206" s="15"/>
      <c r="E1206" s="11" t="str">
        <f aca="false">IF(D1206="","",IFERROR(INDEX(Players!$C$5:$C$304,MATCH(D1206,Players!$B$5:$B$304,0)),""))</f>
        <v/>
      </c>
      <c r="F1206" s="22" t="str">
        <f aca="false">IF(D1206="","",IF(COUNTIFS($B$5:$B$2004,B1206,$D$5:$D$2004,D1206)&gt;1,"DUPLICATE",IF(ISNA(MATCH(D1206,Players!$B$5:$B$304,0)),"UID not found",IF(INDEX(Players!$H$5:$H$304,MATCH(D1206,Players!$B$5:$B$304,0))&lt;0,"LOW BALANCE","OK"))))</f>
        <v/>
      </c>
      <c r="G1206" s="1"/>
      <c r="H1206" s="1"/>
      <c r="I1206" s="1"/>
    </row>
    <row r="1207" customFormat="false" ht="21.75" hidden="false" customHeight="true" outlineLevel="0" collapsed="false">
      <c r="A1207" s="1"/>
      <c r="B1207" s="16"/>
      <c r="C1207" s="16"/>
      <c r="D1207" s="15"/>
      <c r="E1207" s="11" t="str">
        <f aca="false">IF(D1207="","",IFERROR(INDEX(Players!$C$5:$C$304,MATCH(D1207,Players!$B$5:$B$304,0)),""))</f>
        <v/>
      </c>
      <c r="F1207" s="22" t="str">
        <f aca="false">IF(D1207="","",IF(COUNTIFS($B$5:$B$2004,B1207,$D$5:$D$2004,D1207)&gt;1,"DUPLICATE",IF(ISNA(MATCH(D1207,Players!$B$5:$B$304,0)),"UID not found",IF(INDEX(Players!$H$5:$H$304,MATCH(D1207,Players!$B$5:$B$304,0))&lt;0,"LOW BALANCE","OK"))))</f>
        <v/>
      </c>
      <c r="G1207" s="1"/>
      <c r="H1207" s="1"/>
      <c r="I1207" s="1"/>
    </row>
    <row r="1208" customFormat="false" ht="21.75" hidden="false" customHeight="true" outlineLevel="0" collapsed="false">
      <c r="A1208" s="1"/>
      <c r="B1208" s="16"/>
      <c r="C1208" s="16"/>
      <c r="D1208" s="15"/>
      <c r="E1208" s="11" t="str">
        <f aca="false">IF(D1208="","",IFERROR(INDEX(Players!$C$5:$C$304,MATCH(D1208,Players!$B$5:$B$304,0)),""))</f>
        <v/>
      </c>
      <c r="F1208" s="22" t="str">
        <f aca="false">IF(D1208="","",IF(COUNTIFS($B$5:$B$2004,B1208,$D$5:$D$2004,D1208)&gt;1,"DUPLICATE",IF(ISNA(MATCH(D1208,Players!$B$5:$B$304,0)),"UID not found",IF(INDEX(Players!$H$5:$H$304,MATCH(D1208,Players!$B$5:$B$304,0))&lt;0,"LOW BALANCE","OK"))))</f>
        <v/>
      </c>
      <c r="G1208" s="1"/>
      <c r="H1208" s="1"/>
      <c r="I1208" s="1"/>
    </row>
    <row r="1209" customFormat="false" ht="21.75" hidden="false" customHeight="true" outlineLevel="0" collapsed="false">
      <c r="A1209" s="1"/>
      <c r="B1209" s="16"/>
      <c r="C1209" s="16"/>
      <c r="D1209" s="15"/>
      <c r="E1209" s="11" t="str">
        <f aca="false">IF(D1209="","",IFERROR(INDEX(Players!$C$5:$C$304,MATCH(D1209,Players!$B$5:$B$304,0)),""))</f>
        <v/>
      </c>
      <c r="F1209" s="22" t="str">
        <f aca="false">IF(D1209="","",IF(COUNTIFS($B$5:$B$2004,B1209,$D$5:$D$2004,D1209)&gt;1,"DUPLICATE",IF(ISNA(MATCH(D1209,Players!$B$5:$B$304,0)),"UID not found",IF(INDEX(Players!$H$5:$H$304,MATCH(D1209,Players!$B$5:$B$304,0))&lt;0,"LOW BALANCE","OK"))))</f>
        <v/>
      </c>
      <c r="G1209" s="1"/>
      <c r="H1209" s="1"/>
      <c r="I1209" s="1"/>
    </row>
    <row r="1210" customFormat="false" ht="21.75" hidden="false" customHeight="true" outlineLevel="0" collapsed="false">
      <c r="A1210" s="1"/>
      <c r="B1210" s="16"/>
      <c r="C1210" s="16"/>
      <c r="D1210" s="15"/>
      <c r="E1210" s="11" t="str">
        <f aca="false">IF(D1210="","",IFERROR(INDEX(Players!$C$5:$C$304,MATCH(D1210,Players!$B$5:$B$304,0)),""))</f>
        <v/>
      </c>
      <c r="F1210" s="22" t="str">
        <f aca="false">IF(D1210="","",IF(COUNTIFS($B$5:$B$2004,B1210,$D$5:$D$2004,D1210)&gt;1,"DUPLICATE",IF(ISNA(MATCH(D1210,Players!$B$5:$B$304,0)),"UID not found",IF(INDEX(Players!$H$5:$H$304,MATCH(D1210,Players!$B$5:$B$304,0))&lt;0,"LOW BALANCE","OK"))))</f>
        <v/>
      </c>
      <c r="G1210" s="1"/>
      <c r="H1210" s="1"/>
      <c r="I1210" s="1"/>
    </row>
    <row r="1211" customFormat="false" ht="21.75" hidden="false" customHeight="true" outlineLevel="0" collapsed="false">
      <c r="A1211" s="1"/>
      <c r="B1211" s="16"/>
      <c r="C1211" s="16"/>
      <c r="D1211" s="15"/>
      <c r="E1211" s="11" t="str">
        <f aca="false">IF(D1211="","",IFERROR(INDEX(Players!$C$5:$C$304,MATCH(D1211,Players!$B$5:$B$304,0)),""))</f>
        <v/>
      </c>
      <c r="F1211" s="22" t="str">
        <f aca="false">IF(D1211="","",IF(COUNTIFS($B$5:$B$2004,B1211,$D$5:$D$2004,D1211)&gt;1,"DUPLICATE",IF(ISNA(MATCH(D1211,Players!$B$5:$B$304,0)),"UID not found",IF(INDEX(Players!$H$5:$H$304,MATCH(D1211,Players!$B$5:$B$304,0))&lt;0,"LOW BALANCE","OK"))))</f>
        <v/>
      </c>
      <c r="G1211" s="1"/>
      <c r="H1211" s="1"/>
      <c r="I1211" s="1"/>
    </row>
    <row r="1212" customFormat="false" ht="21.75" hidden="false" customHeight="true" outlineLevel="0" collapsed="false">
      <c r="A1212" s="1"/>
      <c r="B1212" s="16"/>
      <c r="C1212" s="16"/>
      <c r="D1212" s="15"/>
      <c r="E1212" s="11" t="str">
        <f aca="false">IF(D1212="","",IFERROR(INDEX(Players!$C$5:$C$304,MATCH(D1212,Players!$B$5:$B$304,0)),""))</f>
        <v/>
      </c>
      <c r="F1212" s="22" t="str">
        <f aca="false">IF(D1212="","",IF(COUNTIFS($B$5:$B$2004,B1212,$D$5:$D$2004,D1212)&gt;1,"DUPLICATE",IF(ISNA(MATCH(D1212,Players!$B$5:$B$304,0)),"UID not found",IF(INDEX(Players!$H$5:$H$304,MATCH(D1212,Players!$B$5:$B$304,0))&lt;0,"LOW BALANCE","OK"))))</f>
        <v/>
      </c>
      <c r="G1212" s="1"/>
      <c r="H1212" s="1"/>
      <c r="I1212" s="1"/>
    </row>
    <row r="1213" customFormat="false" ht="21.75" hidden="false" customHeight="true" outlineLevel="0" collapsed="false">
      <c r="A1213" s="1"/>
      <c r="B1213" s="16"/>
      <c r="C1213" s="16"/>
      <c r="D1213" s="15"/>
      <c r="E1213" s="11" t="str">
        <f aca="false">IF(D1213="","",IFERROR(INDEX(Players!$C$5:$C$304,MATCH(D1213,Players!$B$5:$B$304,0)),""))</f>
        <v/>
      </c>
      <c r="F1213" s="22" t="str">
        <f aca="false">IF(D1213="","",IF(COUNTIFS($B$5:$B$2004,B1213,$D$5:$D$2004,D1213)&gt;1,"DUPLICATE",IF(ISNA(MATCH(D1213,Players!$B$5:$B$304,0)),"UID not found",IF(INDEX(Players!$H$5:$H$304,MATCH(D1213,Players!$B$5:$B$304,0))&lt;0,"LOW BALANCE","OK"))))</f>
        <v/>
      </c>
      <c r="G1213" s="1"/>
      <c r="H1213" s="1"/>
      <c r="I1213" s="1"/>
    </row>
    <row r="1214" customFormat="false" ht="21.75" hidden="false" customHeight="true" outlineLevel="0" collapsed="false">
      <c r="A1214" s="1"/>
      <c r="B1214" s="16"/>
      <c r="C1214" s="16"/>
      <c r="D1214" s="15"/>
      <c r="E1214" s="11" t="str">
        <f aca="false">IF(D1214="","",IFERROR(INDEX(Players!$C$5:$C$304,MATCH(D1214,Players!$B$5:$B$304,0)),""))</f>
        <v/>
      </c>
      <c r="F1214" s="22" t="str">
        <f aca="false">IF(D1214="","",IF(COUNTIFS($B$5:$B$2004,B1214,$D$5:$D$2004,D1214)&gt;1,"DUPLICATE",IF(ISNA(MATCH(D1214,Players!$B$5:$B$304,0)),"UID not found",IF(INDEX(Players!$H$5:$H$304,MATCH(D1214,Players!$B$5:$B$304,0))&lt;0,"LOW BALANCE","OK"))))</f>
        <v/>
      </c>
      <c r="G1214" s="1"/>
      <c r="H1214" s="1"/>
      <c r="I1214" s="1"/>
    </row>
    <row r="1215" customFormat="false" ht="21.75" hidden="false" customHeight="true" outlineLevel="0" collapsed="false">
      <c r="A1215" s="1"/>
      <c r="B1215" s="16"/>
      <c r="C1215" s="16"/>
      <c r="D1215" s="15"/>
      <c r="E1215" s="11" t="str">
        <f aca="false">IF(D1215="","",IFERROR(INDEX(Players!$C$5:$C$304,MATCH(D1215,Players!$B$5:$B$304,0)),""))</f>
        <v/>
      </c>
      <c r="F1215" s="22" t="str">
        <f aca="false">IF(D1215="","",IF(COUNTIFS($B$5:$B$2004,B1215,$D$5:$D$2004,D1215)&gt;1,"DUPLICATE",IF(ISNA(MATCH(D1215,Players!$B$5:$B$304,0)),"UID not found",IF(INDEX(Players!$H$5:$H$304,MATCH(D1215,Players!$B$5:$B$304,0))&lt;0,"LOW BALANCE","OK"))))</f>
        <v/>
      </c>
      <c r="G1215" s="1"/>
      <c r="H1215" s="1"/>
      <c r="I1215" s="1"/>
    </row>
    <row r="1216" customFormat="false" ht="21.75" hidden="false" customHeight="true" outlineLevel="0" collapsed="false">
      <c r="A1216" s="1"/>
      <c r="B1216" s="16"/>
      <c r="C1216" s="16"/>
      <c r="D1216" s="15"/>
      <c r="E1216" s="11" t="str">
        <f aca="false">IF(D1216="","",IFERROR(INDEX(Players!$C$5:$C$304,MATCH(D1216,Players!$B$5:$B$304,0)),""))</f>
        <v/>
      </c>
      <c r="F1216" s="22" t="str">
        <f aca="false">IF(D1216="","",IF(COUNTIFS($B$5:$B$2004,B1216,$D$5:$D$2004,D1216)&gt;1,"DUPLICATE",IF(ISNA(MATCH(D1216,Players!$B$5:$B$304,0)),"UID not found",IF(INDEX(Players!$H$5:$H$304,MATCH(D1216,Players!$B$5:$B$304,0))&lt;0,"LOW BALANCE","OK"))))</f>
        <v/>
      </c>
      <c r="G1216" s="1"/>
      <c r="H1216" s="1"/>
      <c r="I1216" s="1"/>
    </row>
    <row r="1217" customFormat="false" ht="21.75" hidden="false" customHeight="true" outlineLevel="0" collapsed="false">
      <c r="A1217" s="1"/>
      <c r="B1217" s="16"/>
      <c r="C1217" s="16"/>
      <c r="D1217" s="15"/>
      <c r="E1217" s="11" t="str">
        <f aca="false">IF(D1217="","",IFERROR(INDEX(Players!$C$5:$C$304,MATCH(D1217,Players!$B$5:$B$304,0)),""))</f>
        <v/>
      </c>
      <c r="F1217" s="22" t="str">
        <f aca="false">IF(D1217="","",IF(COUNTIFS($B$5:$B$2004,B1217,$D$5:$D$2004,D1217)&gt;1,"DUPLICATE",IF(ISNA(MATCH(D1217,Players!$B$5:$B$304,0)),"UID not found",IF(INDEX(Players!$H$5:$H$304,MATCH(D1217,Players!$B$5:$B$304,0))&lt;0,"LOW BALANCE","OK"))))</f>
        <v/>
      </c>
      <c r="G1217" s="1"/>
      <c r="H1217" s="1"/>
      <c r="I1217" s="1"/>
    </row>
    <row r="1218" customFormat="false" ht="21.75" hidden="false" customHeight="true" outlineLevel="0" collapsed="false">
      <c r="A1218" s="1"/>
      <c r="B1218" s="16"/>
      <c r="C1218" s="16"/>
      <c r="D1218" s="15"/>
      <c r="E1218" s="11" t="str">
        <f aca="false">IF(D1218="","",IFERROR(INDEX(Players!$C$5:$C$304,MATCH(D1218,Players!$B$5:$B$304,0)),""))</f>
        <v/>
      </c>
      <c r="F1218" s="22" t="str">
        <f aca="false">IF(D1218="","",IF(COUNTIFS($B$5:$B$2004,B1218,$D$5:$D$2004,D1218)&gt;1,"DUPLICATE",IF(ISNA(MATCH(D1218,Players!$B$5:$B$304,0)),"UID not found",IF(INDEX(Players!$H$5:$H$304,MATCH(D1218,Players!$B$5:$B$304,0))&lt;0,"LOW BALANCE","OK"))))</f>
        <v/>
      </c>
      <c r="G1218" s="1"/>
      <c r="H1218" s="1"/>
      <c r="I1218" s="1"/>
    </row>
    <row r="1219" customFormat="false" ht="21.75" hidden="false" customHeight="true" outlineLevel="0" collapsed="false">
      <c r="A1219" s="1"/>
      <c r="B1219" s="16"/>
      <c r="C1219" s="16"/>
      <c r="D1219" s="15"/>
      <c r="E1219" s="11" t="str">
        <f aca="false">IF(D1219="","",IFERROR(INDEX(Players!$C$5:$C$304,MATCH(D1219,Players!$B$5:$B$304,0)),""))</f>
        <v/>
      </c>
      <c r="F1219" s="22" t="str">
        <f aca="false">IF(D1219="","",IF(COUNTIFS($B$5:$B$2004,B1219,$D$5:$D$2004,D1219)&gt;1,"DUPLICATE",IF(ISNA(MATCH(D1219,Players!$B$5:$B$304,0)),"UID not found",IF(INDEX(Players!$H$5:$H$304,MATCH(D1219,Players!$B$5:$B$304,0))&lt;0,"LOW BALANCE","OK"))))</f>
        <v/>
      </c>
      <c r="G1219" s="1"/>
      <c r="H1219" s="1"/>
      <c r="I1219" s="1"/>
    </row>
    <row r="1220" customFormat="false" ht="21.75" hidden="false" customHeight="true" outlineLevel="0" collapsed="false">
      <c r="A1220" s="1"/>
      <c r="B1220" s="16"/>
      <c r="C1220" s="16"/>
      <c r="D1220" s="15"/>
      <c r="E1220" s="11" t="str">
        <f aca="false">IF(D1220="","",IFERROR(INDEX(Players!$C$5:$C$304,MATCH(D1220,Players!$B$5:$B$304,0)),""))</f>
        <v/>
      </c>
      <c r="F1220" s="22" t="str">
        <f aca="false">IF(D1220="","",IF(COUNTIFS($B$5:$B$2004,B1220,$D$5:$D$2004,D1220)&gt;1,"DUPLICATE",IF(ISNA(MATCH(D1220,Players!$B$5:$B$304,0)),"UID not found",IF(INDEX(Players!$H$5:$H$304,MATCH(D1220,Players!$B$5:$B$304,0))&lt;0,"LOW BALANCE","OK"))))</f>
        <v/>
      </c>
      <c r="G1220" s="1"/>
      <c r="H1220" s="1"/>
      <c r="I1220" s="1"/>
    </row>
    <row r="1221" customFormat="false" ht="21.75" hidden="false" customHeight="true" outlineLevel="0" collapsed="false">
      <c r="A1221" s="1"/>
      <c r="B1221" s="16"/>
      <c r="C1221" s="16"/>
      <c r="D1221" s="15"/>
      <c r="E1221" s="11" t="str">
        <f aca="false">IF(D1221="","",IFERROR(INDEX(Players!$C$5:$C$304,MATCH(D1221,Players!$B$5:$B$304,0)),""))</f>
        <v/>
      </c>
      <c r="F1221" s="22" t="str">
        <f aca="false">IF(D1221="","",IF(COUNTIFS($B$5:$B$2004,B1221,$D$5:$D$2004,D1221)&gt;1,"DUPLICATE",IF(ISNA(MATCH(D1221,Players!$B$5:$B$304,0)),"UID not found",IF(INDEX(Players!$H$5:$H$304,MATCH(D1221,Players!$B$5:$B$304,0))&lt;0,"LOW BALANCE","OK"))))</f>
        <v/>
      </c>
      <c r="G1221" s="1"/>
      <c r="H1221" s="1"/>
      <c r="I1221" s="1"/>
    </row>
    <row r="1222" customFormat="false" ht="21.75" hidden="false" customHeight="true" outlineLevel="0" collapsed="false">
      <c r="A1222" s="1"/>
      <c r="B1222" s="16"/>
      <c r="C1222" s="16"/>
      <c r="D1222" s="15"/>
      <c r="E1222" s="11" t="str">
        <f aca="false">IF(D1222="","",IFERROR(INDEX(Players!$C$5:$C$304,MATCH(D1222,Players!$B$5:$B$304,0)),""))</f>
        <v/>
      </c>
      <c r="F1222" s="22" t="str">
        <f aca="false">IF(D1222="","",IF(COUNTIFS($B$5:$B$2004,B1222,$D$5:$D$2004,D1222)&gt;1,"DUPLICATE",IF(ISNA(MATCH(D1222,Players!$B$5:$B$304,0)),"UID not found",IF(INDEX(Players!$H$5:$H$304,MATCH(D1222,Players!$B$5:$B$304,0))&lt;0,"LOW BALANCE","OK"))))</f>
        <v/>
      </c>
      <c r="G1222" s="1"/>
      <c r="H1222" s="1"/>
      <c r="I1222" s="1"/>
    </row>
    <row r="1223" customFormat="false" ht="21.75" hidden="false" customHeight="true" outlineLevel="0" collapsed="false">
      <c r="A1223" s="1"/>
      <c r="B1223" s="16"/>
      <c r="C1223" s="16"/>
      <c r="D1223" s="15"/>
      <c r="E1223" s="11" t="str">
        <f aca="false">IF(D1223="","",IFERROR(INDEX(Players!$C$5:$C$304,MATCH(D1223,Players!$B$5:$B$304,0)),""))</f>
        <v/>
      </c>
      <c r="F1223" s="22" t="str">
        <f aca="false">IF(D1223="","",IF(COUNTIFS($B$5:$B$2004,B1223,$D$5:$D$2004,D1223)&gt;1,"DUPLICATE",IF(ISNA(MATCH(D1223,Players!$B$5:$B$304,0)),"UID not found",IF(INDEX(Players!$H$5:$H$304,MATCH(D1223,Players!$B$5:$B$304,0))&lt;0,"LOW BALANCE","OK"))))</f>
        <v/>
      </c>
      <c r="G1223" s="1"/>
      <c r="H1223" s="1"/>
      <c r="I1223" s="1"/>
    </row>
    <row r="1224" customFormat="false" ht="21.75" hidden="false" customHeight="true" outlineLevel="0" collapsed="false">
      <c r="A1224" s="1"/>
      <c r="B1224" s="16"/>
      <c r="C1224" s="16"/>
      <c r="D1224" s="15"/>
      <c r="E1224" s="11" t="str">
        <f aca="false">IF(D1224="","",IFERROR(INDEX(Players!$C$5:$C$304,MATCH(D1224,Players!$B$5:$B$304,0)),""))</f>
        <v/>
      </c>
      <c r="F1224" s="22" t="str">
        <f aca="false">IF(D1224="","",IF(COUNTIFS($B$5:$B$2004,B1224,$D$5:$D$2004,D1224)&gt;1,"DUPLICATE",IF(ISNA(MATCH(D1224,Players!$B$5:$B$304,0)),"UID not found",IF(INDEX(Players!$H$5:$H$304,MATCH(D1224,Players!$B$5:$B$304,0))&lt;0,"LOW BALANCE","OK"))))</f>
        <v/>
      </c>
      <c r="G1224" s="1"/>
      <c r="H1224" s="1"/>
      <c r="I1224" s="1"/>
    </row>
    <row r="1225" customFormat="false" ht="21.75" hidden="false" customHeight="true" outlineLevel="0" collapsed="false">
      <c r="A1225" s="1"/>
      <c r="B1225" s="16"/>
      <c r="C1225" s="16"/>
      <c r="D1225" s="15"/>
      <c r="E1225" s="11" t="str">
        <f aca="false">IF(D1225="","",IFERROR(INDEX(Players!$C$5:$C$304,MATCH(D1225,Players!$B$5:$B$304,0)),""))</f>
        <v/>
      </c>
      <c r="F1225" s="22" t="str">
        <f aca="false">IF(D1225="","",IF(COUNTIFS($B$5:$B$2004,B1225,$D$5:$D$2004,D1225)&gt;1,"DUPLICATE",IF(ISNA(MATCH(D1225,Players!$B$5:$B$304,0)),"UID not found",IF(INDEX(Players!$H$5:$H$304,MATCH(D1225,Players!$B$5:$B$304,0))&lt;0,"LOW BALANCE","OK"))))</f>
        <v/>
      </c>
      <c r="G1225" s="1"/>
      <c r="H1225" s="1"/>
      <c r="I1225" s="1"/>
    </row>
    <row r="1226" customFormat="false" ht="21.75" hidden="false" customHeight="true" outlineLevel="0" collapsed="false">
      <c r="A1226" s="1"/>
      <c r="B1226" s="16"/>
      <c r="C1226" s="16"/>
      <c r="D1226" s="15"/>
      <c r="E1226" s="11" t="str">
        <f aca="false">IF(D1226="","",IFERROR(INDEX(Players!$C$5:$C$304,MATCH(D1226,Players!$B$5:$B$304,0)),""))</f>
        <v/>
      </c>
      <c r="F1226" s="22" t="str">
        <f aca="false">IF(D1226="","",IF(COUNTIFS($B$5:$B$2004,B1226,$D$5:$D$2004,D1226)&gt;1,"DUPLICATE",IF(ISNA(MATCH(D1226,Players!$B$5:$B$304,0)),"UID not found",IF(INDEX(Players!$H$5:$H$304,MATCH(D1226,Players!$B$5:$B$304,0))&lt;0,"LOW BALANCE","OK"))))</f>
        <v/>
      </c>
      <c r="G1226" s="1"/>
      <c r="H1226" s="1"/>
      <c r="I1226" s="1"/>
    </row>
    <row r="1227" customFormat="false" ht="21.75" hidden="false" customHeight="true" outlineLevel="0" collapsed="false">
      <c r="A1227" s="1"/>
      <c r="B1227" s="16"/>
      <c r="C1227" s="16"/>
      <c r="D1227" s="15"/>
      <c r="E1227" s="11" t="str">
        <f aca="false">IF(D1227="","",IFERROR(INDEX(Players!$C$5:$C$304,MATCH(D1227,Players!$B$5:$B$304,0)),""))</f>
        <v/>
      </c>
      <c r="F1227" s="22" t="str">
        <f aca="false">IF(D1227="","",IF(COUNTIFS($B$5:$B$2004,B1227,$D$5:$D$2004,D1227)&gt;1,"DUPLICATE",IF(ISNA(MATCH(D1227,Players!$B$5:$B$304,0)),"UID not found",IF(INDEX(Players!$H$5:$H$304,MATCH(D1227,Players!$B$5:$B$304,0))&lt;0,"LOW BALANCE","OK"))))</f>
        <v/>
      </c>
      <c r="G1227" s="1"/>
      <c r="H1227" s="1"/>
      <c r="I1227" s="1"/>
    </row>
    <row r="1228" customFormat="false" ht="21.75" hidden="false" customHeight="true" outlineLevel="0" collapsed="false">
      <c r="A1228" s="1"/>
      <c r="B1228" s="16"/>
      <c r="C1228" s="16"/>
      <c r="D1228" s="15"/>
      <c r="E1228" s="11" t="str">
        <f aca="false">IF(D1228="","",IFERROR(INDEX(Players!$C$5:$C$304,MATCH(D1228,Players!$B$5:$B$304,0)),""))</f>
        <v/>
      </c>
      <c r="F1228" s="22" t="str">
        <f aca="false">IF(D1228="","",IF(COUNTIFS($B$5:$B$2004,B1228,$D$5:$D$2004,D1228)&gt;1,"DUPLICATE",IF(ISNA(MATCH(D1228,Players!$B$5:$B$304,0)),"UID not found",IF(INDEX(Players!$H$5:$H$304,MATCH(D1228,Players!$B$5:$B$304,0))&lt;0,"LOW BALANCE","OK"))))</f>
        <v/>
      </c>
      <c r="G1228" s="1"/>
      <c r="H1228" s="1"/>
      <c r="I1228" s="1"/>
    </row>
    <row r="1229" customFormat="false" ht="21.75" hidden="false" customHeight="true" outlineLevel="0" collapsed="false">
      <c r="A1229" s="1"/>
      <c r="B1229" s="16"/>
      <c r="C1229" s="16"/>
      <c r="D1229" s="15"/>
      <c r="E1229" s="11" t="str">
        <f aca="false">IF(D1229="","",IFERROR(INDEX(Players!$C$5:$C$304,MATCH(D1229,Players!$B$5:$B$304,0)),""))</f>
        <v/>
      </c>
      <c r="F1229" s="22" t="str">
        <f aca="false">IF(D1229="","",IF(COUNTIFS($B$5:$B$2004,B1229,$D$5:$D$2004,D1229)&gt;1,"DUPLICATE",IF(ISNA(MATCH(D1229,Players!$B$5:$B$304,0)),"UID not found",IF(INDEX(Players!$H$5:$H$304,MATCH(D1229,Players!$B$5:$B$304,0))&lt;0,"LOW BALANCE","OK"))))</f>
        <v/>
      </c>
      <c r="G1229" s="1"/>
      <c r="H1229" s="1"/>
      <c r="I1229" s="1"/>
    </row>
    <row r="1230" customFormat="false" ht="21.75" hidden="false" customHeight="true" outlineLevel="0" collapsed="false">
      <c r="A1230" s="1"/>
      <c r="B1230" s="16"/>
      <c r="C1230" s="16"/>
      <c r="D1230" s="15"/>
      <c r="E1230" s="11" t="str">
        <f aca="false">IF(D1230="","",IFERROR(INDEX(Players!$C$5:$C$304,MATCH(D1230,Players!$B$5:$B$304,0)),""))</f>
        <v/>
      </c>
      <c r="F1230" s="22" t="str">
        <f aca="false">IF(D1230="","",IF(COUNTIFS($B$5:$B$2004,B1230,$D$5:$D$2004,D1230)&gt;1,"DUPLICATE",IF(ISNA(MATCH(D1230,Players!$B$5:$B$304,0)),"UID not found",IF(INDEX(Players!$H$5:$H$304,MATCH(D1230,Players!$B$5:$B$304,0))&lt;0,"LOW BALANCE","OK"))))</f>
        <v/>
      </c>
      <c r="G1230" s="1"/>
      <c r="H1230" s="1"/>
      <c r="I1230" s="1"/>
    </row>
    <row r="1231" customFormat="false" ht="21.75" hidden="false" customHeight="true" outlineLevel="0" collapsed="false">
      <c r="A1231" s="1"/>
      <c r="B1231" s="16"/>
      <c r="C1231" s="16"/>
      <c r="D1231" s="15"/>
      <c r="E1231" s="11" t="str">
        <f aca="false">IF(D1231="","",IFERROR(INDEX(Players!$C$5:$C$304,MATCH(D1231,Players!$B$5:$B$304,0)),""))</f>
        <v/>
      </c>
      <c r="F1231" s="22" t="str">
        <f aca="false">IF(D1231="","",IF(COUNTIFS($B$5:$B$2004,B1231,$D$5:$D$2004,D1231)&gt;1,"DUPLICATE",IF(ISNA(MATCH(D1231,Players!$B$5:$B$304,0)),"UID not found",IF(INDEX(Players!$H$5:$H$304,MATCH(D1231,Players!$B$5:$B$304,0))&lt;0,"LOW BALANCE","OK"))))</f>
        <v/>
      </c>
      <c r="G1231" s="1"/>
      <c r="H1231" s="1"/>
      <c r="I1231" s="1"/>
    </row>
    <row r="1232" customFormat="false" ht="21.75" hidden="false" customHeight="true" outlineLevel="0" collapsed="false">
      <c r="A1232" s="1"/>
      <c r="B1232" s="16"/>
      <c r="C1232" s="16"/>
      <c r="D1232" s="15"/>
      <c r="E1232" s="11" t="str">
        <f aca="false">IF(D1232="","",IFERROR(INDEX(Players!$C$5:$C$304,MATCH(D1232,Players!$B$5:$B$304,0)),""))</f>
        <v/>
      </c>
      <c r="F1232" s="22" t="str">
        <f aca="false">IF(D1232="","",IF(COUNTIFS($B$5:$B$2004,B1232,$D$5:$D$2004,D1232)&gt;1,"DUPLICATE",IF(ISNA(MATCH(D1232,Players!$B$5:$B$304,0)),"UID not found",IF(INDEX(Players!$H$5:$H$304,MATCH(D1232,Players!$B$5:$B$304,0))&lt;0,"LOW BALANCE","OK"))))</f>
        <v/>
      </c>
      <c r="G1232" s="1"/>
      <c r="H1232" s="1"/>
      <c r="I1232" s="1"/>
    </row>
    <row r="1233" customFormat="false" ht="21.75" hidden="false" customHeight="true" outlineLevel="0" collapsed="false">
      <c r="A1233" s="1"/>
      <c r="B1233" s="16"/>
      <c r="C1233" s="16"/>
      <c r="D1233" s="15"/>
      <c r="E1233" s="11" t="str">
        <f aca="false">IF(D1233="","",IFERROR(INDEX(Players!$C$5:$C$304,MATCH(D1233,Players!$B$5:$B$304,0)),""))</f>
        <v/>
      </c>
      <c r="F1233" s="22" t="str">
        <f aca="false">IF(D1233="","",IF(COUNTIFS($B$5:$B$2004,B1233,$D$5:$D$2004,D1233)&gt;1,"DUPLICATE",IF(ISNA(MATCH(D1233,Players!$B$5:$B$304,0)),"UID not found",IF(INDEX(Players!$H$5:$H$304,MATCH(D1233,Players!$B$5:$B$304,0))&lt;0,"LOW BALANCE","OK"))))</f>
        <v/>
      </c>
      <c r="G1233" s="1"/>
      <c r="H1233" s="1"/>
      <c r="I1233" s="1"/>
    </row>
    <row r="1234" customFormat="false" ht="21.75" hidden="false" customHeight="true" outlineLevel="0" collapsed="false">
      <c r="A1234" s="1"/>
      <c r="B1234" s="16"/>
      <c r="C1234" s="16"/>
      <c r="D1234" s="15"/>
      <c r="E1234" s="11" t="str">
        <f aca="false">IF(D1234="","",IFERROR(INDEX(Players!$C$5:$C$304,MATCH(D1234,Players!$B$5:$B$304,0)),""))</f>
        <v/>
      </c>
      <c r="F1234" s="22" t="str">
        <f aca="false">IF(D1234="","",IF(COUNTIFS($B$5:$B$2004,B1234,$D$5:$D$2004,D1234)&gt;1,"DUPLICATE",IF(ISNA(MATCH(D1234,Players!$B$5:$B$304,0)),"UID not found",IF(INDEX(Players!$H$5:$H$304,MATCH(D1234,Players!$B$5:$B$304,0))&lt;0,"LOW BALANCE","OK"))))</f>
        <v/>
      </c>
      <c r="G1234" s="1"/>
      <c r="H1234" s="1"/>
      <c r="I1234" s="1"/>
    </row>
    <row r="1235" customFormat="false" ht="21.75" hidden="false" customHeight="true" outlineLevel="0" collapsed="false">
      <c r="A1235" s="1"/>
      <c r="B1235" s="16"/>
      <c r="C1235" s="16"/>
      <c r="D1235" s="15"/>
      <c r="E1235" s="11" t="str">
        <f aca="false">IF(D1235="","",IFERROR(INDEX(Players!$C$5:$C$304,MATCH(D1235,Players!$B$5:$B$304,0)),""))</f>
        <v/>
      </c>
      <c r="F1235" s="22" t="str">
        <f aca="false">IF(D1235="","",IF(COUNTIFS($B$5:$B$2004,B1235,$D$5:$D$2004,D1235)&gt;1,"DUPLICATE",IF(ISNA(MATCH(D1235,Players!$B$5:$B$304,0)),"UID not found",IF(INDEX(Players!$H$5:$H$304,MATCH(D1235,Players!$B$5:$B$304,0))&lt;0,"LOW BALANCE","OK"))))</f>
        <v/>
      </c>
      <c r="G1235" s="1"/>
      <c r="H1235" s="1"/>
      <c r="I1235" s="1"/>
    </row>
    <row r="1236" customFormat="false" ht="21.75" hidden="false" customHeight="true" outlineLevel="0" collapsed="false">
      <c r="A1236" s="1"/>
      <c r="B1236" s="16"/>
      <c r="C1236" s="16"/>
      <c r="D1236" s="15"/>
      <c r="E1236" s="11" t="str">
        <f aca="false">IF(D1236="","",IFERROR(INDEX(Players!$C$5:$C$304,MATCH(D1236,Players!$B$5:$B$304,0)),""))</f>
        <v/>
      </c>
      <c r="F1236" s="22" t="str">
        <f aca="false">IF(D1236="","",IF(COUNTIFS($B$5:$B$2004,B1236,$D$5:$D$2004,D1236)&gt;1,"DUPLICATE",IF(ISNA(MATCH(D1236,Players!$B$5:$B$304,0)),"UID not found",IF(INDEX(Players!$H$5:$H$304,MATCH(D1236,Players!$B$5:$B$304,0))&lt;0,"LOW BALANCE","OK"))))</f>
        <v/>
      </c>
      <c r="G1236" s="1"/>
      <c r="H1236" s="1"/>
      <c r="I1236" s="1"/>
    </row>
    <row r="1237" customFormat="false" ht="21.75" hidden="false" customHeight="true" outlineLevel="0" collapsed="false">
      <c r="A1237" s="1"/>
      <c r="B1237" s="16"/>
      <c r="C1237" s="16"/>
      <c r="D1237" s="15"/>
      <c r="E1237" s="11" t="str">
        <f aca="false">IF(D1237="","",IFERROR(INDEX(Players!$C$5:$C$304,MATCH(D1237,Players!$B$5:$B$304,0)),""))</f>
        <v/>
      </c>
      <c r="F1237" s="22" t="str">
        <f aca="false">IF(D1237="","",IF(COUNTIFS($B$5:$B$2004,B1237,$D$5:$D$2004,D1237)&gt;1,"DUPLICATE",IF(ISNA(MATCH(D1237,Players!$B$5:$B$304,0)),"UID not found",IF(INDEX(Players!$H$5:$H$304,MATCH(D1237,Players!$B$5:$B$304,0))&lt;0,"LOW BALANCE","OK"))))</f>
        <v/>
      </c>
      <c r="G1237" s="1"/>
      <c r="H1237" s="1"/>
      <c r="I1237" s="1"/>
    </row>
    <row r="1238" customFormat="false" ht="21.75" hidden="false" customHeight="true" outlineLevel="0" collapsed="false">
      <c r="A1238" s="1"/>
      <c r="B1238" s="16"/>
      <c r="C1238" s="16"/>
      <c r="D1238" s="15"/>
      <c r="E1238" s="11" t="str">
        <f aca="false">IF(D1238="","",IFERROR(INDEX(Players!$C$5:$C$304,MATCH(D1238,Players!$B$5:$B$304,0)),""))</f>
        <v/>
      </c>
      <c r="F1238" s="22" t="str">
        <f aca="false">IF(D1238="","",IF(COUNTIFS($B$5:$B$2004,B1238,$D$5:$D$2004,D1238)&gt;1,"DUPLICATE",IF(ISNA(MATCH(D1238,Players!$B$5:$B$304,0)),"UID not found",IF(INDEX(Players!$H$5:$H$304,MATCH(D1238,Players!$B$5:$B$304,0))&lt;0,"LOW BALANCE","OK"))))</f>
        <v/>
      </c>
      <c r="G1238" s="1"/>
      <c r="H1238" s="1"/>
      <c r="I1238" s="1"/>
    </row>
    <row r="1239" customFormat="false" ht="21.75" hidden="false" customHeight="true" outlineLevel="0" collapsed="false">
      <c r="A1239" s="1"/>
      <c r="B1239" s="16"/>
      <c r="C1239" s="16"/>
      <c r="D1239" s="15"/>
      <c r="E1239" s="11" t="str">
        <f aca="false">IF(D1239="","",IFERROR(INDEX(Players!$C$5:$C$304,MATCH(D1239,Players!$B$5:$B$304,0)),""))</f>
        <v/>
      </c>
      <c r="F1239" s="22" t="str">
        <f aca="false">IF(D1239="","",IF(COUNTIFS($B$5:$B$2004,B1239,$D$5:$D$2004,D1239)&gt;1,"DUPLICATE",IF(ISNA(MATCH(D1239,Players!$B$5:$B$304,0)),"UID not found",IF(INDEX(Players!$H$5:$H$304,MATCH(D1239,Players!$B$5:$B$304,0))&lt;0,"LOW BALANCE","OK"))))</f>
        <v/>
      </c>
      <c r="G1239" s="1"/>
      <c r="H1239" s="1"/>
      <c r="I1239" s="1"/>
    </row>
    <row r="1240" customFormat="false" ht="21.75" hidden="false" customHeight="true" outlineLevel="0" collapsed="false">
      <c r="A1240" s="1"/>
      <c r="B1240" s="16"/>
      <c r="C1240" s="16"/>
      <c r="D1240" s="15"/>
      <c r="E1240" s="11" t="str">
        <f aca="false">IF(D1240="","",IFERROR(INDEX(Players!$C$5:$C$304,MATCH(D1240,Players!$B$5:$B$304,0)),""))</f>
        <v/>
      </c>
      <c r="F1240" s="22" t="str">
        <f aca="false">IF(D1240="","",IF(COUNTIFS($B$5:$B$2004,B1240,$D$5:$D$2004,D1240)&gt;1,"DUPLICATE",IF(ISNA(MATCH(D1240,Players!$B$5:$B$304,0)),"UID not found",IF(INDEX(Players!$H$5:$H$304,MATCH(D1240,Players!$B$5:$B$304,0))&lt;0,"LOW BALANCE","OK"))))</f>
        <v/>
      </c>
      <c r="G1240" s="1"/>
      <c r="H1240" s="1"/>
      <c r="I1240" s="1"/>
    </row>
    <row r="1241" customFormat="false" ht="21.75" hidden="false" customHeight="true" outlineLevel="0" collapsed="false">
      <c r="A1241" s="1"/>
      <c r="B1241" s="16"/>
      <c r="C1241" s="16"/>
      <c r="D1241" s="15"/>
      <c r="E1241" s="11" t="str">
        <f aca="false">IF(D1241="","",IFERROR(INDEX(Players!$C$5:$C$304,MATCH(D1241,Players!$B$5:$B$304,0)),""))</f>
        <v/>
      </c>
      <c r="F1241" s="22" t="str">
        <f aca="false">IF(D1241="","",IF(COUNTIFS($B$5:$B$2004,B1241,$D$5:$D$2004,D1241)&gt;1,"DUPLICATE",IF(ISNA(MATCH(D1241,Players!$B$5:$B$304,0)),"UID not found",IF(INDEX(Players!$H$5:$H$304,MATCH(D1241,Players!$B$5:$B$304,0))&lt;0,"LOW BALANCE","OK"))))</f>
        <v/>
      </c>
      <c r="G1241" s="1"/>
      <c r="H1241" s="1"/>
      <c r="I1241" s="1"/>
    </row>
    <row r="1242" customFormat="false" ht="21.75" hidden="false" customHeight="true" outlineLevel="0" collapsed="false">
      <c r="A1242" s="1"/>
      <c r="B1242" s="16"/>
      <c r="C1242" s="16"/>
      <c r="D1242" s="15"/>
      <c r="E1242" s="11" t="str">
        <f aca="false">IF(D1242="","",IFERROR(INDEX(Players!$C$5:$C$304,MATCH(D1242,Players!$B$5:$B$304,0)),""))</f>
        <v/>
      </c>
      <c r="F1242" s="22" t="str">
        <f aca="false">IF(D1242="","",IF(COUNTIFS($B$5:$B$2004,B1242,$D$5:$D$2004,D1242)&gt;1,"DUPLICATE",IF(ISNA(MATCH(D1242,Players!$B$5:$B$304,0)),"UID not found",IF(INDEX(Players!$H$5:$H$304,MATCH(D1242,Players!$B$5:$B$304,0))&lt;0,"LOW BALANCE","OK"))))</f>
        <v/>
      </c>
      <c r="G1242" s="1"/>
      <c r="H1242" s="1"/>
      <c r="I1242" s="1"/>
    </row>
    <row r="1243" customFormat="false" ht="21.75" hidden="false" customHeight="true" outlineLevel="0" collapsed="false">
      <c r="A1243" s="1"/>
      <c r="B1243" s="16"/>
      <c r="C1243" s="16"/>
      <c r="D1243" s="15"/>
      <c r="E1243" s="11" t="str">
        <f aca="false">IF(D1243="","",IFERROR(INDEX(Players!$C$5:$C$304,MATCH(D1243,Players!$B$5:$B$304,0)),""))</f>
        <v/>
      </c>
      <c r="F1243" s="22" t="str">
        <f aca="false">IF(D1243="","",IF(COUNTIFS($B$5:$B$2004,B1243,$D$5:$D$2004,D1243)&gt;1,"DUPLICATE",IF(ISNA(MATCH(D1243,Players!$B$5:$B$304,0)),"UID not found",IF(INDEX(Players!$H$5:$H$304,MATCH(D1243,Players!$B$5:$B$304,0))&lt;0,"LOW BALANCE","OK"))))</f>
        <v/>
      </c>
      <c r="G1243" s="1"/>
      <c r="H1243" s="1"/>
      <c r="I1243" s="1"/>
    </row>
    <row r="1244" customFormat="false" ht="21.75" hidden="false" customHeight="true" outlineLevel="0" collapsed="false">
      <c r="A1244" s="1"/>
      <c r="B1244" s="16"/>
      <c r="C1244" s="16"/>
      <c r="D1244" s="15"/>
      <c r="E1244" s="11" t="str">
        <f aca="false">IF(D1244="","",IFERROR(INDEX(Players!$C$5:$C$304,MATCH(D1244,Players!$B$5:$B$304,0)),""))</f>
        <v/>
      </c>
      <c r="F1244" s="22" t="str">
        <f aca="false">IF(D1244="","",IF(COUNTIFS($B$5:$B$2004,B1244,$D$5:$D$2004,D1244)&gt;1,"DUPLICATE",IF(ISNA(MATCH(D1244,Players!$B$5:$B$304,0)),"UID not found",IF(INDEX(Players!$H$5:$H$304,MATCH(D1244,Players!$B$5:$B$304,0))&lt;0,"LOW BALANCE","OK"))))</f>
        <v/>
      </c>
      <c r="G1244" s="1"/>
      <c r="H1244" s="1"/>
      <c r="I1244" s="1"/>
    </row>
    <row r="1245" customFormat="false" ht="21.75" hidden="false" customHeight="true" outlineLevel="0" collapsed="false">
      <c r="A1245" s="1"/>
      <c r="B1245" s="16"/>
      <c r="C1245" s="16"/>
      <c r="D1245" s="15"/>
      <c r="E1245" s="11" t="str">
        <f aca="false">IF(D1245="","",IFERROR(INDEX(Players!$C$5:$C$304,MATCH(D1245,Players!$B$5:$B$304,0)),""))</f>
        <v/>
      </c>
      <c r="F1245" s="22" t="str">
        <f aca="false">IF(D1245="","",IF(COUNTIFS($B$5:$B$2004,B1245,$D$5:$D$2004,D1245)&gt;1,"DUPLICATE",IF(ISNA(MATCH(D1245,Players!$B$5:$B$304,0)),"UID not found",IF(INDEX(Players!$H$5:$H$304,MATCH(D1245,Players!$B$5:$B$304,0))&lt;0,"LOW BALANCE","OK"))))</f>
        <v/>
      </c>
      <c r="G1245" s="1"/>
      <c r="H1245" s="1"/>
      <c r="I1245" s="1"/>
    </row>
    <row r="1246" customFormat="false" ht="21.75" hidden="false" customHeight="true" outlineLevel="0" collapsed="false">
      <c r="A1246" s="1"/>
      <c r="B1246" s="16"/>
      <c r="C1246" s="16"/>
      <c r="D1246" s="15"/>
      <c r="E1246" s="11" t="str">
        <f aca="false">IF(D1246="","",IFERROR(INDEX(Players!$C$5:$C$304,MATCH(D1246,Players!$B$5:$B$304,0)),""))</f>
        <v/>
      </c>
      <c r="F1246" s="22" t="str">
        <f aca="false">IF(D1246="","",IF(COUNTIFS($B$5:$B$2004,B1246,$D$5:$D$2004,D1246)&gt;1,"DUPLICATE",IF(ISNA(MATCH(D1246,Players!$B$5:$B$304,0)),"UID not found",IF(INDEX(Players!$H$5:$H$304,MATCH(D1246,Players!$B$5:$B$304,0))&lt;0,"LOW BALANCE","OK"))))</f>
        <v/>
      </c>
      <c r="G1246" s="1"/>
      <c r="H1246" s="1"/>
      <c r="I1246" s="1"/>
    </row>
    <row r="1247" customFormat="false" ht="21.75" hidden="false" customHeight="true" outlineLevel="0" collapsed="false">
      <c r="A1247" s="1"/>
      <c r="B1247" s="16"/>
      <c r="C1247" s="16"/>
      <c r="D1247" s="15"/>
      <c r="E1247" s="11" t="str">
        <f aca="false">IF(D1247="","",IFERROR(INDEX(Players!$C$5:$C$304,MATCH(D1247,Players!$B$5:$B$304,0)),""))</f>
        <v/>
      </c>
      <c r="F1247" s="22" t="str">
        <f aca="false">IF(D1247="","",IF(COUNTIFS($B$5:$B$2004,B1247,$D$5:$D$2004,D1247)&gt;1,"DUPLICATE",IF(ISNA(MATCH(D1247,Players!$B$5:$B$304,0)),"UID not found",IF(INDEX(Players!$H$5:$H$304,MATCH(D1247,Players!$B$5:$B$304,0))&lt;0,"LOW BALANCE","OK"))))</f>
        <v/>
      </c>
      <c r="G1247" s="1"/>
      <c r="H1247" s="1"/>
      <c r="I1247" s="1"/>
    </row>
    <row r="1248" customFormat="false" ht="21.75" hidden="false" customHeight="true" outlineLevel="0" collapsed="false">
      <c r="A1248" s="1"/>
      <c r="B1248" s="16"/>
      <c r="C1248" s="16"/>
      <c r="D1248" s="15"/>
      <c r="E1248" s="11" t="str">
        <f aca="false">IF(D1248="","",IFERROR(INDEX(Players!$C$5:$C$304,MATCH(D1248,Players!$B$5:$B$304,0)),""))</f>
        <v/>
      </c>
      <c r="F1248" s="22" t="str">
        <f aca="false">IF(D1248="","",IF(COUNTIFS($B$5:$B$2004,B1248,$D$5:$D$2004,D1248)&gt;1,"DUPLICATE",IF(ISNA(MATCH(D1248,Players!$B$5:$B$304,0)),"UID not found",IF(INDEX(Players!$H$5:$H$304,MATCH(D1248,Players!$B$5:$B$304,0))&lt;0,"LOW BALANCE","OK"))))</f>
        <v/>
      </c>
      <c r="G1248" s="1"/>
      <c r="H1248" s="1"/>
      <c r="I1248" s="1"/>
    </row>
    <row r="1249" customFormat="false" ht="21.75" hidden="false" customHeight="true" outlineLevel="0" collapsed="false">
      <c r="A1249" s="1"/>
      <c r="B1249" s="16"/>
      <c r="C1249" s="16"/>
      <c r="D1249" s="15"/>
      <c r="E1249" s="11" t="str">
        <f aca="false">IF(D1249="","",IFERROR(INDEX(Players!$C$5:$C$304,MATCH(D1249,Players!$B$5:$B$304,0)),""))</f>
        <v/>
      </c>
      <c r="F1249" s="22" t="str">
        <f aca="false">IF(D1249="","",IF(COUNTIFS($B$5:$B$2004,B1249,$D$5:$D$2004,D1249)&gt;1,"DUPLICATE",IF(ISNA(MATCH(D1249,Players!$B$5:$B$304,0)),"UID not found",IF(INDEX(Players!$H$5:$H$304,MATCH(D1249,Players!$B$5:$B$304,0))&lt;0,"LOW BALANCE","OK"))))</f>
        <v/>
      </c>
      <c r="G1249" s="1"/>
      <c r="H1249" s="1"/>
      <c r="I1249" s="1"/>
    </row>
    <row r="1250" customFormat="false" ht="21.75" hidden="false" customHeight="true" outlineLevel="0" collapsed="false">
      <c r="A1250" s="1"/>
      <c r="B1250" s="16"/>
      <c r="C1250" s="16"/>
      <c r="D1250" s="15"/>
      <c r="E1250" s="11" t="str">
        <f aca="false">IF(D1250="","",IFERROR(INDEX(Players!$C$5:$C$304,MATCH(D1250,Players!$B$5:$B$304,0)),""))</f>
        <v/>
      </c>
      <c r="F1250" s="22" t="str">
        <f aca="false">IF(D1250="","",IF(COUNTIFS($B$5:$B$2004,B1250,$D$5:$D$2004,D1250)&gt;1,"DUPLICATE",IF(ISNA(MATCH(D1250,Players!$B$5:$B$304,0)),"UID not found",IF(INDEX(Players!$H$5:$H$304,MATCH(D1250,Players!$B$5:$B$304,0))&lt;0,"LOW BALANCE","OK"))))</f>
        <v/>
      </c>
      <c r="G1250" s="1"/>
      <c r="H1250" s="1"/>
      <c r="I1250" s="1"/>
    </row>
    <row r="1251" customFormat="false" ht="21.75" hidden="false" customHeight="true" outlineLevel="0" collapsed="false">
      <c r="A1251" s="1"/>
      <c r="B1251" s="16"/>
      <c r="C1251" s="16"/>
      <c r="D1251" s="15"/>
      <c r="E1251" s="11" t="str">
        <f aca="false">IF(D1251="","",IFERROR(INDEX(Players!$C$5:$C$304,MATCH(D1251,Players!$B$5:$B$304,0)),""))</f>
        <v/>
      </c>
      <c r="F1251" s="22" t="str">
        <f aca="false">IF(D1251="","",IF(COUNTIFS($B$5:$B$2004,B1251,$D$5:$D$2004,D1251)&gt;1,"DUPLICATE",IF(ISNA(MATCH(D1251,Players!$B$5:$B$304,0)),"UID not found",IF(INDEX(Players!$H$5:$H$304,MATCH(D1251,Players!$B$5:$B$304,0))&lt;0,"LOW BALANCE","OK"))))</f>
        <v/>
      </c>
      <c r="G1251" s="1"/>
      <c r="H1251" s="1"/>
      <c r="I1251" s="1"/>
    </row>
    <row r="1252" customFormat="false" ht="21.75" hidden="false" customHeight="true" outlineLevel="0" collapsed="false">
      <c r="A1252" s="1"/>
      <c r="B1252" s="16"/>
      <c r="C1252" s="16"/>
      <c r="D1252" s="15"/>
      <c r="E1252" s="11" t="str">
        <f aca="false">IF(D1252="","",IFERROR(INDEX(Players!$C$5:$C$304,MATCH(D1252,Players!$B$5:$B$304,0)),""))</f>
        <v/>
      </c>
      <c r="F1252" s="22" t="str">
        <f aca="false">IF(D1252="","",IF(COUNTIFS($B$5:$B$2004,B1252,$D$5:$D$2004,D1252)&gt;1,"DUPLICATE",IF(ISNA(MATCH(D1252,Players!$B$5:$B$304,0)),"UID not found",IF(INDEX(Players!$H$5:$H$304,MATCH(D1252,Players!$B$5:$B$304,0))&lt;0,"LOW BALANCE","OK"))))</f>
        <v/>
      </c>
      <c r="G1252" s="1"/>
      <c r="H1252" s="1"/>
      <c r="I1252" s="1"/>
    </row>
    <row r="1253" customFormat="false" ht="21.75" hidden="false" customHeight="true" outlineLevel="0" collapsed="false">
      <c r="A1253" s="1"/>
      <c r="B1253" s="16"/>
      <c r="C1253" s="16"/>
      <c r="D1253" s="15"/>
      <c r="E1253" s="11" t="str">
        <f aca="false">IF(D1253="","",IFERROR(INDEX(Players!$C$5:$C$304,MATCH(D1253,Players!$B$5:$B$304,0)),""))</f>
        <v/>
      </c>
      <c r="F1253" s="22" t="str">
        <f aca="false">IF(D1253="","",IF(COUNTIFS($B$5:$B$2004,B1253,$D$5:$D$2004,D1253)&gt;1,"DUPLICATE",IF(ISNA(MATCH(D1253,Players!$B$5:$B$304,0)),"UID not found",IF(INDEX(Players!$H$5:$H$304,MATCH(D1253,Players!$B$5:$B$304,0))&lt;0,"LOW BALANCE","OK"))))</f>
        <v/>
      </c>
      <c r="G1253" s="1"/>
      <c r="H1253" s="1"/>
      <c r="I1253" s="1"/>
    </row>
    <row r="1254" customFormat="false" ht="21.75" hidden="false" customHeight="true" outlineLevel="0" collapsed="false">
      <c r="A1254" s="1"/>
      <c r="B1254" s="16"/>
      <c r="C1254" s="16"/>
      <c r="D1254" s="15"/>
      <c r="E1254" s="11" t="str">
        <f aca="false">IF(D1254="","",IFERROR(INDEX(Players!$C$5:$C$304,MATCH(D1254,Players!$B$5:$B$304,0)),""))</f>
        <v/>
      </c>
      <c r="F1254" s="22" t="str">
        <f aca="false">IF(D1254="","",IF(COUNTIFS($B$5:$B$2004,B1254,$D$5:$D$2004,D1254)&gt;1,"DUPLICATE",IF(ISNA(MATCH(D1254,Players!$B$5:$B$304,0)),"UID not found",IF(INDEX(Players!$H$5:$H$304,MATCH(D1254,Players!$B$5:$B$304,0))&lt;0,"LOW BALANCE","OK"))))</f>
        <v/>
      </c>
      <c r="G1254" s="1"/>
      <c r="H1254" s="1"/>
      <c r="I1254" s="1"/>
    </row>
    <row r="1255" customFormat="false" ht="21.75" hidden="false" customHeight="true" outlineLevel="0" collapsed="false">
      <c r="A1255" s="1"/>
      <c r="B1255" s="16"/>
      <c r="C1255" s="16"/>
      <c r="D1255" s="15"/>
      <c r="E1255" s="11" t="str">
        <f aca="false">IF(D1255="","",IFERROR(INDEX(Players!$C$5:$C$304,MATCH(D1255,Players!$B$5:$B$304,0)),""))</f>
        <v/>
      </c>
      <c r="F1255" s="22" t="str">
        <f aca="false">IF(D1255="","",IF(COUNTIFS($B$5:$B$2004,B1255,$D$5:$D$2004,D1255)&gt;1,"DUPLICATE",IF(ISNA(MATCH(D1255,Players!$B$5:$B$304,0)),"UID not found",IF(INDEX(Players!$H$5:$H$304,MATCH(D1255,Players!$B$5:$B$304,0))&lt;0,"LOW BALANCE","OK"))))</f>
        <v/>
      </c>
      <c r="G1255" s="1"/>
      <c r="H1255" s="1"/>
      <c r="I1255" s="1"/>
    </row>
    <row r="1256" customFormat="false" ht="21.75" hidden="false" customHeight="true" outlineLevel="0" collapsed="false">
      <c r="A1256" s="1"/>
      <c r="B1256" s="16"/>
      <c r="C1256" s="16"/>
      <c r="D1256" s="15"/>
      <c r="E1256" s="11" t="str">
        <f aca="false">IF(D1256="","",IFERROR(INDEX(Players!$C$5:$C$304,MATCH(D1256,Players!$B$5:$B$304,0)),""))</f>
        <v/>
      </c>
      <c r="F1256" s="22" t="str">
        <f aca="false">IF(D1256="","",IF(COUNTIFS($B$5:$B$2004,B1256,$D$5:$D$2004,D1256)&gt;1,"DUPLICATE",IF(ISNA(MATCH(D1256,Players!$B$5:$B$304,0)),"UID not found",IF(INDEX(Players!$H$5:$H$304,MATCH(D1256,Players!$B$5:$B$304,0))&lt;0,"LOW BALANCE","OK"))))</f>
        <v/>
      </c>
      <c r="G1256" s="1"/>
      <c r="H1256" s="1"/>
      <c r="I1256" s="1"/>
    </row>
    <row r="1257" customFormat="false" ht="21.75" hidden="false" customHeight="true" outlineLevel="0" collapsed="false">
      <c r="A1257" s="1"/>
      <c r="B1257" s="16"/>
      <c r="C1257" s="16"/>
      <c r="D1257" s="15"/>
      <c r="E1257" s="11" t="str">
        <f aca="false">IF(D1257="","",IFERROR(INDEX(Players!$C$5:$C$304,MATCH(D1257,Players!$B$5:$B$304,0)),""))</f>
        <v/>
      </c>
      <c r="F1257" s="22" t="str">
        <f aca="false">IF(D1257="","",IF(COUNTIFS($B$5:$B$2004,B1257,$D$5:$D$2004,D1257)&gt;1,"DUPLICATE",IF(ISNA(MATCH(D1257,Players!$B$5:$B$304,0)),"UID not found",IF(INDEX(Players!$H$5:$H$304,MATCH(D1257,Players!$B$5:$B$304,0))&lt;0,"LOW BALANCE","OK"))))</f>
        <v/>
      </c>
      <c r="G1257" s="1"/>
      <c r="H1257" s="1"/>
      <c r="I1257" s="1"/>
    </row>
    <row r="1258" customFormat="false" ht="21.75" hidden="false" customHeight="true" outlineLevel="0" collapsed="false">
      <c r="A1258" s="1"/>
      <c r="B1258" s="16"/>
      <c r="C1258" s="16"/>
      <c r="D1258" s="15"/>
      <c r="E1258" s="11" t="str">
        <f aca="false">IF(D1258="","",IFERROR(INDEX(Players!$C$5:$C$304,MATCH(D1258,Players!$B$5:$B$304,0)),""))</f>
        <v/>
      </c>
      <c r="F1258" s="22" t="str">
        <f aca="false">IF(D1258="","",IF(COUNTIFS($B$5:$B$2004,B1258,$D$5:$D$2004,D1258)&gt;1,"DUPLICATE",IF(ISNA(MATCH(D1258,Players!$B$5:$B$304,0)),"UID not found",IF(INDEX(Players!$H$5:$H$304,MATCH(D1258,Players!$B$5:$B$304,0))&lt;0,"LOW BALANCE","OK"))))</f>
        <v/>
      </c>
      <c r="G1258" s="1"/>
      <c r="H1258" s="1"/>
      <c r="I1258" s="1"/>
    </row>
    <row r="1259" customFormat="false" ht="21.75" hidden="false" customHeight="true" outlineLevel="0" collapsed="false">
      <c r="A1259" s="1"/>
      <c r="B1259" s="16"/>
      <c r="C1259" s="16"/>
      <c r="D1259" s="15"/>
      <c r="E1259" s="11" t="str">
        <f aca="false">IF(D1259="","",IFERROR(INDEX(Players!$C$5:$C$304,MATCH(D1259,Players!$B$5:$B$304,0)),""))</f>
        <v/>
      </c>
      <c r="F1259" s="22" t="str">
        <f aca="false">IF(D1259="","",IF(COUNTIFS($B$5:$B$2004,B1259,$D$5:$D$2004,D1259)&gt;1,"DUPLICATE",IF(ISNA(MATCH(D1259,Players!$B$5:$B$304,0)),"UID not found",IF(INDEX(Players!$H$5:$H$304,MATCH(D1259,Players!$B$5:$B$304,0))&lt;0,"LOW BALANCE","OK"))))</f>
        <v/>
      </c>
      <c r="G1259" s="1"/>
      <c r="H1259" s="1"/>
      <c r="I1259" s="1"/>
    </row>
    <row r="1260" customFormat="false" ht="21.75" hidden="false" customHeight="true" outlineLevel="0" collapsed="false">
      <c r="A1260" s="1"/>
      <c r="B1260" s="16"/>
      <c r="C1260" s="16"/>
      <c r="D1260" s="15"/>
      <c r="E1260" s="11" t="str">
        <f aca="false">IF(D1260="","",IFERROR(INDEX(Players!$C$5:$C$304,MATCH(D1260,Players!$B$5:$B$304,0)),""))</f>
        <v/>
      </c>
      <c r="F1260" s="22" t="str">
        <f aca="false">IF(D1260="","",IF(COUNTIFS($B$5:$B$2004,B1260,$D$5:$D$2004,D1260)&gt;1,"DUPLICATE",IF(ISNA(MATCH(D1260,Players!$B$5:$B$304,0)),"UID not found",IF(INDEX(Players!$H$5:$H$304,MATCH(D1260,Players!$B$5:$B$304,0))&lt;0,"LOW BALANCE","OK"))))</f>
        <v/>
      </c>
      <c r="G1260" s="1"/>
      <c r="H1260" s="1"/>
      <c r="I1260" s="1"/>
    </row>
    <row r="1261" customFormat="false" ht="21.75" hidden="false" customHeight="true" outlineLevel="0" collapsed="false">
      <c r="A1261" s="1"/>
      <c r="B1261" s="16"/>
      <c r="C1261" s="16"/>
      <c r="D1261" s="15"/>
      <c r="E1261" s="11" t="str">
        <f aca="false">IF(D1261="","",IFERROR(INDEX(Players!$C$5:$C$304,MATCH(D1261,Players!$B$5:$B$304,0)),""))</f>
        <v/>
      </c>
      <c r="F1261" s="22" t="str">
        <f aca="false">IF(D1261="","",IF(COUNTIFS($B$5:$B$2004,B1261,$D$5:$D$2004,D1261)&gt;1,"DUPLICATE",IF(ISNA(MATCH(D1261,Players!$B$5:$B$304,0)),"UID not found",IF(INDEX(Players!$H$5:$H$304,MATCH(D1261,Players!$B$5:$B$304,0))&lt;0,"LOW BALANCE","OK"))))</f>
        <v/>
      </c>
      <c r="G1261" s="1"/>
      <c r="H1261" s="1"/>
      <c r="I1261" s="1"/>
    </row>
    <row r="1262" customFormat="false" ht="21.75" hidden="false" customHeight="true" outlineLevel="0" collapsed="false">
      <c r="A1262" s="1"/>
      <c r="B1262" s="16"/>
      <c r="C1262" s="16"/>
      <c r="D1262" s="15"/>
      <c r="E1262" s="11" t="str">
        <f aca="false">IF(D1262="","",IFERROR(INDEX(Players!$C$5:$C$304,MATCH(D1262,Players!$B$5:$B$304,0)),""))</f>
        <v/>
      </c>
      <c r="F1262" s="22" t="str">
        <f aca="false">IF(D1262="","",IF(COUNTIFS($B$5:$B$2004,B1262,$D$5:$D$2004,D1262)&gt;1,"DUPLICATE",IF(ISNA(MATCH(D1262,Players!$B$5:$B$304,0)),"UID not found",IF(INDEX(Players!$H$5:$H$304,MATCH(D1262,Players!$B$5:$B$304,0))&lt;0,"LOW BALANCE","OK"))))</f>
        <v/>
      </c>
      <c r="G1262" s="1"/>
      <c r="H1262" s="1"/>
      <c r="I1262" s="1"/>
    </row>
    <row r="1263" customFormat="false" ht="21.75" hidden="false" customHeight="true" outlineLevel="0" collapsed="false">
      <c r="A1263" s="1"/>
      <c r="B1263" s="16"/>
      <c r="C1263" s="16"/>
      <c r="D1263" s="15"/>
      <c r="E1263" s="11" t="str">
        <f aca="false">IF(D1263="","",IFERROR(INDEX(Players!$C$5:$C$304,MATCH(D1263,Players!$B$5:$B$304,0)),""))</f>
        <v/>
      </c>
      <c r="F1263" s="22" t="str">
        <f aca="false">IF(D1263="","",IF(COUNTIFS($B$5:$B$2004,B1263,$D$5:$D$2004,D1263)&gt;1,"DUPLICATE",IF(ISNA(MATCH(D1263,Players!$B$5:$B$304,0)),"UID not found",IF(INDEX(Players!$H$5:$H$304,MATCH(D1263,Players!$B$5:$B$304,0))&lt;0,"LOW BALANCE","OK"))))</f>
        <v/>
      </c>
      <c r="G1263" s="1"/>
      <c r="H1263" s="1"/>
      <c r="I1263" s="1"/>
    </row>
    <row r="1264" customFormat="false" ht="21.75" hidden="false" customHeight="true" outlineLevel="0" collapsed="false">
      <c r="A1264" s="1"/>
      <c r="B1264" s="16"/>
      <c r="C1264" s="16"/>
      <c r="D1264" s="15"/>
      <c r="E1264" s="11" t="str">
        <f aca="false">IF(D1264="","",IFERROR(INDEX(Players!$C$5:$C$304,MATCH(D1264,Players!$B$5:$B$304,0)),""))</f>
        <v/>
      </c>
      <c r="F1264" s="22" t="str">
        <f aca="false">IF(D1264="","",IF(COUNTIFS($B$5:$B$2004,B1264,$D$5:$D$2004,D1264)&gt;1,"DUPLICATE",IF(ISNA(MATCH(D1264,Players!$B$5:$B$304,0)),"UID not found",IF(INDEX(Players!$H$5:$H$304,MATCH(D1264,Players!$B$5:$B$304,0))&lt;0,"LOW BALANCE","OK"))))</f>
        <v/>
      </c>
      <c r="G1264" s="1"/>
      <c r="H1264" s="1"/>
      <c r="I1264" s="1"/>
    </row>
    <row r="1265" customFormat="false" ht="21.75" hidden="false" customHeight="true" outlineLevel="0" collapsed="false">
      <c r="A1265" s="1"/>
      <c r="B1265" s="16"/>
      <c r="C1265" s="16"/>
      <c r="D1265" s="15"/>
      <c r="E1265" s="11" t="str">
        <f aca="false">IF(D1265="","",IFERROR(INDEX(Players!$C$5:$C$304,MATCH(D1265,Players!$B$5:$B$304,0)),""))</f>
        <v/>
      </c>
      <c r="F1265" s="22" t="str">
        <f aca="false">IF(D1265="","",IF(COUNTIFS($B$5:$B$2004,B1265,$D$5:$D$2004,D1265)&gt;1,"DUPLICATE",IF(ISNA(MATCH(D1265,Players!$B$5:$B$304,0)),"UID not found",IF(INDEX(Players!$H$5:$H$304,MATCH(D1265,Players!$B$5:$B$304,0))&lt;0,"LOW BALANCE","OK"))))</f>
        <v/>
      </c>
      <c r="G1265" s="1"/>
      <c r="H1265" s="1"/>
      <c r="I1265" s="1"/>
    </row>
    <row r="1266" customFormat="false" ht="21.75" hidden="false" customHeight="true" outlineLevel="0" collapsed="false">
      <c r="A1266" s="1"/>
      <c r="B1266" s="16"/>
      <c r="C1266" s="16"/>
      <c r="D1266" s="15"/>
      <c r="E1266" s="11" t="str">
        <f aca="false">IF(D1266="","",IFERROR(INDEX(Players!$C$5:$C$304,MATCH(D1266,Players!$B$5:$B$304,0)),""))</f>
        <v/>
      </c>
      <c r="F1266" s="22" t="str">
        <f aca="false">IF(D1266="","",IF(COUNTIFS($B$5:$B$2004,B1266,$D$5:$D$2004,D1266)&gt;1,"DUPLICATE",IF(ISNA(MATCH(D1266,Players!$B$5:$B$304,0)),"UID not found",IF(INDEX(Players!$H$5:$H$304,MATCH(D1266,Players!$B$5:$B$304,0))&lt;0,"LOW BALANCE","OK"))))</f>
        <v/>
      </c>
      <c r="G1266" s="1"/>
      <c r="H1266" s="1"/>
      <c r="I1266" s="1"/>
    </row>
    <row r="1267" customFormat="false" ht="21.75" hidden="false" customHeight="true" outlineLevel="0" collapsed="false">
      <c r="A1267" s="1"/>
      <c r="B1267" s="16"/>
      <c r="C1267" s="16"/>
      <c r="D1267" s="15"/>
      <c r="E1267" s="11" t="str">
        <f aca="false">IF(D1267="","",IFERROR(INDEX(Players!$C$5:$C$304,MATCH(D1267,Players!$B$5:$B$304,0)),""))</f>
        <v/>
      </c>
      <c r="F1267" s="22" t="str">
        <f aca="false">IF(D1267="","",IF(COUNTIFS($B$5:$B$2004,B1267,$D$5:$D$2004,D1267)&gt;1,"DUPLICATE",IF(ISNA(MATCH(D1267,Players!$B$5:$B$304,0)),"UID not found",IF(INDEX(Players!$H$5:$H$304,MATCH(D1267,Players!$B$5:$B$304,0))&lt;0,"LOW BALANCE","OK"))))</f>
        <v/>
      </c>
      <c r="G1267" s="1"/>
      <c r="H1267" s="1"/>
      <c r="I1267" s="1"/>
    </row>
    <row r="1268" customFormat="false" ht="21.75" hidden="false" customHeight="true" outlineLevel="0" collapsed="false">
      <c r="A1268" s="1"/>
      <c r="B1268" s="16"/>
      <c r="C1268" s="16"/>
      <c r="D1268" s="15"/>
      <c r="E1268" s="11" t="str">
        <f aca="false">IF(D1268="","",IFERROR(INDEX(Players!$C$5:$C$304,MATCH(D1268,Players!$B$5:$B$304,0)),""))</f>
        <v/>
      </c>
      <c r="F1268" s="22" t="str">
        <f aca="false">IF(D1268="","",IF(COUNTIFS($B$5:$B$2004,B1268,$D$5:$D$2004,D1268)&gt;1,"DUPLICATE",IF(ISNA(MATCH(D1268,Players!$B$5:$B$304,0)),"UID not found",IF(INDEX(Players!$H$5:$H$304,MATCH(D1268,Players!$B$5:$B$304,0))&lt;0,"LOW BALANCE","OK"))))</f>
        <v/>
      </c>
      <c r="G1268" s="1"/>
      <c r="H1268" s="1"/>
      <c r="I1268" s="1"/>
    </row>
    <row r="1269" customFormat="false" ht="21.75" hidden="false" customHeight="true" outlineLevel="0" collapsed="false">
      <c r="A1269" s="1"/>
      <c r="B1269" s="16"/>
      <c r="C1269" s="16"/>
      <c r="D1269" s="15"/>
      <c r="E1269" s="11" t="str">
        <f aca="false">IF(D1269="","",IFERROR(INDEX(Players!$C$5:$C$304,MATCH(D1269,Players!$B$5:$B$304,0)),""))</f>
        <v/>
      </c>
      <c r="F1269" s="22" t="str">
        <f aca="false">IF(D1269="","",IF(COUNTIFS($B$5:$B$2004,B1269,$D$5:$D$2004,D1269)&gt;1,"DUPLICATE",IF(ISNA(MATCH(D1269,Players!$B$5:$B$304,0)),"UID not found",IF(INDEX(Players!$H$5:$H$304,MATCH(D1269,Players!$B$5:$B$304,0))&lt;0,"LOW BALANCE","OK"))))</f>
        <v/>
      </c>
      <c r="G1269" s="1"/>
      <c r="H1269" s="1"/>
      <c r="I1269" s="1"/>
    </row>
    <row r="1270" customFormat="false" ht="21.75" hidden="false" customHeight="true" outlineLevel="0" collapsed="false">
      <c r="A1270" s="1"/>
      <c r="B1270" s="16"/>
      <c r="C1270" s="16"/>
      <c r="D1270" s="15"/>
      <c r="E1270" s="11" t="str">
        <f aca="false">IF(D1270="","",IFERROR(INDEX(Players!$C$5:$C$304,MATCH(D1270,Players!$B$5:$B$304,0)),""))</f>
        <v/>
      </c>
      <c r="F1270" s="22" t="str">
        <f aca="false">IF(D1270="","",IF(COUNTIFS($B$5:$B$2004,B1270,$D$5:$D$2004,D1270)&gt;1,"DUPLICATE",IF(ISNA(MATCH(D1270,Players!$B$5:$B$304,0)),"UID not found",IF(INDEX(Players!$H$5:$H$304,MATCH(D1270,Players!$B$5:$B$304,0))&lt;0,"LOW BALANCE","OK"))))</f>
        <v/>
      </c>
      <c r="G1270" s="1"/>
      <c r="H1270" s="1"/>
      <c r="I1270" s="1"/>
    </row>
    <row r="1271" customFormat="false" ht="21.75" hidden="false" customHeight="true" outlineLevel="0" collapsed="false">
      <c r="A1271" s="1"/>
      <c r="B1271" s="16"/>
      <c r="C1271" s="16"/>
      <c r="D1271" s="15"/>
      <c r="E1271" s="11" t="str">
        <f aca="false">IF(D1271="","",IFERROR(INDEX(Players!$C$5:$C$304,MATCH(D1271,Players!$B$5:$B$304,0)),""))</f>
        <v/>
      </c>
      <c r="F1271" s="22" t="str">
        <f aca="false">IF(D1271="","",IF(COUNTIFS($B$5:$B$2004,B1271,$D$5:$D$2004,D1271)&gt;1,"DUPLICATE",IF(ISNA(MATCH(D1271,Players!$B$5:$B$304,0)),"UID not found",IF(INDEX(Players!$H$5:$H$304,MATCH(D1271,Players!$B$5:$B$304,0))&lt;0,"LOW BALANCE","OK"))))</f>
        <v/>
      </c>
      <c r="G1271" s="1"/>
      <c r="H1271" s="1"/>
      <c r="I1271" s="1"/>
    </row>
    <row r="1272" customFormat="false" ht="21.75" hidden="false" customHeight="true" outlineLevel="0" collapsed="false">
      <c r="A1272" s="1"/>
      <c r="B1272" s="16"/>
      <c r="C1272" s="16"/>
      <c r="D1272" s="15"/>
      <c r="E1272" s="11" t="str">
        <f aca="false">IF(D1272="","",IFERROR(INDEX(Players!$C$5:$C$304,MATCH(D1272,Players!$B$5:$B$304,0)),""))</f>
        <v/>
      </c>
      <c r="F1272" s="22" t="str">
        <f aca="false">IF(D1272="","",IF(COUNTIFS($B$5:$B$2004,B1272,$D$5:$D$2004,D1272)&gt;1,"DUPLICATE",IF(ISNA(MATCH(D1272,Players!$B$5:$B$304,0)),"UID not found",IF(INDEX(Players!$H$5:$H$304,MATCH(D1272,Players!$B$5:$B$304,0))&lt;0,"LOW BALANCE","OK"))))</f>
        <v/>
      </c>
      <c r="G1272" s="1"/>
      <c r="H1272" s="1"/>
      <c r="I1272" s="1"/>
    </row>
    <row r="1273" customFormat="false" ht="21.75" hidden="false" customHeight="true" outlineLevel="0" collapsed="false">
      <c r="A1273" s="1"/>
      <c r="B1273" s="16"/>
      <c r="C1273" s="16"/>
      <c r="D1273" s="15"/>
      <c r="E1273" s="11" t="str">
        <f aca="false">IF(D1273="","",IFERROR(INDEX(Players!$C$5:$C$304,MATCH(D1273,Players!$B$5:$B$304,0)),""))</f>
        <v/>
      </c>
      <c r="F1273" s="22" t="str">
        <f aca="false">IF(D1273="","",IF(COUNTIFS($B$5:$B$2004,B1273,$D$5:$D$2004,D1273)&gt;1,"DUPLICATE",IF(ISNA(MATCH(D1273,Players!$B$5:$B$304,0)),"UID not found",IF(INDEX(Players!$H$5:$H$304,MATCH(D1273,Players!$B$5:$B$304,0))&lt;0,"LOW BALANCE","OK"))))</f>
        <v/>
      </c>
      <c r="G1273" s="1"/>
      <c r="H1273" s="1"/>
      <c r="I1273" s="1"/>
    </row>
    <row r="1274" customFormat="false" ht="21.75" hidden="false" customHeight="true" outlineLevel="0" collapsed="false">
      <c r="A1274" s="1"/>
      <c r="B1274" s="16"/>
      <c r="C1274" s="16"/>
      <c r="D1274" s="15"/>
      <c r="E1274" s="11" t="str">
        <f aca="false">IF(D1274="","",IFERROR(INDEX(Players!$C$5:$C$304,MATCH(D1274,Players!$B$5:$B$304,0)),""))</f>
        <v/>
      </c>
      <c r="F1274" s="22" t="str">
        <f aca="false">IF(D1274="","",IF(COUNTIFS($B$5:$B$2004,B1274,$D$5:$D$2004,D1274)&gt;1,"DUPLICATE",IF(ISNA(MATCH(D1274,Players!$B$5:$B$304,0)),"UID not found",IF(INDEX(Players!$H$5:$H$304,MATCH(D1274,Players!$B$5:$B$304,0))&lt;0,"LOW BALANCE","OK"))))</f>
        <v/>
      </c>
      <c r="G1274" s="1"/>
      <c r="H1274" s="1"/>
      <c r="I1274" s="1"/>
    </row>
    <row r="1275" customFormat="false" ht="21.75" hidden="false" customHeight="true" outlineLevel="0" collapsed="false">
      <c r="A1275" s="1"/>
      <c r="B1275" s="16"/>
      <c r="C1275" s="16"/>
      <c r="D1275" s="15"/>
      <c r="E1275" s="11" t="str">
        <f aca="false">IF(D1275="","",IFERROR(INDEX(Players!$C$5:$C$304,MATCH(D1275,Players!$B$5:$B$304,0)),""))</f>
        <v/>
      </c>
      <c r="F1275" s="22" t="str">
        <f aca="false">IF(D1275="","",IF(COUNTIFS($B$5:$B$2004,B1275,$D$5:$D$2004,D1275)&gt;1,"DUPLICATE",IF(ISNA(MATCH(D1275,Players!$B$5:$B$304,0)),"UID not found",IF(INDEX(Players!$H$5:$H$304,MATCH(D1275,Players!$B$5:$B$304,0))&lt;0,"LOW BALANCE","OK"))))</f>
        <v/>
      </c>
      <c r="G1275" s="1"/>
      <c r="H1275" s="1"/>
      <c r="I1275" s="1"/>
    </row>
    <row r="1276" customFormat="false" ht="21.75" hidden="false" customHeight="true" outlineLevel="0" collapsed="false">
      <c r="A1276" s="1"/>
      <c r="B1276" s="16"/>
      <c r="C1276" s="16"/>
      <c r="D1276" s="15"/>
      <c r="E1276" s="11" t="str">
        <f aca="false">IF(D1276="","",IFERROR(INDEX(Players!$C$5:$C$304,MATCH(D1276,Players!$B$5:$B$304,0)),""))</f>
        <v/>
      </c>
      <c r="F1276" s="22" t="str">
        <f aca="false">IF(D1276="","",IF(COUNTIFS($B$5:$B$2004,B1276,$D$5:$D$2004,D1276)&gt;1,"DUPLICATE",IF(ISNA(MATCH(D1276,Players!$B$5:$B$304,0)),"UID not found",IF(INDEX(Players!$H$5:$H$304,MATCH(D1276,Players!$B$5:$B$304,0))&lt;0,"LOW BALANCE","OK"))))</f>
        <v/>
      </c>
      <c r="G1276" s="1"/>
      <c r="H1276" s="1"/>
      <c r="I1276" s="1"/>
    </row>
    <row r="1277" customFormat="false" ht="21.75" hidden="false" customHeight="true" outlineLevel="0" collapsed="false">
      <c r="A1277" s="1"/>
      <c r="B1277" s="16"/>
      <c r="C1277" s="16"/>
      <c r="D1277" s="15"/>
      <c r="E1277" s="11" t="str">
        <f aca="false">IF(D1277="","",IFERROR(INDEX(Players!$C$5:$C$304,MATCH(D1277,Players!$B$5:$B$304,0)),""))</f>
        <v/>
      </c>
      <c r="F1277" s="22" t="str">
        <f aca="false">IF(D1277="","",IF(COUNTIFS($B$5:$B$2004,B1277,$D$5:$D$2004,D1277)&gt;1,"DUPLICATE",IF(ISNA(MATCH(D1277,Players!$B$5:$B$304,0)),"UID not found",IF(INDEX(Players!$H$5:$H$304,MATCH(D1277,Players!$B$5:$B$304,0))&lt;0,"LOW BALANCE","OK"))))</f>
        <v/>
      </c>
      <c r="G1277" s="1"/>
      <c r="H1277" s="1"/>
      <c r="I1277" s="1"/>
    </row>
    <row r="1278" customFormat="false" ht="21.75" hidden="false" customHeight="true" outlineLevel="0" collapsed="false">
      <c r="A1278" s="1"/>
      <c r="B1278" s="16"/>
      <c r="C1278" s="16"/>
      <c r="D1278" s="15"/>
      <c r="E1278" s="11" t="str">
        <f aca="false">IF(D1278="","",IFERROR(INDEX(Players!$C$5:$C$304,MATCH(D1278,Players!$B$5:$B$304,0)),""))</f>
        <v/>
      </c>
      <c r="F1278" s="22" t="str">
        <f aca="false">IF(D1278="","",IF(COUNTIFS($B$5:$B$2004,B1278,$D$5:$D$2004,D1278)&gt;1,"DUPLICATE",IF(ISNA(MATCH(D1278,Players!$B$5:$B$304,0)),"UID not found",IF(INDEX(Players!$H$5:$H$304,MATCH(D1278,Players!$B$5:$B$304,0))&lt;0,"LOW BALANCE","OK"))))</f>
        <v/>
      </c>
      <c r="G1278" s="1"/>
      <c r="H1278" s="1"/>
      <c r="I1278" s="1"/>
    </row>
    <row r="1279" customFormat="false" ht="21.75" hidden="false" customHeight="true" outlineLevel="0" collapsed="false">
      <c r="A1279" s="1"/>
      <c r="B1279" s="16"/>
      <c r="C1279" s="16"/>
      <c r="D1279" s="15"/>
      <c r="E1279" s="11" t="str">
        <f aca="false">IF(D1279="","",IFERROR(INDEX(Players!$C$5:$C$304,MATCH(D1279,Players!$B$5:$B$304,0)),""))</f>
        <v/>
      </c>
      <c r="F1279" s="22" t="str">
        <f aca="false">IF(D1279="","",IF(COUNTIFS($B$5:$B$2004,B1279,$D$5:$D$2004,D1279)&gt;1,"DUPLICATE",IF(ISNA(MATCH(D1279,Players!$B$5:$B$304,0)),"UID not found",IF(INDEX(Players!$H$5:$H$304,MATCH(D1279,Players!$B$5:$B$304,0))&lt;0,"LOW BALANCE","OK"))))</f>
        <v/>
      </c>
      <c r="G1279" s="1"/>
      <c r="H1279" s="1"/>
      <c r="I1279" s="1"/>
    </row>
    <row r="1280" customFormat="false" ht="21.75" hidden="false" customHeight="true" outlineLevel="0" collapsed="false">
      <c r="A1280" s="1"/>
      <c r="B1280" s="16"/>
      <c r="C1280" s="16"/>
      <c r="D1280" s="15"/>
      <c r="E1280" s="11" t="str">
        <f aca="false">IF(D1280="","",IFERROR(INDEX(Players!$C$5:$C$304,MATCH(D1280,Players!$B$5:$B$304,0)),""))</f>
        <v/>
      </c>
      <c r="F1280" s="22" t="str">
        <f aca="false">IF(D1280="","",IF(COUNTIFS($B$5:$B$2004,B1280,$D$5:$D$2004,D1280)&gt;1,"DUPLICATE",IF(ISNA(MATCH(D1280,Players!$B$5:$B$304,0)),"UID not found",IF(INDEX(Players!$H$5:$H$304,MATCH(D1280,Players!$B$5:$B$304,0))&lt;0,"LOW BALANCE","OK"))))</f>
        <v/>
      </c>
      <c r="G1280" s="1"/>
      <c r="H1280" s="1"/>
      <c r="I1280" s="1"/>
    </row>
    <row r="1281" customFormat="false" ht="21.75" hidden="false" customHeight="true" outlineLevel="0" collapsed="false">
      <c r="A1281" s="1"/>
      <c r="B1281" s="16"/>
      <c r="C1281" s="16"/>
      <c r="D1281" s="15"/>
      <c r="E1281" s="11" t="str">
        <f aca="false">IF(D1281="","",IFERROR(INDEX(Players!$C$5:$C$304,MATCH(D1281,Players!$B$5:$B$304,0)),""))</f>
        <v/>
      </c>
      <c r="F1281" s="22" t="str">
        <f aca="false">IF(D1281="","",IF(COUNTIFS($B$5:$B$2004,B1281,$D$5:$D$2004,D1281)&gt;1,"DUPLICATE",IF(ISNA(MATCH(D1281,Players!$B$5:$B$304,0)),"UID not found",IF(INDEX(Players!$H$5:$H$304,MATCH(D1281,Players!$B$5:$B$304,0))&lt;0,"LOW BALANCE","OK"))))</f>
        <v/>
      </c>
      <c r="G1281" s="1"/>
      <c r="H1281" s="1"/>
      <c r="I1281" s="1"/>
    </row>
    <row r="1282" customFormat="false" ht="21.75" hidden="false" customHeight="true" outlineLevel="0" collapsed="false">
      <c r="A1282" s="1"/>
      <c r="B1282" s="16"/>
      <c r="C1282" s="16"/>
      <c r="D1282" s="15"/>
      <c r="E1282" s="11" t="str">
        <f aca="false">IF(D1282="","",IFERROR(INDEX(Players!$C$5:$C$304,MATCH(D1282,Players!$B$5:$B$304,0)),""))</f>
        <v/>
      </c>
      <c r="F1282" s="22" t="str">
        <f aca="false">IF(D1282="","",IF(COUNTIFS($B$5:$B$2004,B1282,$D$5:$D$2004,D1282)&gt;1,"DUPLICATE",IF(ISNA(MATCH(D1282,Players!$B$5:$B$304,0)),"UID not found",IF(INDEX(Players!$H$5:$H$304,MATCH(D1282,Players!$B$5:$B$304,0))&lt;0,"LOW BALANCE","OK"))))</f>
        <v/>
      </c>
      <c r="G1282" s="1"/>
      <c r="H1282" s="1"/>
      <c r="I1282" s="1"/>
    </row>
    <row r="1283" customFormat="false" ht="21.75" hidden="false" customHeight="true" outlineLevel="0" collapsed="false">
      <c r="A1283" s="1"/>
      <c r="B1283" s="16"/>
      <c r="C1283" s="16"/>
      <c r="D1283" s="15"/>
      <c r="E1283" s="11" t="str">
        <f aca="false">IF(D1283="","",IFERROR(INDEX(Players!$C$5:$C$304,MATCH(D1283,Players!$B$5:$B$304,0)),""))</f>
        <v/>
      </c>
      <c r="F1283" s="22" t="str">
        <f aca="false">IF(D1283="","",IF(COUNTIFS($B$5:$B$2004,B1283,$D$5:$D$2004,D1283)&gt;1,"DUPLICATE",IF(ISNA(MATCH(D1283,Players!$B$5:$B$304,0)),"UID not found",IF(INDEX(Players!$H$5:$H$304,MATCH(D1283,Players!$B$5:$B$304,0))&lt;0,"LOW BALANCE","OK"))))</f>
        <v/>
      </c>
      <c r="G1283" s="1"/>
      <c r="H1283" s="1"/>
      <c r="I1283" s="1"/>
    </row>
    <row r="1284" customFormat="false" ht="21.75" hidden="false" customHeight="true" outlineLevel="0" collapsed="false">
      <c r="A1284" s="1"/>
      <c r="B1284" s="16"/>
      <c r="C1284" s="16"/>
      <c r="D1284" s="15"/>
      <c r="E1284" s="11" t="str">
        <f aca="false">IF(D1284="","",IFERROR(INDEX(Players!$C$5:$C$304,MATCH(D1284,Players!$B$5:$B$304,0)),""))</f>
        <v/>
      </c>
      <c r="F1284" s="22" t="str">
        <f aca="false">IF(D1284="","",IF(COUNTIFS($B$5:$B$2004,B1284,$D$5:$D$2004,D1284)&gt;1,"DUPLICATE",IF(ISNA(MATCH(D1284,Players!$B$5:$B$304,0)),"UID not found",IF(INDEX(Players!$H$5:$H$304,MATCH(D1284,Players!$B$5:$B$304,0))&lt;0,"LOW BALANCE","OK"))))</f>
        <v/>
      </c>
      <c r="G1284" s="1"/>
      <c r="H1284" s="1"/>
      <c r="I1284" s="1"/>
    </row>
    <row r="1285" customFormat="false" ht="21.75" hidden="false" customHeight="true" outlineLevel="0" collapsed="false">
      <c r="A1285" s="1"/>
      <c r="B1285" s="16"/>
      <c r="C1285" s="16"/>
      <c r="D1285" s="15"/>
      <c r="E1285" s="11" t="str">
        <f aca="false">IF(D1285="","",IFERROR(INDEX(Players!$C$5:$C$304,MATCH(D1285,Players!$B$5:$B$304,0)),""))</f>
        <v/>
      </c>
      <c r="F1285" s="22" t="str">
        <f aca="false">IF(D1285="","",IF(COUNTIFS($B$5:$B$2004,B1285,$D$5:$D$2004,D1285)&gt;1,"DUPLICATE",IF(ISNA(MATCH(D1285,Players!$B$5:$B$304,0)),"UID not found",IF(INDEX(Players!$H$5:$H$304,MATCH(D1285,Players!$B$5:$B$304,0))&lt;0,"LOW BALANCE","OK"))))</f>
        <v/>
      </c>
      <c r="G1285" s="1"/>
      <c r="H1285" s="1"/>
      <c r="I1285" s="1"/>
    </row>
    <row r="1286" customFormat="false" ht="21.75" hidden="false" customHeight="true" outlineLevel="0" collapsed="false">
      <c r="A1286" s="1"/>
      <c r="B1286" s="16"/>
      <c r="C1286" s="16"/>
      <c r="D1286" s="15"/>
      <c r="E1286" s="11" t="str">
        <f aca="false">IF(D1286="","",IFERROR(INDEX(Players!$C$5:$C$304,MATCH(D1286,Players!$B$5:$B$304,0)),""))</f>
        <v/>
      </c>
      <c r="F1286" s="22" t="str">
        <f aca="false">IF(D1286="","",IF(COUNTIFS($B$5:$B$2004,B1286,$D$5:$D$2004,D1286)&gt;1,"DUPLICATE",IF(ISNA(MATCH(D1286,Players!$B$5:$B$304,0)),"UID not found",IF(INDEX(Players!$H$5:$H$304,MATCH(D1286,Players!$B$5:$B$304,0))&lt;0,"LOW BALANCE","OK"))))</f>
        <v/>
      </c>
      <c r="G1286" s="1"/>
      <c r="H1286" s="1"/>
      <c r="I1286" s="1"/>
    </row>
    <row r="1287" customFormat="false" ht="21.75" hidden="false" customHeight="true" outlineLevel="0" collapsed="false">
      <c r="A1287" s="1"/>
      <c r="B1287" s="16"/>
      <c r="C1287" s="16"/>
      <c r="D1287" s="15"/>
      <c r="E1287" s="11" t="str">
        <f aca="false">IF(D1287="","",IFERROR(INDEX(Players!$C$5:$C$304,MATCH(D1287,Players!$B$5:$B$304,0)),""))</f>
        <v/>
      </c>
      <c r="F1287" s="22" t="str">
        <f aca="false">IF(D1287="","",IF(COUNTIFS($B$5:$B$2004,B1287,$D$5:$D$2004,D1287)&gt;1,"DUPLICATE",IF(ISNA(MATCH(D1287,Players!$B$5:$B$304,0)),"UID not found",IF(INDEX(Players!$H$5:$H$304,MATCH(D1287,Players!$B$5:$B$304,0))&lt;0,"LOW BALANCE","OK"))))</f>
        <v/>
      </c>
      <c r="G1287" s="1"/>
      <c r="H1287" s="1"/>
      <c r="I1287" s="1"/>
    </row>
    <row r="1288" customFormat="false" ht="21.75" hidden="false" customHeight="true" outlineLevel="0" collapsed="false">
      <c r="A1288" s="1"/>
      <c r="B1288" s="16"/>
      <c r="C1288" s="16"/>
      <c r="D1288" s="15"/>
      <c r="E1288" s="11" t="str">
        <f aca="false">IF(D1288="","",IFERROR(INDEX(Players!$C$5:$C$304,MATCH(D1288,Players!$B$5:$B$304,0)),""))</f>
        <v/>
      </c>
      <c r="F1288" s="22" t="str">
        <f aca="false">IF(D1288="","",IF(COUNTIFS($B$5:$B$2004,B1288,$D$5:$D$2004,D1288)&gt;1,"DUPLICATE",IF(ISNA(MATCH(D1288,Players!$B$5:$B$304,0)),"UID not found",IF(INDEX(Players!$H$5:$H$304,MATCH(D1288,Players!$B$5:$B$304,0))&lt;0,"LOW BALANCE","OK"))))</f>
        <v/>
      </c>
      <c r="G1288" s="1"/>
      <c r="H1288" s="1"/>
      <c r="I1288" s="1"/>
    </row>
    <row r="1289" customFormat="false" ht="21.75" hidden="false" customHeight="true" outlineLevel="0" collapsed="false">
      <c r="A1289" s="1"/>
      <c r="B1289" s="16"/>
      <c r="C1289" s="16"/>
      <c r="D1289" s="15"/>
      <c r="E1289" s="11" t="str">
        <f aca="false">IF(D1289="","",IFERROR(INDEX(Players!$C$5:$C$304,MATCH(D1289,Players!$B$5:$B$304,0)),""))</f>
        <v/>
      </c>
      <c r="F1289" s="22" t="str">
        <f aca="false">IF(D1289="","",IF(COUNTIFS($B$5:$B$2004,B1289,$D$5:$D$2004,D1289)&gt;1,"DUPLICATE",IF(ISNA(MATCH(D1289,Players!$B$5:$B$304,0)),"UID not found",IF(INDEX(Players!$H$5:$H$304,MATCH(D1289,Players!$B$5:$B$304,0))&lt;0,"LOW BALANCE","OK"))))</f>
        <v/>
      </c>
      <c r="G1289" s="1"/>
      <c r="H1289" s="1"/>
      <c r="I1289" s="1"/>
    </row>
    <row r="1290" customFormat="false" ht="21.75" hidden="false" customHeight="true" outlineLevel="0" collapsed="false">
      <c r="A1290" s="1"/>
      <c r="B1290" s="16"/>
      <c r="C1290" s="16"/>
      <c r="D1290" s="15"/>
      <c r="E1290" s="11" t="str">
        <f aca="false">IF(D1290="","",IFERROR(INDEX(Players!$C$5:$C$304,MATCH(D1290,Players!$B$5:$B$304,0)),""))</f>
        <v/>
      </c>
      <c r="F1290" s="22" t="str">
        <f aca="false">IF(D1290="","",IF(COUNTIFS($B$5:$B$2004,B1290,$D$5:$D$2004,D1290)&gt;1,"DUPLICATE",IF(ISNA(MATCH(D1290,Players!$B$5:$B$304,0)),"UID not found",IF(INDEX(Players!$H$5:$H$304,MATCH(D1290,Players!$B$5:$B$304,0))&lt;0,"LOW BALANCE","OK"))))</f>
        <v/>
      </c>
      <c r="G1290" s="1"/>
      <c r="H1290" s="1"/>
      <c r="I1290" s="1"/>
    </row>
    <row r="1291" customFormat="false" ht="21.75" hidden="false" customHeight="true" outlineLevel="0" collapsed="false">
      <c r="A1291" s="1"/>
      <c r="B1291" s="16"/>
      <c r="C1291" s="16"/>
      <c r="D1291" s="15"/>
      <c r="E1291" s="11" t="str">
        <f aca="false">IF(D1291="","",IFERROR(INDEX(Players!$C$5:$C$304,MATCH(D1291,Players!$B$5:$B$304,0)),""))</f>
        <v/>
      </c>
      <c r="F1291" s="22" t="str">
        <f aca="false">IF(D1291="","",IF(COUNTIFS($B$5:$B$2004,B1291,$D$5:$D$2004,D1291)&gt;1,"DUPLICATE",IF(ISNA(MATCH(D1291,Players!$B$5:$B$304,0)),"UID not found",IF(INDEX(Players!$H$5:$H$304,MATCH(D1291,Players!$B$5:$B$304,0))&lt;0,"LOW BALANCE","OK"))))</f>
        <v/>
      </c>
      <c r="G1291" s="1"/>
      <c r="H1291" s="1"/>
      <c r="I1291" s="1"/>
    </row>
    <row r="1292" customFormat="false" ht="21.75" hidden="false" customHeight="true" outlineLevel="0" collapsed="false">
      <c r="A1292" s="1"/>
      <c r="B1292" s="16"/>
      <c r="C1292" s="16"/>
      <c r="D1292" s="15"/>
      <c r="E1292" s="11" t="str">
        <f aca="false">IF(D1292="","",IFERROR(INDEX(Players!$C$5:$C$304,MATCH(D1292,Players!$B$5:$B$304,0)),""))</f>
        <v/>
      </c>
      <c r="F1292" s="22" t="str">
        <f aca="false">IF(D1292="","",IF(COUNTIFS($B$5:$B$2004,B1292,$D$5:$D$2004,D1292)&gt;1,"DUPLICATE",IF(ISNA(MATCH(D1292,Players!$B$5:$B$304,0)),"UID not found",IF(INDEX(Players!$H$5:$H$304,MATCH(D1292,Players!$B$5:$B$304,0))&lt;0,"LOW BALANCE","OK"))))</f>
        <v/>
      </c>
      <c r="G1292" s="1"/>
      <c r="H1292" s="1"/>
      <c r="I1292" s="1"/>
    </row>
    <row r="1293" customFormat="false" ht="21.75" hidden="false" customHeight="true" outlineLevel="0" collapsed="false">
      <c r="A1293" s="1"/>
      <c r="B1293" s="16"/>
      <c r="C1293" s="16"/>
      <c r="D1293" s="15"/>
      <c r="E1293" s="11" t="str">
        <f aca="false">IF(D1293="","",IFERROR(INDEX(Players!$C$5:$C$304,MATCH(D1293,Players!$B$5:$B$304,0)),""))</f>
        <v/>
      </c>
      <c r="F1293" s="22" t="str">
        <f aca="false">IF(D1293="","",IF(COUNTIFS($B$5:$B$2004,B1293,$D$5:$D$2004,D1293)&gt;1,"DUPLICATE",IF(ISNA(MATCH(D1293,Players!$B$5:$B$304,0)),"UID not found",IF(INDEX(Players!$H$5:$H$304,MATCH(D1293,Players!$B$5:$B$304,0))&lt;0,"LOW BALANCE","OK"))))</f>
        <v/>
      </c>
      <c r="G1293" s="1"/>
      <c r="H1293" s="1"/>
      <c r="I1293" s="1"/>
    </row>
    <row r="1294" customFormat="false" ht="21.75" hidden="false" customHeight="true" outlineLevel="0" collapsed="false">
      <c r="A1294" s="1"/>
      <c r="B1294" s="16"/>
      <c r="C1294" s="16"/>
      <c r="D1294" s="15"/>
      <c r="E1294" s="11" t="str">
        <f aca="false">IF(D1294="","",IFERROR(INDEX(Players!$C$5:$C$304,MATCH(D1294,Players!$B$5:$B$304,0)),""))</f>
        <v/>
      </c>
      <c r="F1294" s="22" t="str">
        <f aca="false">IF(D1294="","",IF(COUNTIFS($B$5:$B$2004,B1294,$D$5:$D$2004,D1294)&gt;1,"DUPLICATE",IF(ISNA(MATCH(D1294,Players!$B$5:$B$304,0)),"UID not found",IF(INDEX(Players!$H$5:$H$304,MATCH(D1294,Players!$B$5:$B$304,0))&lt;0,"LOW BALANCE","OK"))))</f>
        <v/>
      </c>
      <c r="G1294" s="1"/>
      <c r="H1294" s="1"/>
      <c r="I1294" s="1"/>
    </row>
    <row r="1295" customFormat="false" ht="21.75" hidden="false" customHeight="true" outlineLevel="0" collapsed="false">
      <c r="A1295" s="1"/>
      <c r="B1295" s="16"/>
      <c r="C1295" s="16"/>
      <c r="D1295" s="15"/>
      <c r="E1295" s="11" t="str">
        <f aca="false">IF(D1295="","",IFERROR(INDEX(Players!$C$5:$C$304,MATCH(D1295,Players!$B$5:$B$304,0)),""))</f>
        <v/>
      </c>
      <c r="F1295" s="22" t="str">
        <f aca="false">IF(D1295="","",IF(COUNTIFS($B$5:$B$2004,B1295,$D$5:$D$2004,D1295)&gt;1,"DUPLICATE",IF(ISNA(MATCH(D1295,Players!$B$5:$B$304,0)),"UID not found",IF(INDEX(Players!$H$5:$H$304,MATCH(D1295,Players!$B$5:$B$304,0))&lt;0,"LOW BALANCE","OK"))))</f>
        <v/>
      </c>
      <c r="G1295" s="1"/>
      <c r="H1295" s="1"/>
      <c r="I1295" s="1"/>
    </row>
    <row r="1296" customFormat="false" ht="21.75" hidden="false" customHeight="true" outlineLevel="0" collapsed="false">
      <c r="A1296" s="1"/>
      <c r="B1296" s="16"/>
      <c r="C1296" s="16"/>
      <c r="D1296" s="15"/>
      <c r="E1296" s="11" t="str">
        <f aca="false">IF(D1296="","",IFERROR(INDEX(Players!$C$5:$C$304,MATCH(D1296,Players!$B$5:$B$304,0)),""))</f>
        <v/>
      </c>
      <c r="F1296" s="22" t="str">
        <f aca="false">IF(D1296="","",IF(COUNTIFS($B$5:$B$2004,B1296,$D$5:$D$2004,D1296)&gt;1,"DUPLICATE",IF(ISNA(MATCH(D1296,Players!$B$5:$B$304,0)),"UID not found",IF(INDEX(Players!$H$5:$H$304,MATCH(D1296,Players!$B$5:$B$304,0))&lt;0,"LOW BALANCE","OK"))))</f>
        <v/>
      </c>
      <c r="G1296" s="1"/>
      <c r="H1296" s="1"/>
      <c r="I1296" s="1"/>
    </row>
    <row r="1297" customFormat="false" ht="21.75" hidden="false" customHeight="true" outlineLevel="0" collapsed="false">
      <c r="A1297" s="1"/>
      <c r="B1297" s="16"/>
      <c r="C1297" s="16"/>
      <c r="D1297" s="15"/>
      <c r="E1297" s="11" t="str">
        <f aca="false">IF(D1297="","",IFERROR(INDEX(Players!$C$5:$C$304,MATCH(D1297,Players!$B$5:$B$304,0)),""))</f>
        <v/>
      </c>
      <c r="F1297" s="22" t="str">
        <f aca="false">IF(D1297="","",IF(COUNTIFS($B$5:$B$2004,B1297,$D$5:$D$2004,D1297)&gt;1,"DUPLICATE",IF(ISNA(MATCH(D1297,Players!$B$5:$B$304,0)),"UID not found",IF(INDEX(Players!$H$5:$H$304,MATCH(D1297,Players!$B$5:$B$304,0))&lt;0,"LOW BALANCE","OK"))))</f>
        <v/>
      </c>
      <c r="G1297" s="1"/>
      <c r="H1297" s="1"/>
      <c r="I1297" s="1"/>
    </row>
    <row r="1298" customFormat="false" ht="21.75" hidden="false" customHeight="true" outlineLevel="0" collapsed="false">
      <c r="A1298" s="1"/>
      <c r="B1298" s="16"/>
      <c r="C1298" s="16"/>
      <c r="D1298" s="15"/>
      <c r="E1298" s="11" t="str">
        <f aca="false">IF(D1298="","",IFERROR(INDEX(Players!$C$5:$C$304,MATCH(D1298,Players!$B$5:$B$304,0)),""))</f>
        <v/>
      </c>
      <c r="F1298" s="22" t="str">
        <f aca="false">IF(D1298="","",IF(COUNTIFS($B$5:$B$2004,B1298,$D$5:$D$2004,D1298)&gt;1,"DUPLICATE",IF(ISNA(MATCH(D1298,Players!$B$5:$B$304,0)),"UID not found",IF(INDEX(Players!$H$5:$H$304,MATCH(D1298,Players!$B$5:$B$304,0))&lt;0,"LOW BALANCE","OK"))))</f>
        <v/>
      </c>
      <c r="G1298" s="1"/>
      <c r="H1298" s="1"/>
      <c r="I1298" s="1"/>
    </row>
    <row r="1299" customFormat="false" ht="21.75" hidden="false" customHeight="true" outlineLevel="0" collapsed="false">
      <c r="A1299" s="1"/>
      <c r="B1299" s="16"/>
      <c r="C1299" s="16"/>
      <c r="D1299" s="15"/>
      <c r="E1299" s="11" t="str">
        <f aca="false">IF(D1299="","",IFERROR(INDEX(Players!$C$5:$C$304,MATCH(D1299,Players!$B$5:$B$304,0)),""))</f>
        <v/>
      </c>
      <c r="F1299" s="22" t="str">
        <f aca="false">IF(D1299="","",IF(COUNTIFS($B$5:$B$2004,B1299,$D$5:$D$2004,D1299)&gt;1,"DUPLICATE",IF(ISNA(MATCH(D1299,Players!$B$5:$B$304,0)),"UID not found",IF(INDEX(Players!$H$5:$H$304,MATCH(D1299,Players!$B$5:$B$304,0))&lt;0,"LOW BALANCE","OK"))))</f>
        <v/>
      </c>
      <c r="G1299" s="1"/>
      <c r="H1299" s="1"/>
      <c r="I1299" s="1"/>
    </row>
    <row r="1300" customFormat="false" ht="21.75" hidden="false" customHeight="true" outlineLevel="0" collapsed="false">
      <c r="A1300" s="1"/>
      <c r="B1300" s="16"/>
      <c r="C1300" s="16"/>
      <c r="D1300" s="15"/>
      <c r="E1300" s="11" t="str">
        <f aca="false">IF(D1300="","",IFERROR(INDEX(Players!$C$5:$C$304,MATCH(D1300,Players!$B$5:$B$304,0)),""))</f>
        <v/>
      </c>
      <c r="F1300" s="22" t="str">
        <f aca="false">IF(D1300="","",IF(COUNTIFS($B$5:$B$2004,B1300,$D$5:$D$2004,D1300)&gt;1,"DUPLICATE",IF(ISNA(MATCH(D1300,Players!$B$5:$B$304,0)),"UID not found",IF(INDEX(Players!$H$5:$H$304,MATCH(D1300,Players!$B$5:$B$304,0))&lt;0,"LOW BALANCE","OK"))))</f>
        <v/>
      </c>
      <c r="G1300" s="1"/>
      <c r="H1300" s="1"/>
      <c r="I1300" s="1"/>
    </row>
    <row r="1301" customFormat="false" ht="21.75" hidden="false" customHeight="true" outlineLevel="0" collapsed="false">
      <c r="A1301" s="1"/>
      <c r="B1301" s="16"/>
      <c r="C1301" s="16"/>
      <c r="D1301" s="15"/>
      <c r="E1301" s="11" t="str">
        <f aca="false">IF(D1301="","",IFERROR(INDEX(Players!$C$5:$C$304,MATCH(D1301,Players!$B$5:$B$304,0)),""))</f>
        <v/>
      </c>
      <c r="F1301" s="22" t="str">
        <f aca="false">IF(D1301="","",IF(COUNTIFS($B$5:$B$2004,B1301,$D$5:$D$2004,D1301)&gt;1,"DUPLICATE",IF(ISNA(MATCH(D1301,Players!$B$5:$B$304,0)),"UID not found",IF(INDEX(Players!$H$5:$H$304,MATCH(D1301,Players!$B$5:$B$304,0))&lt;0,"LOW BALANCE","OK"))))</f>
        <v/>
      </c>
      <c r="G1301" s="1"/>
      <c r="H1301" s="1"/>
      <c r="I1301" s="1"/>
    </row>
    <row r="1302" customFormat="false" ht="21.75" hidden="false" customHeight="true" outlineLevel="0" collapsed="false">
      <c r="A1302" s="1"/>
      <c r="B1302" s="16"/>
      <c r="C1302" s="16"/>
      <c r="D1302" s="15"/>
      <c r="E1302" s="11" t="str">
        <f aca="false">IF(D1302="","",IFERROR(INDEX(Players!$C$5:$C$304,MATCH(D1302,Players!$B$5:$B$304,0)),""))</f>
        <v/>
      </c>
      <c r="F1302" s="22" t="str">
        <f aca="false">IF(D1302="","",IF(COUNTIFS($B$5:$B$2004,B1302,$D$5:$D$2004,D1302)&gt;1,"DUPLICATE",IF(ISNA(MATCH(D1302,Players!$B$5:$B$304,0)),"UID not found",IF(INDEX(Players!$H$5:$H$304,MATCH(D1302,Players!$B$5:$B$304,0))&lt;0,"LOW BALANCE","OK"))))</f>
        <v/>
      </c>
      <c r="G1302" s="1"/>
      <c r="H1302" s="1"/>
      <c r="I1302" s="1"/>
    </row>
    <row r="1303" customFormat="false" ht="21.75" hidden="false" customHeight="true" outlineLevel="0" collapsed="false">
      <c r="A1303" s="1"/>
      <c r="B1303" s="16"/>
      <c r="C1303" s="16"/>
      <c r="D1303" s="15"/>
      <c r="E1303" s="11" t="str">
        <f aca="false">IF(D1303="","",IFERROR(INDEX(Players!$C$5:$C$304,MATCH(D1303,Players!$B$5:$B$304,0)),""))</f>
        <v/>
      </c>
      <c r="F1303" s="22" t="str">
        <f aca="false">IF(D1303="","",IF(COUNTIFS($B$5:$B$2004,B1303,$D$5:$D$2004,D1303)&gt;1,"DUPLICATE",IF(ISNA(MATCH(D1303,Players!$B$5:$B$304,0)),"UID not found",IF(INDEX(Players!$H$5:$H$304,MATCH(D1303,Players!$B$5:$B$304,0))&lt;0,"LOW BALANCE","OK"))))</f>
        <v/>
      </c>
      <c r="G1303" s="1"/>
      <c r="H1303" s="1"/>
      <c r="I1303" s="1"/>
    </row>
    <row r="1304" customFormat="false" ht="21.75" hidden="false" customHeight="true" outlineLevel="0" collapsed="false">
      <c r="A1304" s="1"/>
      <c r="B1304" s="16"/>
      <c r="C1304" s="16"/>
      <c r="D1304" s="15"/>
      <c r="E1304" s="11" t="str">
        <f aca="false">IF(D1304="","",IFERROR(INDEX(Players!$C$5:$C$304,MATCH(D1304,Players!$B$5:$B$304,0)),""))</f>
        <v/>
      </c>
      <c r="F1304" s="22" t="str">
        <f aca="false">IF(D1304="","",IF(COUNTIFS($B$5:$B$2004,B1304,$D$5:$D$2004,D1304)&gt;1,"DUPLICATE",IF(ISNA(MATCH(D1304,Players!$B$5:$B$304,0)),"UID not found",IF(INDEX(Players!$H$5:$H$304,MATCH(D1304,Players!$B$5:$B$304,0))&lt;0,"LOW BALANCE","OK"))))</f>
        <v/>
      </c>
      <c r="G1304" s="1"/>
      <c r="H1304" s="1"/>
      <c r="I1304" s="1"/>
    </row>
    <row r="1305" customFormat="false" ht="21.75" hidden="false" customHeight="true" outlineLevel="0" collapsed="false">
      <c r="A1305" s="1"/>
      <c r="B1305" s="16"/>
      <c r="C1305" s="16"/>
      <c r="D1305" s="15"/>
      <c r="E1305" s="11" t="str">
        <f aca="false">IF(D1305="","",IFERROR(INDEX(Players!$C$5:$C$304,MATCH(D1305,Players!$B$5:$B$304,0)),""))</f>
        <v/>
      </c>
      <c r="F1305" s="22" t="str">
        <f aca="false">IF(D1305="","",IF(COUNTIFS($B$5:$B$2004,B1305,$D$5:$D$2004,D1305)&gt;1,"DUPLICATE",IF(ISNA(MATCH(D1305,Players!$B$5:$B$304,0)),"UID not found",IF(INDEX(Players!$H$5:$H$304,MATCH(D1305,Players!$B$5:$B$304,0))&lt;0,"LOW BALANCE","OK"))))</f>
        <v/>
      </c>
      <c r="G1305" s="1"/>
      <c r="H1305" s="1"/>
      <c r="I1305" s="1"/>
    </row>
    <row r="1306" customFormat="false" ht="21.75" hidden="false" customHeight="true" outlineLevel="0" collapsed="false">
      <c r="A1306" s="1"/>
      <c r="B1306" s="16"/>
      <c r="C1306" s="16"/>
      <c r="D1306" s="15"/>
      <c r="E1306" s="11" t="str">
        <f aca="false">IF(D1306="","",IFERROR(INDEX(Players!$C$5:$C$304,MATCH(D1306,Players!$B$5:$B$304,0)),""))</f>
        <v/>
      </c>
      <c r="F1306" s="22" t="str">
        <f aca="false">IF(D1306="","",IF(COUNTIFS($B$5:$B$2004,B1306,$D$5:$D$2004,D1306)&gt;1,"DUPLICATE",IF(ISNA(MATCH(D1306,Players!$B$5:$B$304,0)),"UID not found",IF(INDEX(Players!$H$5:$H$304,MATCH(D1306,Players!$B$5:$B$304,0))&lt;0,"LOW BALANCE","OK"))))</f>
        <v/>
      </c>
      <c r="G1306" s="1"/>
      <c r="H1306" s="1"/>
      <c r="I1306" s="1"/>
    </row>
    <row r="1307" customFormat="false" ht="21.75" hidden="false" customHeight="true" outlineLevel="0" collapsed="false">
      <c r="A1307" s="1"/>
      <c r="B1307" s="16"/>
      <c r="C1307" s="16"/>
      <c r="D1307" s="15"/>
      <c r="E1307" s="11" t="str">
        <f aca="false">IF(D1307="","",IFERROR(INDEX(Players!$C$5:$C$304,MATCH(D1307,Players!$B$5:$B$304,0)),""))</f>
        <v/>
      </c>
      <c r="F1307" s="22" t="str">
        <f aca="false">IF(D1307="","",IF(COUNTIFS($B$5:$B$2004,B1307,$D$5:$D$2004,D1307)&gt;1,"DUPLICATE",IF(ISNA(MATCH(D1307,Players!$B$5:$B$304,0)),"UID not found",IF(INDEX(Players!$H$5:$H$304,MATCH(D1307,Players!$B$5:$B$304,0))&lt;0,"LOW BALANCE","OK"))))</f>
        <v/>
      </c>
      <c r="G1307" s="1"/>
      <c r="H1307" s="1"/>
      <c r="I1307" s="1"/>
    </row>
    <row r="1308" customFormat="false" ht="21.75" hidden="false" customHeight="true" outlineLevel="0" collapsed="false">
      <c r="A1308" s="1"/>
      <c r="B1308" s="16"/>
      <c r="C1308" s="16"/>
      <c r="D1308" s="15"/>
      <c r="E1308" s="11" t="str">
        <f aca="false">IF(D1308="","",IFERROR(INDEX(Players!$C$5:$C$304,MATCH(D1308,Players!$B$5:$B$304,0)),""))</f>
        <v/>
      </c>
      <c r="F1308" s="22" t="str">
        <f aca="false">IF(D1308="","",IF(COUNTIFS($B$5:$B$2004,B1308,$D$5:$D$2004,D1308)&gt;1,"DUPLICATE",IF(ISNA(MATCH(D1308,Players!$B$5:$B$304,0)),"UID not found",IF(INDEX(Players!$H$5:$H$304,MATCH(D1308,Players!$B$5:$B$304,0))&lt;0,"LOW BALANCE","OK"))))</f>
        <v/>
      </c>
      <c r="G1308" s="1"/>
      <c r="H1308" s="1"/>
      <c r="I1308" s="1"/>
    </row>
    <row r="1309" customFormat="false" ht="21.75" hidden="false" customHeight="true" outlineLevel="0" collapsed="false">
      <c r="A1309" s="1"/>
      <c r="B1309" s="16"/>
      <c r="C1309" s="16"/>
      <c r="D1309" s="15"/>
      <c r="E1309" s="11" t="str">
        <f aca="false">IF(D1309="","",IFERROR(INDEX(Players!$C$5:$C$304,MATCH(D1309,Players!$B$5:$B$304,0)),""))</f>
        <v/>
      </c>
      <c r="F1309" s="22" t="str">
        <f aca="false">IF(D1309="","",IF(COUNTIFS($B$5:$B$2004,B1309,$D$5:$D$2004,D1309)&gt;1,"DUPLICATE",IF(ISNA(MATCH(D1309,Players!$B$5:$B$304,0)),"UID not found",IF(INDEX(Players!$H$5:$H$304,MATCH(D1309,Players!$B$5:$B$304,0))&lt;0,"LOW BALANCE","OK"))))</f>
        <v/>
      </c>
      <c r="G1309" s="1"/>
      <c r="H1309" s="1"/>
      <c r="I1309" s="1"/>
    </row>
    <row r="1310" customFormat="false" ht="21.75" hidden="false" customHeight="true" outlineLevel="0" collapsed="false">
      <c r="A1310" s="1"/>
      <c r="B1310" s="16"/>
      <c r="C1310" s="16"/>
      <c r="D1310" s="15"/>
      <c r="E1310" s="11" t="str">
        <f aca="false">IF(D1310="","",IFERROR(INDEX(Players!$C$5:$C$304,MATCH(D1310,Players!$B$5:$B$304,0)),""))</f>
        <v/>
      </c>
      <c r="F1310" s="22" t="str">
        <f aca="false">IF(D1310="","",IF(COUNTIFS($B$5:$B$2004,B1310,$D$5:$D$2004,D1310)&gt;1,"DUPLICATE",IF(ISNA(MATCH(D1310,Players!$B$5:$B$304,0)),"UID not found",IF(INDEX(Players!$H$5:$H$304,MATCH(D1310,Players!$B$5:$B$304,0))&lt;0,"LOW BALANCE","OK"))))</f>
        <v/>
      </c>
      <c r="G1310" s="1"/>
      <c r="H1310" s="1"/>
      <c r="I1310" s="1"/>
    </row>
    <row r="1311" customFormat="false" ht="21.75" hidden="false" customHeight="true" outlineLevel="0" collapsed="false">
      <c r="A1311" s="1"/>
      <c r="B1311" s="16"/>
      <c r="C1311" s="16"/>
      <c r="D1311" s="15"/>
      <c r="E1311" s="11" t="str">
        <f aca="false">IF(D1311="","",IFERROR(INDEX(Players!$C$5:$C$304,MATCH(D1311,Players!$B$5:$B$304,0)),""))</f>
        <v/>
      </c>
      <c r="F1311" s="22" t="str">
        <f aca="false">IF(D1311="","",IF(COUNTIFS($B$5:$B$2004,B1311,$D$5:$D$2004,D1311)&gt;1,"DUPLICATE",IF(ISNA(MATCH(D1311,Players!$B$5:$B$304,0)),"UID not found",IF(INDEX(Players!$H$5:$H$304,MATCH(D1311,Players!$B$5:$B$304,0))&lt;0,"LOW BALANCE","OK"))))</f>
        <v/>
      </c>
      <c r="G1311" s="1"/>
      <c r="H1311" s="1"/>
      <c r="I1311" s="1"/>
    </row>
    <row r="1312" customFormat="false" ht="21.75" hidden="false" customHeight="true" outlineLevel="0" collapsed="false">
      <c r="A1312" s="1"/>
      <c r="B1312" s="16"/>
      <c r="C1312" s="16"/>
      <c r="D1312" s="15"/>
      <c r="E1312" s="11" t="str">
        <f aca="false">IF(D1312="","",IFERROR(INDEX(Players!$C$5:$C$304,MATCH(D1312,Players!$B$5:$B$304,0)),""))</f>
        <v/>
      </c>
      <c r="F1312" s="22" t="str">
        <f aca="false">IF(D1312="","",IF(COUNTIFS($B$5:$B$2004,B1312,$D$5:$D$2004,D1312)&gt;1,"DUPLICATE",IF(ISNA(MATCH(D1312,Players!$B$5:$B$304,0)),"UID not found",IF(INDEX(Players!$H$5:$H$304,MATCH(D1312,Players!$B$5:$B$304,0))&lt;0,"LOW BALANCE","OK"))))</f>
        <v/>
      </c>
      <c r="G1312" s="1"/>
      <c r="H1312" s="1"/>
      <c r="I1312" s="1"/>
    </row>
    <row r="1313" customFormat="false" ht="21.75" hidden="false" customHeight="true" outlineLevel="0" collapsed="false">
      <c r="A1313" s="1"/>
      <c r="B1313" s="16"/>
      <c r="C1313" s="16"/>
      <c r="D1313" s="15"/>
      <c r="E1313" s="11" t="str">
        <f aca="false">IF(D1313="","",IFERROR(INDEX(Players!$C$5:$C$304,MATCH(D1313,Players!$B$5:$B$304,0)),""))</f>
        <v/>
      </c>
      <c r="F1313" s="22" t="str">
        <f aca="false">IF(D1313="","",IF(COUNTIFS($B$5:$B$2004,B1313,$D$5:$D$2004,D1313)&gt;1,"DUPLICATE",IF(ISNA(MATCH(D1313,Players!$B$5:$B$304,0)),"UID not found",IF(INDEX(Players!$H$5:$H$304,MATCH(D1313,Players!$B$5:$B$304,0))&lt;0,"LOW BALANCE","OK"))))</f>
        <v/>
      </c>
      <c r="G1313" s="1"/>
      <c r="H1313" s="1"/>
      <c r="I1313" s="1"/>
    </row>
    <row r="1314" customFormat="false" ht="21.75" hidden="false" customHeight="true" outlineLevel="0" collapsed="false">
      <c r="A1314" s="1"/>
      <c r="B1314" s="16"/>
      <c r="C1314" s="16"/>
      <c r="D1314" s="15"/>
      <c r="E1314" s="11" t="str">
        <f aca="false">IF(D1314="","",IFERROR(INDEX(Players!$C$5:$C$304,MATCH(D1314,Players!$B$5:$B$304,0)),""))</f>
        <v/>
      </c>
      <c r="F1314" s="22" t="str">
        <f aca="false">IF(D1314="","",IF(COUNTIFS($B$5:$B$2004,B1314,$D$5:$D$2004,D1314)&gt;1,"DUPLICATE",IF(ISNA(MATCH(D1314,Players!$B$5:$B$304,0)),"UID not found",IF(INDEX(Players!$H$5:$H$304,MATCH(D1314,Players!$B$5:$B$304,0))&lt;0,"LOW BALANCE","OK"))))</f>
        <v/>
      </c>
      <c r="G1314" s="1"/>
      <c r="H1314" s="1"/>
      <c r="I1314" s="1"/>
    </row>
    <row r="1315" customFormat="false" ht="21.75" hidden="false" customHeight="true" outlineLevel="0" collapsed="false">
      <c r="A1315" s="1"/>
      <c r="B1315" s="16"/>
      <c r="C1315" s="16"/>
      <c r="D1315" s="15"/>
      <c r="E1315" s="11" t="str">
        <f aca="false">IF(D1315="","",IFERROR(INDEX(Players!$C$5:$C$304,MATCH(D1315,Players!$B$5:$B$304,0)),""))</f>
        <v/>
      </c>
      <c r="F1315" s="22" t="str">
        <f aca="false">IF(D1315="","",IF(COUNTIFS($B$5:$B$2004,B1315,$D$5:$D$2004,D1315)&gt;1,"DUPLICATE",IF(ISNA(MATCH(D1315,Players!$B$5:$B$304,0)),"UID not found",IF(INDEX(Players!$H$5:$H$304,MATCH(D1315,Players!$B$5:$B$304,0))&lt;0,"LOW BALANCE","OK"))))</f>
        <v/>
      </c>
      <c r="G1315" s="1"/>
      <c r="H1315" s="1"/>
      <c r="I1315" s="1"/>
    </row>
    <row r="1316" customFormat="false" ht="21.75" hidden="false" customHeight="true" outlineLevel="0" collapsed="false">
      <c r="A1316" s="1"/>
      <c r="B1316" s="16"/>
      <c r="C1316" s="16"/>
      <c r="D1316" s="15"/>
      <c r="E1316" s="11" t="str">
        <f aca="false">IF(D1316="","",IFERROR(INDEX(Players!$C$5:$C$304,MATCH(D1316,Players!$B$5:$B$304,0)),""))</f>
        <v/>
      </c>
      <c r="F1316" s="22" t="str">
        <f aca="false">IF(D1316="","",IF(COUNTIFS($B$5:$B$2004,B1316,$D$5:$D$2004,D1316)&gt;1,"DUPLICATE",IF(ISNA(MATCH(D1316,Players!$B$5:$B$304,0)),"UID not found",IF(INDEX(Players!$H$5:$H$304,MATCH(D1316,Players!$B$5:$B$304,0))&lt;0,"LOW BALANCE","OK"))))</f>
        <v/>
      </c>
      <c r="G1316" s="1"/>
      <c r="H1316" s="1"/>
      <c r="I1316" s="1"/>
    </row>
    <row r="1317" customFormat="false" ht="21.75" hidden="false" customHeight="true" outlineLevel="0" collapsed="false">
      <c r="A1317" s="1"/>
      <c r="B1317" s="16"/>
      <c r="C1317" s="16"/>
      <c r="D1317" s="15"/>
      <c r="E1317" s="11" t="str">
        <f aca="false">IF(D1317="","",IFERROR(INDEX(Players!$C$5:$C$304,MATCH(D1317,Players!$B$5:$B$304,0)),""))</f>
        <v/>
      </c>
      <c r="F1317" s="22" t="str">
        <f aca="false">IF(D1317="","",IF(COUNTIFS($B$5:$B$2004,B1317,$D$5:$D$2004,D1317)&gt;1,"DUPLICATE",IF(ISNA(MATCH(D1317,Players!$B$5:$B$304,0)),"UID not found",IF(INDEX(Players!$H$5:$H$304,MATCH(D1317,Players!$B$5:$B$304,0))&lt;0,"LOW BALANCE","OK"))))</f>
        <v/>
      </c>
      <c r="G1317" s="1"/>
      <c r="H1317" s="1"/>
      <c r="I1317" s="1"/>
    </row>
    <row r="1318" customFormat="false" ht="21.75" hidden="false" customHeight="true" outlineLevel="0" collapsed="false">
      <c r="A1318" s="1"/>
      <c r="B1318" s="16"/>
      <c r="C1318" s="16"/>
      <c r="D1318" s="15"/>
      <c r="E1318" s="11" t="str">
        <f aca="false">IF(D1318="","",IFERROR(INDEX(Players!$C$5:$C$304,MATCH(D1318,Players!$B$5:$B$304,0)),""))</f>
        <v/>
      </c>
      <c r="F1318" s="22" t="str">
        <f aca="false">IF(D1318="","",IF(COUNTIFS($B$5:$B$2004,B1318,$D$5:$D$2004,D1318)&gt;1,"DUPLICATE",IF(ISNA(MATCH(D1318,Players!$B$5:$B$304,0)),"UID not found",IF(INDEX(Players!$H$5:$H$304,MATCH(D1318,Players!$B$5:$B$304,0))&lt;0,"LOW BALANCE","OK"))))</f>
        <v/>
      </c>
      <c r="G1318" s="1"/>
      <c r="H1318" s="1"/>
      <c r="I1318" s="1"/>
    </row>
    <row r="1319" customFormat="false" ht="21.75" hidden="false" customHeight="true" outlineLevel="0" collapsed="false">
      <c r="A1319" s="1"/>
      <c r="B1319" s="16"/>
      <c r="C1319" s="16"/>
      <c r="D1319" s="15"/>
      <c r="E1319" s="11" t="str">
        <f aca="false">IF(D1319="","",IFERROR(INDEX(Players!$C$5:$C$304,MATCH(D1319,Players!$B$5:$B$304,0)),""))</f>
        <v/>
      </c>
      <c r="F1319" s="22" t="str">
        <f aca="false">IF(D1319="","",IF(COUNTIFS($B$5:$B$2004,B1319,$D$5:$D$2004,D1319)&gt;1,"DUPLICATE",IF(ISNA(MATCH(D1319,Players!$B$5:$B$304,0)),"UID not found",IF(INDEX(Players!$H$5:$H$304,MATCH(D1319,Players!$B$5:$B$304,0))&lt;0,"LOW BALANCE","OK"))))</f>
        <v/>
      </c>
      <c r="G1319" s="1"/>
      <c r="H1319" s="1"/>
      <c r="I1319" s="1"/>
    </row>
    <row r="1320" customFormat="false" ht="21.75" hidden="false" customHeight="true" outlineLevel="0" collapsed="false">
      <c r="A1320" s="1"/>
      <c r="B1320" s="16"/>
      <c r="C1320" s="16"/>
      <c r="D1320" s="15"/>
      <c r="E1320" s="11" t="str">
        <f aca="false">IF(D1320="","",IFERROR(INDEX(Players!$C$5:$C$304,MATCH(D1320,Players!$B$5:$B$304,0)),""))</f>
        <v/>
      </c>
      <c r="F1320" s="22" t="str">
        <f aca="false">IF(D1320="","",IF(COUNTIFS($B$5:$B$2004,B1320,$D$5:$D$2004,D1320)&gt;1,"DUPLICATE",IF(ISNA(MATCH(D1320,Players!$B$5:$B$304,0)),"UID not found",IF(INDEX(Players!$H$5:$H$304,MATCH(D1320,Players!$B$5:$B$304,0))&lt;0,"LOW BALANCE","OK"))))</f>
        <v/>
      </c>
      <c r="G1320" s="1"/>
      <c r="H1320" s="1"/>
      <c r="I1320" s="1"/>
    </row>
    <row r="1321" customFormat="false" ht="21.75" hidden="false" customHeight="true" outlineLevel="0" collapsed="false">
      <c r="A1321" s="1"/>
      <c r="B1321" s="16"/>
      <c r="C1321" s="16"/>
      <c r="D1321" s="15"/>
      <c r="E1321" s="11" t="str">
        <f aca="false">IF(D1321="","",IFERROR(INDEX(Players!$C$5:$C$304,MATCH(D1321,Players!$B$5:$B$304,0)),""))</f>
        <v/>
      </c>
      <c r="F1321" s="22" t="str">
        <f aca="false">IF(D1321="","",IF(COUNTIFS($B$5:$B$2004,B1321,$D$5:$D$2004,D1321)&gt;1,"DUPLICATE",IF(ISNA(MATCH(D1321,Players!$B$5:$B$304,0)),"UID not found",IF(INDEX(Players!$H$5:$H$304,MATCH(D1321,Players!$B$5:$B$304,0))&lt;0,"LOW BALANCE","OK"))))</f>
        <v/>
      </c>
      <c r="G1321" s="1"/>
      <c r="H1321" s="1"/>
      <c r="I1321" s="1"/>
    </row>
    <row r="1322" customFormat="false" ht="21.75" hidden="false" customHeight="true" outlineLevel="0" collapsed="false">
      <c r="A1322" s="1"/>
      <c r="B1322" s="16"/>
      <c r="C1322" s="16"/>
      <c r="D1322" s="15"/>
      <c r="E1322" s="11" t="str">
        <f aca="false">IF(D1322="","",IFERROR(INDEX(Players!$C$5:$C$304,MATCH(D1322,Players!$B$5:$B$304,0)),""))</f>
        <v/>
      </c>
      <c r="F1322" s="22" t="str">
        <f aca="false">IF(D1322="","",IF(COUNTIFS($B$5:$B$2004,B1322,$D$5:$D$2004,D1322)&gt;1,"DUPLICATE",IF(ISNA(MATCH(D1322,Players!$B$5:$B$304,0)),"UID not found",IF(INDEX(Players!$H$5:$H$304,MATCH(D1322,Players!$B$5:$B$304,0))&lt;0,"LOW BALANCE","OK"))))</f>
        <v/>
      </c>
      <c r="G1322" s="1"/>
      <c r="H1322" s="1"/>
      <c r="I1322" s="1"/>
    </row>
    <row r="1323" customFormat="false" ht="21.75" hidden="false" customHeight="true" outlineLevel="0" collapsed="false">
      <c r="A1323" s="1"/>
      <c r="B1323" s="16"/>
      <c r="C1323" s="16"/>
      <c r="D1323" s="15"/>
      <c r="E1323" s="11" t="str">
        <f aca="false">IF(D1323="","",IFERROR(INDEX(Players!$C$5:$C$304,MATCH(D1323,Players!$B$5:$B$304,0)),""))</f>
        <v/>
      </c>
      <c r="F1323" s="22" t="str">
        <f aca="false">IF(D1323="","",IF(COUNTIFS($B$5:$B$2004,B1323,$D$5:$D$2004,D1323)&gt;1,"DUPLICATE",IF(ISNA(MATCH(D1323,Players!$B$5:$B$304,0)),"UID not found",IF(INDEX(Players!$H$5:$H$304,MATCH(D1323,Players!$B$5:$B$304,0))&lt;0,"LOW BALANCE","OK"))))</f>
        <v/>
      </c>
      <c r="G1323" s="1"/>
      <c r="H1323" s="1"/>
      <c r="I1323" s="1"/>
    </row>
    <row r="1324" customFormat="false" ht="21.75" hidden="false" customHeight="true" outlineLevel="0" collapsed="false">
      <c r="A1324" s="1"/>
      <c r="B1324" s="16"/>
      <c r="C1324" s="16"/>
      <c r="D1324" s="15"/>
      <c r="E1324" s="11" t="str">
        <f aca="false">IF(D1324="","",IFERROR(INDEX(Players!$C$5:$C$304,MATCH(D1324,Players!$B$5:$B$304,0)),""))</f>
        <v/>
      </c>
      <c r="F1324" s="22" t="str">
        <f aca="false">IF(D1324="","",IF(COUNTIFS($B$5:$B$2004,B1324,$D$5:$D$2004,D1324)&gt;1,"DUPLICATE",IF(ISNA(MATCH(D1324,Players!$B$5:$B$304,0)),"UID not found",IF(INDEX(Players!$H$5:$H$304,MATCH(D1324,Players!$B$5:$B$304,0))&lt;0,"LOW BALANCE","OK"))))</f>
        <v/>
      </c>
      <c r="G1324" s="1"/>
      <c r="H1324" s="1"/>
      <c r="I1324" s="1"/>
    </row>
    <row r="1325" customFormat="false" ht="21.75" hidden="false" customHeight="true" outlineLevel="0" collapsed="false">
      <c r="A1325" s="1"/>
      <c r="B1325" s="16"/>
      <c r="C1325" s="16"/>
      <c r="D1325" s="15"/>
      <c r="E1325" s="11" t="str">
        <f aca="false">IF(D1325="","",IFERROR(INDEX(Players!$C$5:$C$304,MATCH(D1325,Players!$B$5:$B$304,0)),""))</f>
        <v/>
      </c>
      <c r="F1325" s="22" t="str">
        <f aca="false">IF(D1325="","",IF(COUNTIFS($B$5:$B$2004,B1325,$D$5:$D$2004,D1325)&gt;1,"DUPLICATE",IF(ISNA(MATCH(D1325,Players!$B$5:$B$304,0)),"UID not found",IF(INDEX(Players!$H$5:$H$304,MATCH(D1325,Players!$B$5:$B$304,0))&lt;0,"LOW BALANCE","OK"))))</f>
        <v/>
      </c>
      <c r="G1325" s="1"/>
      <c r="H1325" s="1"/>
      <c r="I1325" s="1"/>
    </row>
    <row r="1326" customFormat="false" ht="21.75" hidden="false" customHeight="true" outlineLevel="0" collapsed="false">
      <c r="A1326" s="1"/>
      <c r="B1326" s="16"/>
      <c r="C1326" s="16"/>
      <c r="D1326" s="15"/>
      <c r="E1326" s="11" t="str">
        <f aca="false">IF(D1326="","",IFERROR(INDEX(Players!$C$5:$C$304,MATCH(D1326,Players!$B$5:$B$304,0)),""))</f>
        <v/>
      </c>
      <c r="F1326" s="22" t="str">
        <f aca="false">IF(D1326="","",IF(COUNTIFS($B$5:$B$2004,B1326,$D$5:$D$2004,D1326)&gt;1,"DUPLICATE",IF(ISNA(MATCH(D1326,Players!$B$5:$B$304,0)),"UID not found",IF(INDEX(Players!$H$5:$H$304,MATCH(D1326,Players!$B$5:$B$304,0))&lt;0,"LOW BALANCE","OK"))))</f>
        <v/>
      </c>
      <c r="G1326" s="1"/>
      <c r="H1326" s="1"/>
      <c r="I1326" s="1"/>
    </row>
    <row r="1327" customFormat="false" ht="21.75" hidden="false" customHeight="true" outlineLevel="0" collapsed="false">
      <c r="A1327" s="1"/>
      <c r="B1327" s="16"/>
      <c r="C1327" s="16"/>
      <c r="D1327" s="15"/>
      <c r="E1327" s="11" t="str">
        <f aca="false">IF(D1327="","",IFERROR(INDEX(Players!$C$5:$C$304,MATCH(D1327,Players!$B$5:$B$304,0)),""))</f>
        <v/>
      </c>
      <c r="F1327" s="22" t="str">
        <f aca="false">IF(D1327="","",IF(COUNTIFS($B$5:$B$2004,B1327,$D$5:$D$2004,D1327)&gt;1,"DUPLICATE",IF(ISNA(MATCH(D1327,Players!$B$5:$B$304,0)),"UID not found",IF(INDEX(Players!$H$5:$H$304,MATCH(D1327,Players!$B$5:$B$304,0))&lt;0,"LOW BALANCE","OK"))))</f>
        <v/>
      </c>
      <c r="G1327" s="1"/>
      <c r="H1327" s="1"/>
      <c r="I1327" s="1"/>
    </row>
    <row r="1328" customFormat="false" ht="21.75" hidden="false" customHeight="true" outlineLevel="0" collapsed="false">
      <c r="A1328" s="1"/>
      <c r="B1328" s="16"/>
      <c r="C1328" s="16"/>
      <c r="D1328" s="15"/>
      <c r="E1328" s="11" t="str">
        <f aca="false">IF(D1328="","",IFERROR(INDEX(Players!$C$5:$C$304,MATCH(D1328,Players!$B$5:$B$304,0)),""))</f>
        <v/>
      </c>
      <c r="F1328" s="22" t="str">
        <f aca="false">IF(D1328="","",IF(COUNTIFS($B$5:$B$2004,B1328,$D$5:$D$2004,D1328)&gt;1,"DUPLICATE",IF(ISNA(MATCH(D1328,Players!$B$5:$B$304,0)),"UID not found",IF(INDEX(Players!$H$5:$H$304,MATCH(D1328,Players!$B$5:$B$304,0))&lt;0,"LOW BALANCE","OK"))))</f>
        <v/>
      </c>
      <c r="G1328" s="1"/>
      <c r="H1328" s="1"/>
      <c r="I1328" s="1"/>
    </row>
    <row r="1329" customFormat="false" ht="21.75" hidden="false" customHeight="true" outlineLevel="0" collapsed="false">
      <c r="A1329" s="1"/>
      <c r="B1329" s="16"/>
      <c r="C1329" s="16"/>
      <c r="D1329" s="15"/>
      <c r="E1329" s="11" t="str">
        <f aca="false">IF(D1329="","",IFERROR(INDEX(Players!$C$5:$C$304,MATCH(D1329,Players!$B$5:$B$304,0)),""))</f>
        <v/>
      </c>
      <c r="F1329" s="22" t="str">
        <f aca="false">IF(D1329="","",IF(COUNTIFS($B$5:$B$2004,B1329,$D$5:$D$2004,D1329)&gt;1,"DUPLICATE",IF(ISNA(MATCH(D1329,Players!$B$5:$B$304,0)),"UID not found",IF(INDEX(Players!$H$5:$H$304,MATCH(D1329,Players!$B$5:$B$304,0))&lt;0,"LOW BALANCE","OK"))))</f>
        <v/>
      </c>
      <c r="G1329" s="1"/>
      <c r="H1329" s="1"/>
      <c r="I1329" s="1"/>
    </row>
    <row r="1330" customFormat="false" ht="21.75" hidden="false" customHeight="true" outlineLevel="0" collapsed="false">
      <c r="A1330" s="1"/>
      <c r="B1330" s="16"/>
      <c r="C1330" s="16"/>
      <c r="D1330" s="15"/>
      <c r="E1330" s="11" t="str">
        <f aca="false">IF(D1330="","",IFERROR(INDEX(Players!$C$5:$C$304,MATCH(D1330,Players!$B$5:$B$304,0)),""))</f>
        <v/>
      </c>
      <c r="F1330" s="22" t="str">
        <f aca="false">IF(D1330="","",IF(COUNTIFS($B$5:$B$2004,B1330,$D$5:$D$2004,D1330)&gt;1,"DUPLICATE",IF(ISNA(MATCH(D1330,Players!$B$5:$B$304,0)),"UID not found",IF(INDEX(Players!$H$5:$H$304,MATCH(D1330,Players!$B$5:$B$304,0))&lt;0,"LOW BALANCE","OK"))))</f>
        <v/>
      </c>
      <c r="G1330" s="1"/>
      <c r="H1330" s="1"/>
      <c r="I1330" s="1"/>
    </row>
    <row r="1331" customFormat="false" ht="21.75" hidden="false" customHeight="true" outlineLevel="0" collapsed="false">
      <c r="A1331" s="1"/>
      <c r="B1331" s="16"/>
      <c r="C1331" s="16"/>
      <c r="D1331" s="15"/>
      <c r="E1331" s="11" t="str">
        <f aca="false">IF(D1331="","",IFERROR(INDEX(Players!$C$5:$C$304,MATCH(D1331,Players!$B$5:$B$304,0)),""))</f>
        <v/>
      </c>
      <c r="F1331" s="22" t="str">
        <f aca="false">IF(D1331="","",IF(COUNTIFS($B$5:$B$2004,B1331,$D$5:$D$2004,D1331)&gt;1,"DUPLICATE",IF(ISNA(MATCH(D1331,Players!$B$5:$B$304,0)),"UID not found",IF(INDEX(Players!$H$5:$H$304,MATCH(D1331,Players!$B$5:$B$304,0))&lt;0,"LOW BALANCE","OK"))))</f>
        <v/>
      </c>
      <c r="G1331" s="1"/>
      <c r="H1331" s="1"/>
      <c r="I1331" s="1"/>
    </row>
    <row r="1332" customFormat="false" ht="21.75" hidden="false" customHeight="true" outlineLevel="0" collapsed="false">
      <c r="A1332" s="1"/>
      <c r="B1332" s="16"/>
      <c r="C1332" s="16"/>
      <c r="D1332" s="15"/>
      <c r="E1332" s="11" t="str">
        <f aca="false">IF(D1332="","",IFERROR(INDEX(Players!$C$5:$C$304,MATCH(D1332,Players!$B$5:$B$304,0)),""))</f>
        <v/>
      </c>
      <c r="F1332" s="22" t="str">
        <f aca="false">IF(D1332="","",IF(COUNTIFS($B$5:$B$2004,B1332,$D$5:$D$2004,D1332)&gt;1,"DUPLICATE",IF(ISNA(MATCH(D1332,Players!$B$5:$B$304,0)),"UID not found",IF(INDEX(Players!$H$5:$H$304,MATCH(D1332,Players!$B$5:$B$304,0))&lt;0,"LOW BALANCE","OK"))))</f>
        <v/>
      </c>
      <c r="G1332" s="1"/>
      <c r="H1332" s="1"/>
      <c r="I1332" s="1"/>
    </row>
    <row r="1333" customFormat="false" ht="21.75" hidden="false" customHeight="true" outlineLevel="0" collapsed="false">
      <c r="A1333" s="1"/>
      <c r="B1333" s="16"/>
      <c r="C1333" s="16"/>
      <c r="D1333" s="15"/>
      <c r="E1333" s="11" t="str">
        <f aca="false">IF(D1333="","",IFERROR(INDEX(Players!$C$5:$C$304,MATCH(D1333,Players!$B$5:$B$304,0)),""))</f>
        <v/>
      </c>
      <c r="F1333" s="22" t="str">
        <f aca="false">IF(D1333="","",IF(COUNTIFS($B$5:$B$2004,B1333,$D$5:$D$2004,D1333)&gt;1,"DUPLICATE",IF(ISNA(MATCH(D1333,Players!$B$5:$B$304,0)),"UID not found",IF(INDEX(Players!$H$5:$H$304,MATCH(D1333,Players!$B$5:$B$304,0))&lt;0,"LOW BALANCE","OK"))))</f>
        <v/>
      </c>
      <c r="G1333" s="1"/>
      <c r="H1333" s="1"/>
      <c r="I1333" s="1"/>
    </row>
    <row r="1334" customFormat="false" ht="21.75" hidden="false" customHeight="true" outlineLevel="0" collapsed="false">
      <c r="A1334" s="1"/>
      <c r="B1334" s="16"/>
      <c r="C1334" s="16"/>
      <c r="D1334" s="15"/>
      <c r="E1334" s="11" t="str">
        <f aca="false">IF(D1334="","",IFERROR(INDEX(Players!$C$5:$C$304,MATCH(D1334,Players!$B$5:$B$304,0)),""))</f>
        <v/>
      </c>
      <c r="F1334" s="22" t="str">
        <f aca="false">IF(D1334="","",IF(COUNTIFS($B$5:$B$2004,B1334,$D$5:$D$2004,D1334)&gt;1,"DUPLICATE",IF(ISNA(MATCH(D1334,Players!$B$5:$B$304,0)),"UID not found",IF(INDEX(Players!$H$5:$H$304,MATCH(D1334,Players!$B$5:$B$304,0))&lt;0,"LOW BALANCE","OK"))))</f>
        <v/>
      </c>
      <c r="G1334" s="1"/>
      <c r="H1334" s="1"/>
      <c r="I1334" s="1"/>
    </row>
    <row r="1335" customFormat="false" ht="21.75" hidden="false" customHeight="true" outlineLevel="0" collapsed="false">
      <c r="A1335" s="1"/>
      <c r="B1335" s="16"/>
      <c r="C1335" s="16"/>
      <c r="D1335" s="15"/>
      <c r="E1335" s="11" t="str">
        <f aca="false">IF(D1335="","",IFERROR(INDEX(Players!$C$5:$C$304,MATCH(D1335,Players!$B$5:$B$304,0)),""))</f>
        <v/>
      </c>
      <c r="F1335" s="22" t="str">
        <f aca="false">IF(D1335="","",IF(COUNTIFS($B$5:$B$2004,B1335,$D$5:$D$2004,D1335)&gt;1,"DUPLICATE",IF(ISNA(MATCH(D1335,Players!$B$5:$B$304,0)),"UID not found",IF(INDEX(Players!$H$5:$H$304,MATCH(D1335,Players!$B$5:$B$304,0))&lt;0,"LOW BALANCE","OK"))))</f>
        <v/>
      </c>
      <c r="G1335" s="1"/>
      <c r="H1335" s="1"/>
      <c r="I1335" s="1"/>
    </row>
    <row r="1336" customFormat="false" ht="21.75" hidden="false" customHeight="true" outlineLevel="0" collapsed="false">
      <c r="A1336" s="1"/>
      <c r="B1336" s="16"/>
      <c r="C1336" s="16"/>
      <c r="D1336" s="15"/>
      <c r="E1336" s="11" t="str">
        <f aca="false">IF(D1336="","",IFERROR(INDEX(Players!$C$5:$C$304,MATCH(D1336,Players!$B$5:$B$304,0)),""))</f>
        <v/>
      </c>
      <c r="F1336" s="22" t="str">
        <f aca="false">IF(D1336="","",IF(COUNTIFS($B$5:$B$2004,B1336,$D$5:$D$2004,D1336)&gt;1,"DUPLICATE",IF(ISNA(MATCH(D1336,Players!$B$5:$B$304,0)),"UID not found",IF(INDEX(Players!$H$5:$H$304,MATCH(D1336,Players!$B$5:$B$304,0))&lt;0,"LOW BALANCE","OK"))))</f>
        <v/>
      </c>
      <c r="G1336" s="1"/>
      <c r="H1336" s="1"/>
      <c r="I1336" s="1"/>
    </row>
    <row r="1337" customFormat="false" ht="21.75" hidden="false" customHeight="true" outlineLevel="0" collapsed="false">
      <c r="A1337" s="1"/>
      <c r="B1337" s="16"/>
      <c r="C1337" s="16"/>
      <c r="D1337" s="15"/>
      <c r="E1337" s="11" t="str">
        <f aca="false">IF(D1337="","",IFERROR(INDEX(Players!$C$5:$C$304,MATCH(D1337,Players!$B$5:$B$304,0)),""))</f>
        <v/>
      </c>
      <c r="F1337" s="22" t="str">
        <f aca="false">IF(D1337="","",IF(COUNTIFS($B$5:$B$2004,B1337,$D$5:$D$2004,D1337)&gt;1,"DUPLICATE",IF(ISNA(MATCH(D1337,Players!$B$5:$B$304,0)),"UID not found",IF(INDEX(Players!$H$5:$H$304,MATCH(D1337,Players!$B$5:$B$304,0))&lt;0,"LOW BALANCE","OK"))))</f>
        <v/>
      </c>
      <c r="G1337" s="1"/>
      <c r="H1337" s="1"/>
      <c r="I1337" s="1"/>
    </row>
    <row r="1338" customFormat="false" ht="21.75" hidden="false" customHeight="true" outlineLevel="0" collapsed="false">
      <c r="A1338" s="1"/>
      <c r="B1338" s="16"/>
      <c r="C1338" s="16"/>
      <c r="D1338" s="15"/>
      <c r="E1338" s="11" t="str">
        <f aca="false">IF(D1338="","",IFERROR(INDEX(Players!$C$5:$C$304,MATCH(D1338,Players!$B$5:$B$304,0)),""))</f>
        <v/>
      </c>
      <c r="F1338" s="22" t="str">
        <f aca="false">IF(D1338="","",IF(COUNTIFS($B$5:$B$2004,B1338,$D$5:$D$2004,D1338)&gt;1,"DUPLICATE",IF(ISNA(MATCH(D1338,Players!$B$5:$B$304,0)),"UID not found",IF(INDEX(Players!$H$5:$H$304,MATCH(D1338,Players!$B$5:$B$304,0))&lt;0,"LOW BALANCE","OK"))))</f>
        <v/>
      </c>
      <c r="G1338" s="1"/>
      <c r="H1338" s="1"/>
      <c r="I1338" s="1"/>
    </row>
    <row r="1339" customFormat="false" ht="21.75" hidden="false" customHeight="true" outlineLevel="0" collapsed="false">
      <c r="A1339" s="1"/>
      <c r="B1339" s="16"/>
      <c r="C1339" s="16"/>
      <c r="D1339" s="15"/>
      <c r="E1339" s="11" t="str">
        <f aca="false">IF(D1339="","",IFERROR(INDEX(Players!$C$5:$C$304,MATCH(D1339,Players!$B$5:$B$304,0)),""))</f>
        <v/>
      </c>
      <c r="F1339" s="22" t="str">
        <f aca="false">IF(D1339="","",IF(COUNTIFS($B$5:$B$2004,B1339,$D$5:$D$2004,D1339)&gt;1,"DUPLICATE",IF(ISNA(MATCH(D1339,Players!$B$5:$B$304,0)),"UID not found",IF(INDEX(Players!$H$5:$H$304,MATCH(D1339,Players!$B$5:$B$304,0))&lt;0,"LOW BALANCE","OK"))))</f>
        <v/>
      </c>
      <c r="G1339" s="1"/>
      <c r="H1339" s="1"/>
      <c r="I1339" s="1"/>
    </row>
    <row r="1340" customFormat="false" ht="21.75" hidden="false" customHeight="true" outlineLevel="0" collapsed="false">
      <c r="A1340" s="1"/>
      <c r="B1340" s="16"/>
      <c r="C1340" s="16"/>
      <c r="D1340" s="15"/>
      <c r="E1340" s="11" t="str">
        <f aca="false">IF(D1340="","",IFERROR(INDEX(Players!$C$5:$C$304,MATCH(D1340,Players!$B$5:$B$304,0)),""))</f>
        <v/>
      </c>
      <c r="F1340" s="22" t="str">
        <f aca="false">IF(D1340="","",IF(COUNTIFS($B$5:$B$2004,B1340,$D$5:$D$2004,D1340)&gt;1,"DUPLICATE",IF(ISNA(MATCH(D1340,Players!$B$5:$B$304,0)),"UID not found",IF(INDEX(Players!$H$5:$H$304,MATCH(D1340,Players!$B$5:$B$304,0))&lt;0,"LOW BALANCE","OK"))))</f>
        <v/>
      </c>
      <c r="G1340" s="1"/>
      <c r="H1340" s="1"/>
      <c r="I1340" s="1"/>
    </row>
    <row r="1341" customFormat="false" ht="21.75" hidden="false" customHeight="true" outlineLevel="0" collapsed="false">
      <c r="A1341" s="1"/>
      <c r="B1341" s="16"/>
      <c r="C1341" s="16"/>
      <c r="D1341" s="15"/>
      <c r="E1341" s="11" t="str">
        <f aca="false">IF(D1341="","",IFERROR(INDEX(Players!$C$5:$C$304,MATCH(D1341,Players!$B$5:$B$304,0)),""))</f>
        <v/>
      </c>
      <c r="F1341" s="22" t="str">
        <f aca="false">IF(D1341="","",IF(COUNTIFS($B$5:$B$2004,B1341,$D$5:$D$2004,D1341)&gt;1,"DUPLICATE",IF(ISNA(MATCH(D1341,Players!$B$5:$B$304,0)),"UID not found",IF(INDEX(Players!$H$5:$H$304,MATCH(D1341,Players!$B$5:$B$304,0))&lt;0,"LOW BALANCE","OK"))))</f>
        <v/>
      </c>
      <c r="G1341" s="1"/>
      <c r="H1341" s="1"/>
      <c r="I1341" s="1"/>
    </row>
    <row r="1342" customFormat="false" ht="21.75" hidden="false" customHeight="true" outlineLevel="0" collapsed="false">
      <c r="A1342" s="1"/>
      <c r="B1342" s="16"/>
      <c r="C1342" s="16"/>
      <c r="D1342" s="15"/>
      <c r="E1342" s="11" t="str">
        <f aca="false">IF(D1342="","",IFERROR(INDEX(Players!$C$5:$C$304,MATCH(D1342,Players!$B$5:$B$304,0)),""))</f>
        <v/>
      </c>
      <c r="F1342" s="22" t="str">
        <f aca="false">IF(D1342="","",IF(COUNTIFS($B$5:$B$2004,B1342,$D$5:$D$2004,D1342)&gt;1,"DUPLICATE",IF(ISNA(MATCH(D1342,Players!$B$5:$B$304,0)),"UID not found",IF(INDEX(Players!$H$5:$H$304,MATCH(D1342,Players!$B$5:$B$304,0))&lt;0,"LOW BALANCE","OK"))))</f>
        <v/>
      </c>
      <c r="G1342" s="1"/>
      <c r="H1342" s="1"/>
      <c r="I1342" s="1"/>
    </row>
    <row r="1343" customFormat="false" ht="21.75" hidden="false" customHeight="true" outlineLevel="0" collapsed="false">
      <c r="A1343" s="1"/>
      <c r="B1343" s="16"/>
      <c r="C1343" s="16"/>
      <c r="D1343" s="15"/>
      <c r="E1343" s="11" t="str">
        <f aca="false">IF(D1343="","",IFERROR(INDEX(Players!$C$5:$C$304,MATCH(D1343,Players!$B$5:$B$304,0)),""))</f>
        <v/>
      </c>
      <c r="F1343" s="22" t="str">
        <f aca="false">IF(D1343="","",IF(COUNTIFS($B$5:$B$2004,B1343,$D$5:$D$2004,D1343)&gt;1,"DUPLICATE",IF(ISNA(MATCH(D1343,Players!$B$5:$B$304,0)),"UID not found",IF(INDEX(Players!$H$5:$H$304,MATCH(D1343,Players!$B$5:$B$304,0))&lt;0,"LOW BALANCE","OK"))))</f>
        <v/>
      </c>
      <c r="G1343" s="1"/>
      <c r="H1343" s="1"/>
      <c r="I1343" s="1"/>
    </row>
    <row r="1344" customFormat="false" ht="21.75" hidden="false" customHeight="true" outlineLevel="0" collapsed="false">
      <c r="A1344" s="1"/>
      <c r="B1344" s="16"/>
      <c r="C1344" s="16"/>
      <c r="D1344" s="15"/>
      <c r="E1344" s="11" t="str">
        <f aca="false">IF(D1344="","",IFERROR(INDEX(Players!$C$5:$C$304,MATCH(D1344,Players!$B$5:$B$304,0)),""))</f>
        <v/>
      </c>
      <c r="F1344" s="22" t="str">
        <f aca="false">IF(D1344="","",IF(COUNTIFS($B$5:$B$2004,B1344,$D$5:$D$2004,D1344)&gt;1,"DUPLICATE",IF(ISNA(MATCH(D1344,Players!$B$5:$B$304,0)),"UID not found",IF(INDEX(Players!$H$5:$H$304,MATCH(D1344,Players!$B$5:$B$304,0))&lt;0,"LOW BALANCE","OK"))))</f>
        <v/>
      </c>
      <c r="G1344" s="1"/>
      <c r="H1344" s="1"/>
      <c r="I1344" s="1"/>
    </row>
    <row r="1345" customFormat="false" ht="21.75" hidden="false" customHeight="true" outlineLevel="0" collapsed="false">
      <c r="A1345" s="1"/>
      <c r="B1345" s="16"/>
      <c r="C1345" s="16"/>
      <c r="D1345" s="15"/>
      <c r="E1345" s="11" t="str">
        <f aca="false">IF(D1345="","",IFERROR(INDEX(Players!$C$5:$C$304,MATCH(D1345,Players!$B$5:$B$304,0)),""))</f>
        <v/>
      </c>
      <c r="F1345" s="22" t="str">
        <f aca="false">IF(D1345="","",IF(COUNTIFS($B$5:$B$2004,B1345,$D$5:$D$2004,D1345)&gt;1,"DUPLICATE",IF(ISNA(MATCH(D1345,Players!$B$5:$B$304,0)),"UID not found",IF(INDEX(Players!$H$5:$H$304,MATCH(D1345,Players!$B$5:$B$304,0))&lt;0,"LOW BALANCE","OK"))))</f>
        <v/>
      </c>
      <c r="G1345" s="1"/>
      <c r="H1345" s="1"/>
      <c r="I1345" s="1"/>
    </row>
    <row r="1346" customFormat="false" ht="21.75" hidden="false" customHeight="true" outlineLevel="0" collapsed="false">
      <c r="A1346" s="1"/>
      <c r="B1346" s="16"/>
      <c r="C1346" s="16"/>
      <c r="D1346" s="15"/>
      <c r="E1346" s="11" t="str">
        <f aca="false">IF(D1346="","",IFERROR(INDEX(Players!$C$5:$C$304,MATCH(D1346,Players!$B$5:$B$304,0)),""))</f>
        <v/>
      </c>
      <c r="F1346" s="22" t="str">
        <f aca="false">IF(D1346="","",IF(COUNTIFS($B$5:$B$2004,B1346,$D$5:$D$2004,D1346)&gt;1,"DUPLICATE",IF(ISNA(MATCH(D1346,Players!$B$5:$B$304,0)),"UID not found",IF(INDEX(Players!$H$5:$H$304,MATCH(D1346,Players!$B$5:$B$304,0))&lt;0,"LOW BALANCE","OK"))))</f>
        <v/>
      </c>
      <c r="G1346" s="1"/>
      <c r="H1346" s="1"/>
      <c r="I1346" s="1"/>
    </row>
    <row r="1347" customFormat="false" ht="21.75" hidden="false" customHeight="true" outlineLevel="0" collapsed="false">
      <c r="A1347" s="1"/>
      <c r="B1347" s="16"/>
      <c r="C1347" s="16"/>
      <c r="D1347" s="15"/>
      <c r="E1347" s="11" t="str">
        <f aca="false">IF(D1347="","",IFERROR(INDEX(Players!$C$5:$C$304,MATCH(D1347,Players!$B$5:$B$304,0)),""))</f>
        <v/>
      </c>
      <c r="F1347" s="22" t="str">
        <f aca="false">IF(D1347="","",IF(COUNTIFS($B$5:$B$2004,B1347,$D$5:$D$2004,D1347)&gt;1,"DUPLICATE",IF(ISNA(MATCH(D1347,Players!$B$5:$B$304,0)),"UID not found",IF(INDEX(Players!$H$5:$H$304,MATCH(D1347,Players!$B$5:$B$304,0))&lt;0,"LOW BALANCE","OK"))))</f>
        <v/>
      </c>
      <c r="G1347" s="1"/>
      <c r="H1347" s="1"/>
      <c r="I1347" s="1"/>
    </row>
    <row r="1348" customFormat="false" ht="21.75" hidden="false" customHeight="true" outlineLevel="0" collapsed="false">
      <c r="A1348" s="1"/>
      <c r="B1348" s="16"/>
      <c r="C1348" s="16"/>
      <c r="D1348" s="15"/>
      <c r="E1348" s="11" t="str">
        <f aca="false">IF(D1348="","",IFERROR(INDEX(Players!$C$5:$C$304,MATCH(D1348,Players!$B$5:$B$304,0)),""))</f>
        <v/>
      </c>
      <c r="F1348" s="22" t="str">
        <f aca="false">IF(D1348="","",IF(COUNTIFS($B$5:$B$2004,B1348,$D$5:$D$2004,D1348)&gt;1,"DUPLICATE",IF(ISNA(MATCH(D1348,Players!$B$5:$B$304,0)),"UID not found",IF(INDEX(Players!$H$5:$H$304,MATCH(D1348,Players!$B$5:$B$304,0))&lt;0,"LOW BALANCE","OK"))))</f>
        <v/>
      </c>
      <c r="G1348" s="1"/>
      <c r="H1348" s="1"/>
      <c r="I1348" s="1"/>
    </row>
    <row r="1349" customFormat="false" ht="21.75" hidden="false" customHeight="true" outlineLevel="0" collapsed="false">
      <c r="A1349" s="1"/>
      <c r="B1349" s="16"/>
      <c r="C1349" s="16"/>
      <c r="D1349" s="15"/>
      <c r="E1349" s="11" t="str">
        <f aca="false">IF(D1349="","",IFERROR(INDEX(Players!$C$5:$C$304,MATCH(D1349,Players!$B$5:$B$304,0)),""))</f>
        <v/>
      </c>
      <c r="F1349" s="22" t="str">
        <f aca="false">IF(D1349="","",IF(COUNTIFS($B$5:$B$2004,B1349,$D$5:$D$2004,D1349)&gt;1,"DUPLICATE",IF(ISNA(MATCH(D1349,Players!$B$5:$B$304,0)),"UID not found",IF(INDEX(Players!$H$5:$H$304,MATCH(D1349,Players!$B$5:$B$304,0))&lt;0,"LOW BALANCE","OK"))))</f>
        <v/>
      </c>
      <c r="G1349" s="1"/>
      <c r="H1349" s="1"/>
      <c r="I1349" s="1"/>
    </row>
    <row r="1350" customFormat="false" ht="21.75" hidden="false" customHeight="true" outlineLevel="0" collapsed="false">
      <c r="A1350" s="1"/>
      <c r="B1350" s="16"/>
      <c r="C1350" s="16"/>
      <c r="D1350" s="15"/>
      <c r="E1350" s="11" t="str">
        <f aca="false">IF(D1350="","",IFERROR(INDEX(Players!$C$5:$C$304,MATCH(D1350,Players!$B$5:$B$304,0)),""))</f>
        <v/>
      </c>
      <c r="F1350" s="22" t="str">
        <f aca="false">IF(D1350="","",IF(COUNTIFS($B$5:$B$2004,B1350,$D$5:$D$2004,D1350)&gt;1,"DUPLICATE",IF(ISNA(MATCH(D1350,Players!$B$5:$B$304,0)),"UID not found",IF(INDEX(Players!$H$5:$H$304,MATCH(D1350,Players!$B$5:$B$304,0))&lt;0,"LOW BALANCE","OK"))))</f>
        <v/>
      </c>
      <c r="G1350" s="1"/>
      <c r="H1350" s="1"/>
      <c r="I1350" s="1"/>
    </row>
    <row r="1351" customFormat="false" ht="21.75" hidden="false" customHeight="true" outlineLevel="0" collapsed="false">
      <c r="A1351" s="1"/>
      <c r="B1351" s="16"/>
      <c r="C1351" s="16"/>
      <c r="D1351" s="15"/>
      <c r="E1351" s="11" t="str">
        <f aca="false">IF(D1351="","",IFERROR(INDEX(Players!$C$5:$C$304,MATCH(D1351,Players!$B$5:$B$304,0)),""))</f>
        <v/>
      </c>
      <c r="F1351" s="22" t="str">
        <f aca="false">IF(D1351="","",IF(COUNTIFS($B$5:$B$2004,B1351,$D$5:$D$2004,D1351)&gt;1,"DUPLICATE",IF(ISNA(MATCH(D1351,Players!$B$5:$B$304,0)),"UID not found",IF(INDEX(Players!$H$5:$H$304,MATCH(D1351,Players!$B$5:$B$304,0))&lt;0,"LOW BALANCE","OK"))))</f>
        <v/>
      </c>
      <c r="G1351" s="1"/>
      <c r="H1351" s="1"/>
      <c r="I1351" s="1"/>
    </row>
    <row r="1352" customFormat="false" ht="21.75" hidden="false" customHeight="true" outlineLevel="0" collapsed="false">
      <c r="A1352" s="1"/>
      <c r="B1352" s="16"/>
      <c r="C1352" s="16"/>
      <c r="D1352" s="15"/>
      <c r="E1352" s="11" t="str">
        <f aca="false">IF(D1352="","",IFERROR(INDEX(Players!$C$5:$C$304,MATCH(D1352,Players!$B$5:$B$304,0)),""))</f>
        <v/>
      </c>
      <c r="F1352" s="22" t="str">
        <f aca="false">IF(D1352="","",IF(COUNTIFS($B$5:$B$2004,B1352,$D$5:$D$2004,D1352)&gt;1,"DUPLICATE",IF(ISNA(MATCH(D1352,Players!$B$5:$B$304,0)),"UID not found",IF(INDEX(Players!$H$5:$H$304,MATCH(D1352,Players!$B$5:$B$304,0))&lt;0,"LOW BALANCE","OK"))))</f>
        <v/>
      </c>
      <c r="G1352" s="1"/>
      <c r="H1352" s="1"/>
      <c r="I1352" s="1"/>
    </row>
    <row r="1353" customFormat="false" ht="21.75" hidden="false" customHeight="true" outlineLevel="0" collapsed="false">
      <c r="A1353" s="1"/>
      <c r="B1353" s="16"/>
      <c r="C1353" s="16"/>
      <c r="D1353" s="15"/>
      <c r="E1353" s="11" t="str">
        <f aca="false">IF(D1353="","",IFERROR(INDEX(Players!$C$5:$C$304,MATCH(D1353,Players!$B$5:$B$304,0)),""))</f>
        <v/>
      </c>
      <c r="F1353" s="22" t="str">
        <f aca="false">IF(D1353="","",IF(COUNTIFS($B$5:$B$2004,B1353,$D$5:$D$2004,D1353)&gt;1,"DUPLICATE",IF(ISNA(MATCH(D1353,Players!$B$5:$B$304,0)),"UID not found",IF(INDEX(Players!$H$5:$H$304,MATCH(D1353,Players!$B$5:$B$304,0))&lt;0,"LOW BALANCE","OK"))))</f>
        <v/>
      </c>
      <c r="G1353" s="1"/>
      <c r="H1353" s="1"/>
      <c r="I1353" s="1"/>
    </row>
    <row r="1354" customFormat="false" ht="21.75" hidden="false" customHeight="true" outlineLevel="0" collapsed="false">
      <c r="A1354" s="1"/>
      <c r="B1354" s="16"/>
      <c r="C1354" s="16"/>
      <c r="D1354" s="15"/>
      <c r="E1354" s="11" t="str">
        <f aca="false">IF(D1354="","",IFERROR(INDEX(Players!$C$5:$C$304,MATCH(D1354,Players!$B$5:$B$304,0)),""))</f>
        <v/>
      </c>
      <c r="F1354" s="22" t="str">
        <f aca="false">IF(D1354="","",IF(COUNTIFS($B$5:$B$2004,B1354,$D$5:$D$2004,D1354)&gt;1,"DUPLICATE",IF(ISNA(MATCH(D1354,Players!$B$5:$B$304,0)),"UID not found",IF(INDEX(Players!$H$5:$H$304,MATCH(D1354,Players!$B$5:$B$304,0))&lt;0,"LOW BALANCE","OK"))))</f>
        <v/>
      </c>
      <c r="G1354" s="1"/>
      <c r="H1354" s="1"/>
      <c r="I1354" s="1"/>
    </row>
    <row r="1355" customFormat="false" ht="21.75" hidden="false" customHeight="true" outlineLevel="0" collapsed="false">
      <c r="A1355" s="1"/>
      <c r="B1355" s="16"/>
      <c r="C1355" s="16"/>
      <c r="D1355" s="15"/>
      <c r="E1355" s="11" t="str">
        <f aca="false">IF(D1355="","",IFERROR(INDEX(Players!$C$5:$C$304,MATCH(D1355,Players!$B$5:$B$304,0)),""))</f>
        <v/>
      </c>
      <c r="F1355" s="22" t="str">
        <f aca="false">IF(D1355="","",IF(COUNTIFS($B$5:$B$2004,B1355,$D$5:$D$2004,D1355)&gt;1,"DUPLICATE",IF(ISNA(MATCH(D1355,Players!$B$5:$B$304,0)),"UID not found",IF(INDEX(Players!$H$5:$H$304,MATCH(D1355,Players!$B$5:$B$304,0))&lt;0,"LOW BALANCE","OK"))))</f>
        <v/>
      </c>
      <c r="G1355" s="1"/>
      <c r="H1355" s="1"/>
      <c r="I1355" s="1"/>
    </row>
    <row r="1356" customFormat="false" ht="21.75" hidden="false" customHeight="true" outlineLevel="0" collapsed="false">
      <c r="A1356" s="1"/>
      <c r="B1356" s="16"/>
      <c r="C1356" s="16"/>
      <c r="D1356" s="15"/>
      <c r="E1356" s="11" t="str">
        <f aca="false">IF(D1356="","",IFERROR(INDEX(Players!$C$5:$C$304,MATCH(D1356,Players!$B$5:$B$304,0)),""))</f>
        <v/>
      </c>
      <c r="F1356" s="22" t="str">
        <f aca="false">IF(D1356="","",IF(COUNTIFS($B$5:$B$2004,B1356,$D$5:$D$2004,D1356)&gt;1,"DUPLICATE",IF(ISNA(MATCH(D1356,Players!$B$5:$B$304,0)),"UID not found",IF(INDEX(Players!$H$5:$H$304,MATCH(D1356,Players!$B$5:$B$304,0))&lt;0,"LOW BALANCE","OK"))))</f>
        <v/>
      </c>
      <c r="G1356" s="1"/>
      <c r="H1356" s="1"/>
      <c r="I1356" s="1"/>
    </row>
    <row r="1357" customFormat="false" ht="21.75" hidden="false" customHeight="true" outlineLevel="0" collapsed="false">
      <c r="A1357" s="1"/>
      <c r="B1357" s="16"/>
      <c r="C1357" s="16"/>
      <c r="D1357" s="15"/>
      <c r="E1357" s="11" t="str">
        <f aca="false">IF(D1357="","",IFERROR(INDEX(Players!$C$5:$C$304,MATCH(D1357,Players!$B$5:$B$304,0)),""))</f>
        <v/>
      </c>
      <c r="F1357" s="22" t="str">
        <f aca="false">IF(D1357="","",IF(COUNTIFS($B$5:$B$2004,B1357,$D$5:$D$2004,D1357)&gt;1,"DUPLICATE",IF(ISNA(MATCH(D1357,Players!$B$5:$B$304,0)),"UID not found",IF(INDEX(Players!$H$5:$H$304,MATCH(D1357,Players!$B$5:$B$304,0))&lt;0,"LOW BALANCE","OK"))))</f>
        <v/>
      </c>
      <c r="G1357" s="1"/>
      <c r="H1357" s="1"/>
      <c r="I1357" s="1"/>
    </row>
    <row r="1358" customFormat="false" ht="21.75" hidden="false" customHeight="true" outlineLevel="0" collapsed="false">
      <c r="A1358" s="1"/>
      <c r="B1358" s="16"/>
      <c r="C1358" s="16"/>
      <c r="D1358" s="15"/>
      <c r="E1358" s="11" t="str">
        <f aca="false">IF(D1358="","",IFERROR(INDEX(Players!$C$5:$C$304,MATCH(D1358,Players!$B$5:$B$304,0)),""))</f>
        <v/>
      </c>
      <c r="F1358" s="22" t="str">
        <f aca="false">IF(D1358="","",IF(COUNTIFS($B$5:$B$2004,B1358,$D$5:$D$2004,D1358)&gt;1,"DUPLICATE",IF(ISNA(MATCH(D1358,Players!$B$5:$B$304,0)),"UID not found",IF(INDEX(Players!$H$5:$H$304,MATCH(D1358,Players!$B$5:$B$304,0))&lt;0,"LOW BALANCE","OK"))))</f>
        <v/>
      </c>
      <c r="G1358" s="1"/>
      <c r="H1358" s="1"/>
      <c r="I1358" s="1"/>
    </row>
    <row r="1359" customFormat="false" ht="21.75" hidden="false" customHeight="true" outlineLevel="0" collapsed="false">
      <c r="A1359" s="1"/>
      <c r="B1359" s="16"/>
      <c r="C1359" s="16"/>
      <c r="D1359" s="15"/>
      <c r="E1359" s="11" t="str">
        <f aca="false">IF(D1359="","",IFERROR(INDEX(Players!$C$5:$C$304,MATCH(D1359,Players!$B$5:$B$304,0)),""))</f>
        <v/>
      </c>
      <c r="F1359" s="22" t="str">
        <f aca="false">IF(D1359="","",IF(COUNTIFS($B$5:$B$2004,B1359,$D$5:$D$2004,D1359)&gt;1,"DUPLICATE",IF(ISNA(MATCH(D1359,Players!$B$5:$B$304,0)),"UID not found",IF(INDEX(Players!$H$5:$H$304,MATCH(D1359,Players!$B$5:$B$304,0))&lt;0,"LOW BALANCE","OK"))))</f>
        <v/>
      </c>
      <c r="G1359" s="1"/>
      <c r="H1359" s="1"/>
      <c r="I1359" s="1"/>
    </row>
    <row r="1360" customFormat="false" ht="21.75" hidden="false" customHeight="true" outlineLevel="0" collapsed="false">
      <c r="A1360" s="1"/>
      <c r="B1360" s="16"/>
      <c r="C1360" s="16"/>
      <c r="D1360" s="15"/>
      <c r="E1360" s="11" t="str">
        <f aca="false">IF(D1360="","",IFERROR(INDEX(Players!$C$5:$C$304,MATCH(D1360,Players!$B$5:$B$304,0)),""))</f>
        <v/>
      </c>
      <c r="F1360" s="22" t="str">
        <f aca="false">IF(D1360="","",IF(COUNTIFS($B$5:$B$2004,B1360,$D$5:$D$2004,D1360)&gt;1,"DUPLICATE",IF(ISNA(MATCH(D1360,Players!$B$5:$B$304,0)),"UID not found",IF(INDEX(Players!$H$5:$H$304,MATCH(D1360,Players!$B$5:$B$304,0))&lt;0,"LOW BALANCE","OK"))))</f>
        <v/>
      </c>
      <c r="G1360" s="1"/>
      <c r="H1360" s="1"/>
      <c r="I1360" s="1"/>
    </row>
    <row r="1361" customFormat="false" ht="21.75" hidden="false" customHeight="true" outlineLevel="0" collapsed="false">
      <c r="A1361" s="1"/>
      <c r="B1361" s="16"/>
      <c r="C1361" s="16"/>
      <c r="D1361" s="15"/>
      <c r="E1361" s="11" t="str">
        <f aca="false">IF(D1361="","",IFERROR(INDEX(Players!$C$5:$C$304,MATCH(D1361,Players!$B$5:$B$304,0)),""))</f>
        <v/>
      </c>
      <c r="F1361" s="22" t="str">
        <f aca="false">IF(D1361="","",IF(COUNTIFS($B$5:$B$2004,B1361,$D$5:$D$2004,D1361)&gt;1,"DUPLICATE",IF(ISNA(MATCH(D1361,Players!$B$5:$B$304,0)),"UID not found",IF(INDEX(Players!$H$5:$H$304,MATCH(D1361,Players!$B$5:$B$304,0))&lt;0,"LOW BALANCE","OK"))))</f>
        <v/>
      </c>
      <c r="G1361" s="1"/>
      <c r="H1361" s="1"/>
      <c r="I1361" s="1"/>
    </row>
    <row r="1362" customFormat="false" ht="21.75" hidden="false" customHeight="true" outlineLevel="0" collapsed="false">
      <c r="A1362" s="1"/>
      <c r="B1362" s="16"/>
      <c r="C1362" s="16"/>
      <c r="D1362" s="15"/>
      <c r="E1362" s="11" t="str">
        <f aca="false">IF(D1362="","",IFERROR(INDEX(Players!$C$5:$C$304,MATCH(D1362,Players!$B$5:$B$304,0)),""))</f>
        <v/>
      </c>
      <c r="F1362" s="22" t="str">
        <f aca="false">IF(D1362="","",IF(COUNTIFS($B$5:$B$2004,B1362,$D$5:$D$2004,D1362)&gt;1,"DUPLICATE",IF(ISNA(MATCH(D1362,Players!$B$5:$B$304,0)),"UID not found",IF(INDEX(Players!$H$5:$H$304,MATCH(D1362,Players!$B$5:$B$304,0))&lt;0,"LOW BALANCE","OK"))))</f>
        <v/>
      </c>
      <c r="G1362" s="1"/>
      <c r="H1362" s="1"/>
      <c r="I1362" s="1"/>
    </row>
    <row r="1363" customFormat="false" ht="21.75" hidden="false" customHeight="true" outlineLevel="0" collapsed="false">
      <c r="A1363" s="1"/>
      <c r="B1363" s="16"/>
      <c r="C1363" s="16"/>
      <c r="D1363" s="15"/>
      <c r="E1363" s="11" t="str">
        <f aca="false">IF(D1363="","",IFERROR(INDEX(Players!$C$5:$C$304,MATCH(D1363,Players!$B$5:$B$304,0)),""))</f>
        <v/>
      </c>
      <c r="F1363" s="22" t="str">
        <f aca="false">IF(D1363="","",IF(COUNTIFS($B$5:$B$2004,B1363,$D$5:$D$2004,D1363)&gt;1,"DUPLICATE",IF(ISNA(MATCH(D1363,Players!$B$5:$B$304,0)),"UID not found",IF(INDEX(Players!$H$5:$H$304,MATCH(D1363,Players!$B$5:$B$304,0))&lt;0,"LOW BALANCE","OK"))))</f>
        <v/>
      </c>
      <c r="G1363" s="1"/>
      <c r="H1363" s="1"/>
      <c r="I1363" s="1"/>
    </row>
    <row r="1364" customFormat="false" ht="21.75" hidden="false" customHeight="true" outlineLevel="0" collapsed="false">
      <c r="A1364" s="1"/>
      <c r="B1364" s="16"/>
      <c r="C1364" s="16"/>
      <c r="D1364" s="15"/>
      <c r="E1364" s="11" t="str">
        <f aca="false">IF(D1364="","",IFERROR(INDEX(Players!$C$5:$C$304,MATCH(D1364,Players!$B$5:$B$304,0)),""))</f>
        <v/>
      </c>
      <c r="F1364" s="22" t="str">
        <f aca="false">IF(D1364="","",IF(COUNTIFS($B$5:$B$2004,B1364,$D$5:$D$2004,D1364)&gt;1,"DUPLICATE",IF(ISNA(MATCH(D1364,Players!$B$5:$B$304,0)),"UID not found",IF(INDEX(Players!$H$5:$H$304,MATCH(D1364,Players!$B$5:$B$304,0))&lt;0,"LOW BALANCE","OK"))))</f>
        <v/>
      </c>
      <c r="G1364" s="1"/>
      <c r="H1364" s="1"/>
      <c r="I1364" s="1"/>
    </row>
    <row r="1365" customFormat="false" ht="21.75" hidden="false" customHeight="true" outlineLevel="0" collapsed="false">
      <c r="A1365" s="1"/>
      <c r="B1365" s="16"/>
      <c r="C1365" s="16"/>
      <c r="D1365" s="15"/>
      <c r="E1365" s="11" t="str">
        <f aca="false">IF(D1365="","",IFERROR(INDEX(Players!$C$5:$C$304,MATCH(D1365,Players!$B$5:$B$304,0)),""))</f>
        <v/>
      </c>
      <c r="F1365" s="22" t="str">
        <f aca="false">IF(D1365="","",IF(COUNTIFS($B$5:$B$2004,B1365,$D$5:$D$2004,D1365)&gt;1,"DUPLICATE",IF(ISNA(MATCH(D1365,Players!$B$5:$B$304,0)),"UID not found",IF(INDEX(Players!$H$5:$H$304,MATCH(D1365,Players!$B$5:$B$304,0))&lt;0,"LOW BALANCE","OK"))))</f>
        <v/>
      </c>
      <c r="G1365" s="1"/>
      <c r="H1365" s="1"/>
      <c r="I1365" s="1"/>
    </row>
    <row r="1366" customFormat="false" ht="21.75" hidden="false" customHeight="true" outlineLevel="0" collapsed="false">
      <c r="A1366" s="1"/>
      <c r="B1366" s="16"/>
      <c r="C1366" s="16"/>
      <c r="D1366" s="15"/>
      <c r="E1366" s="11" t="str">
        <f aca="false">IF(D1366="","",IFERROR(INDEX(Players!$C$5:$C$304,MATCH(D1366,Players!$B$5:$B$304,0)),""))</f>
        <v/>
      </c>
      <c r="F1366" s="22" t="str">
        <f aca="false">IF(D1366="","",IF(COUNTIFS($B$5:$B$2004,B1366,$D$5:$D$2004,D1366)&gt;1,"DUPLICATE",IF(ISNA(MATCH(D1366,Players!$B$5:$B$304,0)),"UID not found",IF(INDEX(Players!$H$5:$H$304,MATCH(D1366,Players!$B$5:$B$304,0))&lt;0,"LOW BALANCE","OK"))))</f>
        <v/>
      </c>
      <c r="G1366" s="1"/>
      <c r="H1366" s="1"/>
      <c r="I1366" s="1"/>
    </row>
    <row r="1367" customFormat="false" ht="21.75" hidden="false" customHeight="true" outlineLevel="0" collapsed="false">
      <c r="A1367" s="1"/>
      <c r="B1367" s="16"/>
      <c r="C1367" s="16"/>
      <c r="D1367" s="15"/>
      <c r="E1367" s="11" t="str">
        <f aca="false">IF(D1367="","",IFERROR(INDEX(Players!$C$5:$C$304,MATCH(D1367,Players!$B$5:$B$304,0)),""))</f>
        <v/>
      </c>
      <c r="F1367" s="22" t="str">
        <f aca="false">IF(D1367="","",IF(COUNTIFS($B$5:$B$2004,B1367,$D$5:$D$2004,D1367)&gt;1,"DUPLICATE",IF(ISNA(MATCH(D1367,Players!$B$5:$B$304,0)),"UID not found",IF(INDEX(Players!$H$5:$H$304,MATCH(D1367,Players!$B$5:$B$304,0))&lt;0,"LOW BALANCE","OK"))))</f>
        <v/>
      </c>
      <c r="G1367" s="1"/>
      <c r="H1367" s="1"/>
      <c r="I1367" s="1"/>
    </row>
    <row r="1368" customFormat="false" ht="21.75" hidden="false" customHeight="true" outlineLevel="0" collapsed="false">
      <c r="A1368" s="1"/>
      <c r="B1368" s="16"/>
      <c r="C1368" s="16"/>
      <c r="D1368" s="15"/>
      <c r="E1368" s="11" t="str">
        <f aca="false">IF(D1368="","",IFERROR(INDEX(Players!$C$5:$C$304,MATCH(D1368,Players!$B$5:$B$304,0)),""))</f>
        <v/>
      </c>
      <c r="F1368" s="22" t="str">
        <f aca="false">IF(D1368="","",IF(COUNTIFS($B$5:$B$2004,B1368,$D$5:$D$2004,D1368)&gt;1,"DUPLICATE",IF(ISNA(MATCH(D1368,Players!$B$5:$B$304,0)),"UID not found",IF(INDEX(Players!$H$5:$H$304,MATCH(D1368,Players!$B$5:$B$304,0))&lt;0,"LOW BALANCE","OK"))))</f>
        <v/>
      </c>
      <c r="G1368" s="1"/>
      <c r="H1368" s="1"/>
      <c r="I1368" s="1"/>
    </row>
    <row r="1369" customFormat="false" ht="21.75" hidden="false" customHeight="true" outlineLevel="0" collapsed="false">
      <c r="A1369" s="1"/>
      <c r="B1369" s="16"/>
      <c r="C1369" s="16"/>
      <c r="D1369" s="15"/>
      <c r="E1369" s="11" t="str">
        <f aca="false">IF(D1369="","",IFERROR(INDEX(Players!$C$5:$C$304,MATCH(D1369,Players!$B$5:$B$304,0)),""))</f>
        <v/>
      </c>
      <c r="F1369" s="22" t="str">
        <f aca="false">IF(D1369="","",IF(COUNTIFS($B$5:$B$2004,B1369,$D$5:$D$2004,D1369)&gt;1,"DUPLICATE",IF(ISNA(MATCH(D1369,Players!$B$5:$B$304,0)),"UID not found",IF(INDEX(Players!$H$5:$H$304,MATCH(D1369,Players!$B$5:$B$304,0))&lt;0,"LOW BALANCE","OK"))))</f>
        <v/>
      </c>
      <c r="G1369" s="1"/>
      <c r="H1369" s="1"/>
      <c r="I1369" s="1"/>
    </row>
    <row r="1370" customFormat="false" ht="21.75" hidden="false" customHeight="true" outlineLevel="0" collapsed="false">
      <c r="A1370" s="1"/>
      <c r="B1370" s="16"/>
      <c r="C1370" s="16"/>
      <c r="D1370" s="15"/>
      <c r="E1370" s="11" t="str">
        <f aca="false">IF(D1370="","",IFERROR(INDEX(Players!$C$5:$C$304,MATCH(D1370,Players!$B$5:$B$304,0)),""))</f>
        <v/>
      </c>
      <c r="F1370" s="22" t="str">
        <f aca="false">IF(D1370="","",IF(COUNTIFS($B$5:$B$2004,B1370,$D$5:$D$2004,D1370)&gt;1,"DUPLICATE",IF(ISNA(MATCH(D1370,Players!$B$5:$B$304,0)),"UID not found",IF(INDEX(Players!$H$5:$H$304,MATCH(D1370,Players!$B$5:$B$304,0))&lt;0,"LOW BALANCE","OK"))))</f>
        <v/>
      </c>
      <c r="G1370" s="1"/>
      <c r="H1370" s="1"/>
      <c r="I1370" s="1"/>
    </row>
    <row r="1371" customFormat="false" ht="21.75" hidden="false" customHeight="true" outlineLevel="0" collapsed="false">
      <c r="A1371" s="1"/>
      <c r="B1371" s="16"/>
      <c r="C1371" s="16"/>
      <c r="D1371" s="15"/>
      <c r="E1371" s="11" t="str">
        <f aca="false">IF(D1371="","",IFERROR(INDEX(Players!$C$5:$C$304,MATCH(D1371,Players!$B$5:$B$304,0)),""))</f>
        <v/>
      </c>
      <c r="F1371" s="22" t="str">
        <f aca="false">IF(D1371="","",IF(COUNTIFS($B$5:$B$2004,B1371,$D$5:$D$2004,D1371)&gt;1,"DUPLICATE",IF(ISNA(MATCH(D1371,Players!$B$5:$B$304,0)),"UID not found",IF(INDEX(Players!$H$5:$H$304,MATCH(D1371,Players!$B$5:$B$304,0))&lt;0,"LOW BALANCE","OK"))))</f>
        <v/>
      </c>
      <c r="G1371" s="1"/>
      <c r="H1371" s="1"/>
      <c r="I1371" s="1"/>
    </row>
    <row r="1372" customFormat="false" ht="21.75" hidden="false" customHeight="true" outlineLevel="0" collapsed="false">
      <c r="A1372" s="1"/>
      <c r="B1372" s="16"/>
      <c r="C1372" s="16"/>
      <c r="D1372" s="15"/>
      <c r="E1372" s="11" t="str">
        <f aca="false">IF(D1372="","",IFERROR(INDEX(Players!$C$5:$C$304,MATCH(D1372,Players!$B$5:$B$304,0)),""))</f>
        <v/>
      </c>
      <c r="F1372" s="22" t="str">
        <f aca="false">IF(D1372="","",IF(COUNTIFS($B$5:$B$2004,B1372,$D$5:$D$2004,D1372)&gt;1,"DUPLICATE",IF(ISNA(MATCH(D1372,Players!$B$5:$B$304,0)),"UID not found",IF(INDEX(Players!$H$5:$H$304,MATCH(D1372,Players!$B$5:$B$304,0))&lt;0,"LOW BALANCE","OK"))))</f>
        <v/>
      </c>
      <c r="G1372" s="1"/>
      <c r="H1372" s="1"/>
      <c r="I1372" s="1"/>
    </row>
    <row r="1373" customFormat="false" ht="21.75" hidden="false" customHeight="true" outlineLevel="0" collapsed="false">
      <c r="A1373" s="1"/>
      <c r="B1373" s="16"/>
      <c r="C1373" s="16"/>
      <c r="D1373" s="15"/>
      <c r="E1373" s="11" t="str">
        <f aca="false">IF(D1373="","",IFERROR(INDEX(Players!$C$5:$C$304,MATCH(D1373,Players!$B$5:$B$304,0)),""))</f>
        <v/>
      </c>
      <c r="F1373" s="22" t="str">
        <f aca="false">IF(D1373="","",IF(COUNTIFS($B$5:$B$2004,B1373,$D$5:$D$2004,D1373)&gt;1,"DUPLICATE",IF(ISNA(MATCH(D1373,Players!$B$5:$B$304,0)),"UID not found",IF(INDEX(Players!$H$5:$H$304,MATCH(D1373,Players!$B$5:$B$304,0))&lt;0,"LOW BALANCE","OK"))))</f>
        <v/>
      </c>
      <c r="G1373" s="1"/>
      <c r="H1373" s="1"/>
      <c r="I1373" s="1"/>
    </row>
    <row r="1374" customFormat="false" ht="21.75" hidden="false" customHeight="true" outlineLevel="0" collapsed="false">
      <c r="A1374" s="1"/>
      <c r="B1374" s="16"/>
      <c r="C1374" s="16"/>
      <c r="D1374" s="15"/>
      <c r="E1374" s="11" t="str">
        <f aca="false">IF(D1374="","",IFERROR(INDEX(Players!$C$5:$C$304,MATCH(D1374,Players!$B$5:$B$304,0)),""))</f>
        <v/>
      </c>
      <c r="F1374" s="22" t="str">
        <f aca="false">IF(D1374="","",IF(COUNTIFS($B$5:$B$2004,B1374,$D$5:$D$2004,D1374)&gt;1,"DUPLICATE",IF(ISNA(MATCH(D1374,Players!$B$5:$B$304,0)),"UID not found",IF(INDEX(Players!$H$5:$H$304,MATCH(D1374,Players!$B$5:$B$304,0))&lt;0,"LOW BALANCE","OK"))))</f>
        <v/>
      </c>
      <c r="G1374" s="1"/>
      <c r="H1374" s="1"/>
      <c r="I1374" s="1"/>
    </row>
    <row r="1375" customFormat="false" ht="21.75" hidden="false" customHeight="true" outlineLevel="0" collapsed="false">
      <c r="A1375" s="1"/>
      <c r="B1375" s="16"/>
      <c r="C1375" s="16"/>
      <c r="D1375" s="15"/>
      <c r="E1375" s="11" t="str">
        <f aca="false">IF(D1375="","",IFERROR(INDEX(Players!$C$5:$C$304,MATCH(D1375,Players!$B$5:$B$304,0)),""))</f>
        <v/>
      </c>
      <c r="F1375" s="22" t="str">
        <f aca="false">IF(D1375="","",IF(COUNTIFS($B$5:$B$2004,B1375,$D$5:$D$2004,D1375)&gt;1,"DUPLICATE",IF(ISNA(MATCH(D1375,Players!$B$5:$B$304,0)),"UID not found",IF(INDEX(Players!$H$5:$H$304,MATCH(D1375,Players!$B$5:$B$304,0))&lt;0,"LOW BALANCE","OK"))))</f>
        <v/>
      </c>
      <c r="G1375" s="1"/>
      <c r="H1375" s="1"/>
      <c r="I1375" s="1"/>
    </row>
    <row r="1376" customFormat="false" ht="21.75" hidden="false" customHeight="true" outlineLevel="0" collapsed="false">
      <c r="A1376" s="1"/>
      <c r="B1376" s="16"/>
      <c r="C1376" s="16"/>
      <c r="D1376" s="15"/>
      <c r="E1376" s="11" t="str">
        <f aca="false">IF(D1376="","",IFERROR(INDEX(Players!$C$5:$C$304,MATCH(D1376,Players!$B$5:$B$304,0)),""))</f>
        <v/>
      </c>
      <c r="F1376" s="22" t="str">
        <f aca="false">IF(D1376="","",IF(COUNTIFS($B$5:$B$2004,B1376,$D$5:$D$2004,D1376)&gt;1,"DUPLICATE",IF(ISNA(MATCH(D1376,Players!$B$5:$B$304,0)),"UID not found",IF(INDEX(Players!$H$5:$H$304,MATCH(D1376,Players!$B$5:$B$304,0))&lt;0,"LOW BALANCE","OK"))))</f>
        <v/>
      </c>
      <c r="G1376" s="1"/>
      <c r="H1376" s="1"/>
      <c r="I1376" s="1"/>
    </row>
    <row r="1377" customFormat="false" ht="21.75" hidden="false" customHeight="true" outlineLevel="0" collapsed="false">
      <c r="A1377" s="1"/>
      <c r="B1377" s="16"/>
      <c r="C1377" s="16"/>
      <c r="D1377" s="15"/>
      <c r="E1377" s="11" t="str">
        <f aca="false">IF(D1377="","",IFERROR(INDEX(Players!$C$5:$C$304,MATCH(D1377,Players!$B$5:$B$304,0)),""))</f>
        <v/>
      </c>
      <c r="F1377" s="22" t="str">
        <f aca="false">IF(D1377="","",IF(COUNTIFS($B$5:$B$2004,B1377,$D$5:$D$2004,D1377)&gt;1,"DUPLICATE",IF(ISNA(MATCH(D1377,Players!$B$5:$B$304,0)),"UID not found",IF(INDEX(Players!$H$5:$H$304,MATCH(D1377,Players!$B$5:$B$304,0))&lt;0,"LOW BALANCE","OK"))))</f>
        <v/>
      </c>
      <c r="G1377" s="1"/>
      <c r="H1377" s="1"/>
      <c r="I1377" s="1"/>
    </row>
    <row r="1378" customFormat="false" ht="21.75" hidden="false" customHeight="true" outlineLevel="0" collapsed="false">
      <c r="A1378" s="1"/>
      <c r="B1378" s="16"/>
      <c r="C1378" s="16"/>
      <c r="D1378" s="15"/>
      <c r="E1378" s="11" t="str">
        <f aca="false">IF(D1378="","",IFERROR(INDEX(Players!$C$5:$C$304,MATCH(D1378,Players!$B$5:$B$304,0)),""))</f>
        <v/>
      </c>
      <c r="F1378" s="22" t="str">
        <f aca="false">IF(D1378="","",IF(COUNTIFS($B$5:$B$2004,B1378,$D$5:$D$2004,D1378)&gt;1,"DUPLICATE",IF(ISNA(MATCH(D1378,Players!$B$5:$B$304,0)),"UID not found",IF(INDEX(Players!$H$5:$H$304,MATCH(D1378,Players!$B$5:$B$304,0))&lt;0,"LOW BALANCE","OK"))))</f>
        <v/>
      </c>
      <c r="G1378" s="1"/>
      <c r="H1378" s="1"/>
      <c r="I1378" s="1"/>
    </row>
    <row r="1379" customFormat="false" ht="21.75" hidden="false" customHeight="true" outlineLevel="0" collapsed="false">
      <c r="A1379" s="1"/>
      <c r="B1379" s="16"/>
      <c r="C1379" s="16"/>
      <c r="D1379" s="15"/>
      <c r="E1379" s="11" t="str">
        <f aca="false">IF(D1379="","",IFERROR(INDEX(Players!$C$5:$C$304,MATCH(D1379,Players!$B$5:$B$304,0)),""))</f>
        <v/>
      </c>
      <c r="F1379" s="22" t="str">
        <f aca="false">IF(D1379="","",IF(COUNTIFS($B$5:$B$2004,B1379,$D$5:$D$2004,D1379)&gt;1,"DUPLICATE",IF(ISNA(MATCH(D1379,Players!$B$5:$B$304,0)),"UID not found",IF(INDEX(Players!$H$5:$H$304,MATCH(D1379,Players!$B$5:$B$304,0))&lt;0,"LOW BALANCE","OK"))))</f>
        <v/>
      </c>
      <c r="G1379" s="1"/>
      <c r="H1379" s="1"/>
      <c r="I1379" s="1"/>
    </row>
    <row r="1380" customFormat="false" ht="21.75" hidden="false" customHeight="true" outlineLevel="0" collapsed="false">
      <c r="A1380" s="1"/>
      <c r="B1380" s="16"/>
      <c r="C1380" s="16"/>
      <c r="D1380" s="15"/>
      <c r="E1380" s="11" t="str">
        <f aca="false">IF(D1380="","",IFERROR(INDEX(Players!$C$5:$C$304,MATCH(D1380,Players!$B$5:$B$304,0)),""))</f>
        <v/>
      </c>
      <c r="F1380" s="22" t="str">
        <f aca="false">IF(D1380="","",IF(COUNTIFS($B$5:$B$2004,B1380,$D$5:$D$2004,D1380)&gt;1,"DUPLICATE",IF(ISNA(MATCH(D1380,Players!$B$5:$B$304,0)),"UID not found",IF(INDEX(Players!$H$5:$H$304,MATCH(D1380,Players!$B$5:$B$304,0))&lt;0,"LOW BALANCE","OK"))))</f>
        <v/>
      </c>
      <c r="G1380" s="1"/>
      <c r="H1380" s="1"/>
      <c r="I1380" s="1"/>
    </row>
    <row r="1381" customFormat="false" ht="21.75" hidden="false" customHeight="true" outlineLevel="0" collapsed="false">
      <c r="A1381" s="1"/>
      <c r="B1381" s="16"/>
      <c r="C1381" s="16"/>
      <c r="D1381" s="15"/>
      <c r="E1381" s="11" t="str">
        <f aca="false">IF(D1381="","",IFERROR(INDEX(Players!$C$5:$C$304,MATCH(D1381,Players!$B$5:$B$304,0)),""))</f>
        <v/>
      </c>
      <c r="F1381" s="22" t="str">
        <f aca="false">IF(D1381="","",IF(COUNTIFS($B$5:$B$2004,B1381,$D$5:$D$2004,D1381)&gt;1,"DUPLICATE",IF(ISNA(MATCH(D1381,Players!$B$5:$B$304,0)),"UID not found",IF(INDEX(Players!$H$5:$H$304,MATCH(D1381,Players!$B$5:$B$304,0))&lt;0,"LOW BALANCE","OK"))))</f>
        <v/>
      </c>
      <c r="G1381" s="1"/>
      <c r="H1381" s="1"/>
      <c r="I1381" s="1"/>
    </row>
    <row r="1382" customFormat="false" ht="21.75" hidden="false" customHeight="true" outlineLevel="0" collapsed="false">
      <c r="A1382" s="1"/>
      <c r="B1382" s="16"/>
      <c r="C1382" s="16"/>
      <c r="D1382" s="15"/>
      <c r="E1382" s="11" t="str">
        <f aca="false">IF(D1382="","",IFERROR(INDEX(Players!$C$5:$C$304,MATCH(D1382,Players!$B$5:$B$304,0)),""))</f>
        <v/>
      </c>
      <c r="F1382" s="22" t="str">
        <f aca="false">IF(D1382="","",IF(COUNTIFS($B$5:$B$2004,B1382,$D$5:$D$2004,D1382)&gt;1,"DUPLICATE",IF(ISNA(MATCH(D1382,Players!$B$5:$B$304,0)),"UID not found",IF(INDEX(Players!$H$5:$H$304,MATCH(D1382,Players!$B$5:$B$304,0))&lt;0,"LOW BALANCE","OK"))))</f>
        <v/>
      </c>
      <c r="G1382" s="1"/>
      <c r="H1382" s="1"/>
      <c r="I1382" s="1"/>
    </row>
    <row r="1383" customFormat="false" ht="21.75" hidden="false" customHeight="true" outlineLevel="0" collapsed="false">
      <c r="A1383" s="1"/>
      <c r="B1383" s="16"/>
      <c r="C1383" s="16"/>
      <c r="D1383" s="15"/>
      <c r="E1383" s="11" t="str">
        <f aca="false">IF(D1383="","",IFERROR(INDEX(Players!$C$5:$C$304,MATCH(D1383,Players!$B$5:$B$304,0)),""))</f>
        <v/>
      </c>
      <c r="F1383" s="22" t="str">
        <f aca="false">IF(D1383="","",IF(COUNTIFS($B$5:$B$2004,B1383,$D$5:$D$2004,D1383)&gt;1,"DUPLICATE",IF(ISNA(MATCH(D1383,Players!$B$5:$B$304,0)),"UID not found",IF(INDEX(Players!$H$5:$H$304,MATCH(D1383,Players!$B$5:$B$304,0))&lt;0,"LOW BALANCE","OK"))))</f>
        <v/>
      </c>
      <c r="G1383" s="1"/>
      <c r="H1383" s="1"/>
      <c r="I1383" s="1"/>
    </row>
    <row r="1384" customFormat="false" ht="21.75" hidden="false" customHeight="true" outlineLevel="0" collapsed="false">
      <c r="A1384" s="1"/>
      <c r="B1384" s="16"/>
      <c r="C1384" s="16"/>
      <c r="D1384" s="15"/>
      <c r="E1384" s="11" t="str">
        <f aca="false">IF(D1384="","",IFERROR(INDEX(Players!$C$5:$C$304,MATCH(D1384,Players!$B$5:$B$304,0)),""))</f>
        <v/>
      </c>
      <c r="F1384" s="22" t="str">
        <f aca="false">IF(D1384="","",IF(COUNTIFS($B$5:$B$2004,B1384,$D$5:$D$2004,D1384)&gt;1,"DUPLICATE",IF(ISNA(MATCH(D1384,Players!$B$5:$B$304,0)),"UID not found",IF(INDEX(Players!$H$5:$H$304,MATCH(D1384,Players!$B$5:$B$304,0))&lt;0,"LOW BALANCE","OK"))))</f>
        <v/>
      </c>
      <c r="G1384" s="1"/>
      <c r="H1384" s="1"/>
      <c r="I1384" s="1"/>
    </row>
    <row r="1385" customFormat="false" ht="21.75" hidden="false" customHeight="true" outlineLevel="0" collapsed="false">
      <c r="A1385" s="1"/>
      <c r="B1385" s="16"/>
      <c r="C1385" s="16"/>
      <c r="D1385" s="15"/>
      <c r="E1385" s="11" t="str">
        <f aca="false">IF(D1385="","",IFERROR(INDEX(Players!$C$5:$C$304,MATCH(D1385,Players!$B$5:$B$304,0)),""))</f>
        <v/>
      </c>
      <c r="F1385" s="22" t="str">
        <f aca="false">IF(D1385="","",IF(COUNTIFS($B$5:$B$2004,B1385,$D$5:$D$2004,D1385)&gt;1,"DUPLICATE",IF(ISNA(MATCH(D1385,Players!$B$5:$B$304,0)),"UID not found",IF(INDEX(Players!$H$5:$H$304,MATCH(D1385,Players!$B$5:$B$304,0))&lt;0,"LOW BALANCE","OK"))))</f>
        <v/>
      </c>
      <c r="G1385" s="1"/>
      <c r="H1385" s="1"/>
      <c r="I1385" s="1"/>
    </row>
    <row r="1386" customFormat="false" ht="21.75" hidden="false" customHeight="true" outlineLevel="0" collapsed="false">
      <c r="A1386" s="1"/>
      <c r="B1386" s="16"/>
      <c r="C1386" s="16"/>
      <c r="D1386" s="15"/>
      <c r="E1386" s="11" t="str">
        <f aca="false">IF(D1386="","",IFERROR(INDEX(Players!$C$5:$C$304,MATCH(D1386,Players!$B$5:$B$304,0)),""))</f>
        <v/>
      </c>
      <c r="F1386" s="22" t="str">
        <f aca="false">IF(D1386="","",IF(COUNTIFS($B$5:$B$2004,B1386,$D$5:$D$2004,D1386)&gt;1,"DUPLICATE",IF(ISNA(MATCH(D1386,Players!$B$5:$B$304,0)),"UID not found",IF(INDEX(Players!$H$5:$H$304,MATCH(D1386,Players!$B$5:$B$304,0))&lt;0,"LOW BALANCE","OK"))))</f>
        <v/>
      </c>
      <c r="G1386" s="1"/>
      <c r="H1386" s="1"/>
      <c r="I1386" s="1"/>
    </row>
    <row r="1387" customFormat="false" ht="21.75" hidden="false" customHeight="true" outlineLevel="0" collapsed="false">
      <c r="A1387" s="1"/>
      <c r="B1387" s="16"/>
      <c r="C1387" s="16"/>
      <c r="D1387" s="15"/>
      <c r="E1387" s="11" t="str">
        <f aca="false">IF(D1387="","",IFERROR(INDEX(Players!$C$5:$C$304,MATCH(D1387,Players!$B$5:$B$304,0)),""))</f>
        <v/>
      </c>
      <c r="F1387" s="22" t="str">
        <f aca="false">IF(D1387="","",IF(COUNTIFS($B$5:$B$2004,B1387,$D$5:$D$2004,D1387)&gt;1,"DUPLICATE",IF(ISNA(MATCH(D1387,Players!$B$5:$B$304,0)),"UID not found",IF(INDEX(Players!$H$5:$H$304,MATCH(D1387,Players!$B$5:$B$304,0))&lt;0,"LOW BALANCE","OK"))))</f>
        <v/>
      </c>
      <c r="G1387" s="1"/>
      <c r="H1387" s="1"/>
      <c r="I1387" s="1"/>
    </row>
    <row r="1388" customFormat="false" ht="21.75" hidden="false" customHeight="true" outlineLevel="0" collapsed="false">
      <c r="A1388" s="1"/>
      <c r="B1388" s="16"/>
      <c r="C1388" s="16"/>
      <c r="D1388" s="15"/>
      <c r="E1388" s="11" t="str">
        <f aca="false">IF(D1388="","",IFERROR(INDEX(Players!$C$5:$C$304,MATCH(D1388,Players!$B$5:$B$304,0)),""))</f>
        <v/>
      </c>
      <c r="F1388" s="22" t="str">
        <f aca="false">IF(D1388="","",IF(COUNTIFS($B$5:$B$2004,B1388,$D$5:$D$2004,D1388)&gt;1,"DUPLICATE",IF(ISNA(MATCH(D1388,Players!$B$5:$B$304,0)),"UID not found",IF(INDEX(Players!$H$5:$H$304,MATCH(D1388,Players!$B$5:$B$304,0))&lt;0,"LOW BALANCE","OK"))))</f>
        <v/>
      </c>
      <c r="G1388" s="1"/>
      <c r="H1388" s="1"/>
      <c r="I1388" s="1"/>
    </row>
    <row r="1389" customFormat="false" ht="21.75" hidden="false" customHeight="true" outlineLevel="0" collapsed="false">
      <c r="A1389" s="1"/>
      <c r="B1389" s="16"/>
      <c r="C1389" s="16"/>
      <c r="D1389" s="15"/>
      <c r="E1389" s="11" t="str">
        <f aca="false">IF(D1389="","",IFERROR(INDEX(Players!$C$5:$C$304,MATCH(D1389,Players!$B$5:$B$304,0)),""))</f>
        <v/>
      </c>
      <c r="F1389" s="22" t="str">
        <f aca="false">IF(D1389="","",IF(COUNTIFS($B$5:$B$2004,B1389,$D$5:$D$2004,D1389)&gt;1,"DUPLICATE",IF(ISNA(MATCH(D1389,Players!$B$5:$B$304,0)),"UID not found",IF(INDEX(Players!$H$5:$H$304,MATCH(D1389,Players!$B$5:$B$304,0))&lt;0,"LOW BALANCE","OK"))))</f>
        <v/>
      </c>
      <c r="G1389" s="1"/>
      <c r="H1389" s="1"/>
      <c r="I1389" s="1"/>
    </row>
    <row r="1390" customFormat="false" ht="21.75" hidden="false" customHeight="true" outlineLevel="0" collapsed="false">
      <c r="A1390" s="1"/>
      <c r="B1390" s="16"/>
      <c r="C1390" s="16"/>
      <c r="D1390" s="15"/>
      <c r="E1390" s="11" t="str">
        <f aca="false">IF(D1390="","",IFERROR(INDEX(Players!$C$5:$C$304,MATCH(D1390,Players!$B$5:$B$304,0)),""))</f>
        <v/>
      </c>
      <c r="F1390" s="22" t="str">
        <f aca="false">IF(D1390="","",IF(COUNTIFS($B$5:$B$2004,B1390,$D$5:$D$2004,D1390)&gt;1,"DUPLICATE",IF(ISNA(MATCH(D1390,Players!$B$5:$B$304,0)),"UID not found",IF(INDEX(Players!$H$5:$H$304,MATCH(D1390,Players!$B$5:$B$304,0))&lt;0,"LOW BALANCE","OK"))))</f>
        <v/>
      </c>
      <c r="G1390" s="1"/>
      <c r="H1390" s="1"/>
      <c r="I1390" s="1"/>
    </row>
    <row r="1391" customFormat="false" ht="21.75" hidden="false" customHeight="true" outlineLevel="0" collapsed="false">
      <c r="A1391" s="1"/>
      <c r="B1391" s="16"/>
      <c r="C1391" s="16"/>
      <c r="D1391" s="15"/>
      <c r="E1391" s="11" t="str">
        <f aca="false">IF(D1391="","",IFERROR(INDEX(Players!$C$5:$C$304,MATCH(D1391,Players!$B$5:$B$304,0)),""))</f>
        <v/>
      </c>
      <c r="F1391" s="22" t="str">
        <f aca="false">IF(D1391="","",IF(COUNTIFS($B$5:$B$2004,B1391,$D$5:$D$2004,D1391)&gt;1,"DUPLICATE",IF(ISNA(MATCH(D1391,Players!$B$5:$B$304,0)),"UID not found",IF(INDEX(Players!$H$5:$H$304,MATCH(D1391,Players!$B$5:$B$304,0))&lt;0,"LOW BALANCE","OK"))))</f>
        <v/>
      </c>
      <c r="G1391" s="1"/>
      <c r="H1391" s="1"/>
      <c r="I1391" s="1"/>
    </row>
    <row r="1392" customFormat="false" ht="21.75" hidden="false" customHeight="true" outlineLevel="0" collapsed="false">
      <c r="A1392" s="1"/>
      <c r="B1392" s="16"/>
      <c r="C1392" s="16"/>
      <c r="D1392" s="15"/>
      <c r="E1392" s="11" t="str">
        <f aca="false">IF(D1392="","",IFERROR(INDEX(Players!$C$5:$C$304,MATCH(D1392,Players!$B$5:$B$304,0)),""))</f>
        <v/>
      </c>
      <c r="F1392" s="22" t="str">
        <f aca="false">IF(D1392="","",IF(COUNTIFS($B$5:$B$2004,B1392,$D$5:$D$2004,D1392)&gt;1,"DUPLICATE",IF(ISNA(MATCH(D1392,Players!$B$5:$B$304,0)),"UID not found",IF(INDEX(Players!$H$5:$H$304,MATCH(D1392,Players!$B$5:$B$304,0))&lt;0,"LOW BALANCE","OK"))))</f>
        <v/>
      </c>
      <c r="G1392" s="1"/>
      <c r="H1392" s="1"/>
      <c r="I1392" s="1"/>
    </row>
    <row r="1393" customFormat="false" ht="21.75" hidden="false" customHeight="true" outlineLevel="0" collapsed="false">
      <c r="A1393" s="1"/>
      <c r="B1393" s="16"/>
      <c r="C1393" s="16"/>
      <c r="D1393" s="15"/>
      <c r="E1393" s="11" t="str">
        <f aca="false">IF(D1393="","",IFERROR(INDEX(Players!$C$5:$C$304,MATCH(D1393,Players!$B$5:$B$304,0)),""))</f>
        <v/>
      </c>
      <c r="F1393" s="22" t="str">
        <f aca="false">IF(D1393="","",IF(COUNTIFS($B$5:$B$2004,B1393,$D$5:$D$2004,D1393)&gt;1,"DUPLICATE",IF(ISNA(MATCH(D1393,Players!$B$5:$B$304,0)),"UID not found",IF(INDEX(Players!$H$5:$H$304,MATCH(D1393,Players!$B$5:$B$304,0))&lt;0,"LOW BALANCE","OK"))))</f>
        <v/>
      </c>
      <c r="G1393" s="1"/>
      <c r="H1393" s="1"/>
      <c r="I1393" s="1"/>
    </row>
    <row r="1394" customFormat="false" ht="21.75" hidden="false" customHeight="true" outlineLevel="0" collapsed="false">
      <c r="A1394" s="1"/>
      <c r="B1394" s="16"/>
      <c r="C1394" s="16"/>
      <c r="D1394" s="15"/>
      <c r="E1394" s="11" t="str">
        <f aca="false">IF(D1394="","",IFERROR(INDEX(Players!$C$5:$C$304,MATCH(D1394,Players!$B$5:$B$304,0)),""))</f>
        <v/>
      </c>
      <c r="F1394" s="22" t="str">
        <f aca="false">IF(D1394="","",IF(COUNTIFS($B$5:$B$2004,B1394,$D$5:$D$2004,D1394)&gt;1,"DUPLICATE",IF(ISNA(MATCH(D1394,Players!$B$5:$B$304,0)),"UID not found",IF(INDEX(Players!$H$5:$H$304,MATCH(D1394,Players!$B$5:$B$304,0))&lt;0,"LOW BALANCE","OK"))))</f>
        <v/>
      </c>
      <c r="G1394" s="1"/>
      <c r="H1394" s="1"/>
      <c r="I1394" s="1"/>
    </row>
    <row r="1395" customFormat="false" ht="21.75" hidden="false" customHeight="true" outlineLevel="0" collapsed="false">
      <c r="A1395" s="1"/>
      <c r="B1395" s="16"/>
      <c r="C1395" s="16"/>
      <c r="D1395" s="15"/>
      <c r="E1395" s="11" t="str">
        <f aca="false">IF(D1395="","",IFERROR(INDEX(Players!$C$5:$C$304,MATCH(D1395,Players!$B$5:$B$304,0)),""))</f>
        <v/>
      </c>
      <c r="F1395" s="22" t="str">
        <f aca="false">IF(D1395="","",IF(COUNTIFS($B$5:$B$2004,B1395,$D$5:$D$2004,D1395)&gt;1,"DUPLICATE",IF(ISNA(MATCH(D1395,Players!$B$5:$B$304,0)),"UID not found",IF(INDEX(Players!$H$5:$H$304,MATCH(D1395,Players!$B$5:$B$304,0))&lt;0,"LOW BALANCE","OK"))))</f>
        <v/>
      </c>
      <c r="G1395" s="1"/>
      <c r="H1395" s="1"/>
      <c r="I1395" s="1"/>
    </row>
    <row r="1396" customFormat="false" ht="21.75" hidden="false" customHeight="true" outlineLevel="0" collapsed="false">
      <c r="A1396" s="1"/>
      <c r="B1396" s="16"/>
      <c r="C1396" s="16"/>
      <c r="D1396" s="15"/>
      <c r="E1396" s="11" t="str">
        <f aca="false">IF(D1396="","",IFERROR(INDEX(Players!$C$5:$C$304,MATCH(D1396,Players!$B$5:$B$304,0)),""))</f>
        <v/>
      </c>
      <c r="F1396" s="22" t="str">
        <f aca="false">IF(D1396="","",IF(COUNTIFS($B$5:$B$2004,B1396,$D$5:$D$2004,D1396)&gt;1,"DUPLICATE",IF(ISNA(MATCH(D1396,Players!$B$5:$B$304,0)),"UID not found",IF(INDEX(Players!$H$5:$H$304,MATCH(D1396,Players!$B$5:$B$304,0))&lt;0,"LOW BALANCE","OK"))))</f>
        <v/>
      </c>
      <c r="G1396" s="1"/>
      <c r="H1396" s="1"/>
      <c r="I1396" s="1"/>
    </row>
    <row r="1397" customFormat="false" ht="21.75" hidden="false" customHeight="true" outlineLevel="0" collapsed="false">
      <c r="A1397" s="1"/>
      <c r="B1397" s="16"/>
      <c r="C1397" s="16"/>
      <c r="D1397" s="15"/>
      <c r="E1397" s="11" t="str">
        <f aca="false">IF(D1397="","",IFERROR(INDEX(Players!$C$5:$C$304,MATCH(D1397,Players!$B$5:$B$304,0)),""))</f>
        <v/>
      </c>
      <c r="F1397" s="22" t="str">
        <f aca="false">IF(D1397="","",IF(COUNTIFS($B$5:$B$2004,B1397,$D$5:$D$2004,D1397)&gt;1,"DUPLICATE",IF(ISNA(MATCH(D1397,Players!$B$5:$B$304,0)),"UID not found",IF(INDEX(Players!$H$5:$H$304,MATCH(D1397,Players!$B$5:$B$304,0))&lt;0,"LOW BALANCE","OK"))))</f>
        <v/>
      </c>
      <c r="G1397" s="1"/>
      <c r="H1397" s="1"/>
      <c r="I1397" s="1"/>
    </row>
    <row r="1398" customFormat="false" ht="21.75" hidden="false" customHeight="true" outlineLevel="0" collapsed="false">
      <c r="A1398" s="1"/>
      <c r="B1398" s="16"/>
      <c r="C1398" s="16"/>
      <c r="D1398" s="15"/>
      <c r="E1398" s="11" t="str">
        <f aca="false">IF(D1398="","",IFERROR(INDEX(Players!$C$5:$C$304,MATCH(D1398,Players!$B$5:$B$304,0)),""))</f>
        <v/>
      </c>
      <c r="F1398" s="22" t="str">
        <f aca="false">IF(D1398="","",IF(COUNTIFS($B$5:$B$2004,B1398,$D$5:$D$2004,D1398)&gt;1,"DUPLICATE",IF(ISNA(MATCH(D1398,Players!$B$5:$B$304,0)),"UID not found",IF(INDEX(Players!$H$5:$H$304,MATCH(D1398,Players!$B$5:$B$304,0))&lt;0,"LOW BALANCE","OK"))))</f>
        <v/>
      </c>
      <c r="G1398" s="1"/>
      <c r="H1398" s="1"/>
      <c r="I1398" s="1"/>
    </row>
    <row r="1399" customFormat="false" ht="21.75" hidden="false" customHeight="true" outlineLevel="0" collapsed="false">
      <c r="A1399" s="1"/>
      <c r="B1399" s="16"/>
      <c r="C1399" s="16"/>
      <c r="D1399" s="15"/>
      <c r="E1399" s="11" t="str">
        <f aca="false">IF(D1399="","",IFERROR(INDEX(Players!$C$5:$C$304,MATCH(D1399,Players!$B$5:$B$304,0)),""))</f>
        <v/>
      </c>
      <c r="F1399" s="22" t="str">
        <f aca="false">IF(D1399="","",IF(COUNTIFS($B$5:$B$2004,B1399,$D$5:$D$2004,D1399)&gt;1,"DUPLICATE",IF(ISNA(MATCH(D1399,Players!$B$5:$B$304,0)),"UID not found",IF(INDEX(Players!$H$5:$H$304,MATCH(D1399,Players!$B$5:$B$304,0))&lt;0,"LOW BALANCE","OK"))))</f>
        <v/>
      </c>
      <c r="G1399" s="1"/>
      <c r="H1399" s="1"/>
      <c r="I1399" s="1"/>
    </row>
    <row r="1400" customFormat="false" ht="21.75" hidden="false" customHeight="true" outlineLevel="0" collapsed="false">
      <c r="A1400" s="1"/>
      <c r="B1400" s="16"/>
      <c r="C1400" s="16"/>
      <c r="D1400" s="15"/>
      <c r="E1400" s="11" t="str">
        <f aca="false">IF(D1400="","",IFERROR(INDEX(Players!$C$5:$C$304,MATCH(D1400,Players!$B$5:$B$304,0)),""))</f>
        <v/>
      </c>
      <c r="F1400" s="22" t="str">
        <f aca="false">IF(D1400="","",IF(COUNTIFS($B$5:$B$2004,B1400,$D$5:$D$2004,D1400)&gt;1,"DUPLICATE",IF(ISNA(MATCH(D1400,Players!$B$5:$B$304,0)),"UID not found",IF(INDEX(Players!$H$5:$H$304,MATCH(D1400,Players!$B$5:$B$304,0))&lt;0,"LOW BALANCE","OK"))))</f>
        <v/>
      </c>
      <c r="G1400" s="1"/>
      <c r="H1400" s="1"/>
      <c r="I1400" s="1"/>
    </row>
    <row r="1401" customFormat="false" ht="21.75" hidden="false" customHeight="true" outlineLevel="0" collapsed="false">
      <c r="A1401" s="1"/>
      <c r="B1401" s="16"/>
      <c r="C1401" s="16"/>
      <c r="D1401" s="15"/>
      <c r="E1401" s="11" t="str">
        <f aca="false">IF(D1401="","",IFERROR(INDEX(Players!$C$5:$C$304,MATCH(D1401,Players!$B$5:$B$304,0)),""))</f>
        <v/>
      </c>
      <c r="F1401" s="22" t="str">
        <f aca="false">IF(D1401="","",IF(COUNTIFS($B$5:$B$2004,B1401,$D$5:$D$2004,D1401)&gt;1,"DUPLICATE",IF(ISNA(MATCH(D1401,Players!$B$5:$B$304,0)),"UID not found",IF(INDEX(Players!$H$5:$H$304,MATCH(D1401,Players!$B$5:$B$304,0))&lt;0,"LOW BALANCE","OK"))))</f>
        <v/>
      </c>
      <c r="G1401" s="1"/>
      <c r="H1401" s="1"/>
      <c r="I1401" s="1"/>
    </row>
    <row r="1402" customFormat="false" ht="21.75" hidden="false" customHeight="true" outlineLevel="0" collapsed="false">
      <c r="A1402" s="1"/>
      <c r="B1402" s="16"/>
      <c r="C1402" s="16"/>
      <c r="D1402" s="15"/>
      <c r="E1402" s="11" t="str">
        <f aca="false">IF(D1402="","",IFERROR(INDEX(Players!$C$5:$C$304,MATCH(D1402,Players!$B$5:$B$304,0)),""))</f>
        <v/>
      </c>
      <c r="F1402" s="22" t="str">
        <f aca="false">IF(D1402="","",IF(COUNTIFS($B$5:$B$2004,B1402,$D$5:$D$2004,D1402)&gt;1,"DUPLICATE",IF(ISNA(MATCH(D1402,Players!$B$5:$B$304,0)),"UID not found",IF(INDEX(Players!$H$5:$H$304,MATCH(D1402,Players!$B$5:$B$304,0))&lt;0,"LOW BALANCE","OK"))))</f>
        <v/>
      </c>
      <c r="G1402" s="1"/>
      <c r="H1402" s="1"/>
      <c r="I1402" s="1"/>
    </row>
    <row r="1403" customFormat="false" ht="21.75" hidden="false" customHeight="true" outlineLevel="0" collapsed="false">
      <c r="A1403" s="1"/>
      <c r="B1403" s="16"/>
      <c r="C1403" s="16"/>
      <c r="D1403" s="15"/>
      <c r="E1403" s="11" t="str">
        <f aca="false">IF(D1403="","",IFERROR(INDEX(Players!$C$5:$C$304,MATCH(D1403,Players!$B$5:$B$304,0)),""))</f>
        <v/>
      </c>
      <c r="F1403" s="22" t="str">
        <f aca="false">IF(D1403="","",IF(COUNTIFS($B$5:$B$2004,B1403,$D$5:$D$2004,D1403)&gt;1,"DUPLICATE",IF(ISNA(MATCH(D1403,Players!$B$5:$B$304,0)),"UID not found",IF(INDEX(Players!$H$5:$H$304,MATCH(D1403,Players!$B$5:$B$304,0))&lt;0,"LOW BALANCE","OK"))))</f>
        <v/>
      </c>
      <c r="G1403" s="1"/>
      <c r="H1403" s="1"/>
      <c r="I1403" s="1"/>
    </row>
    <row r="1404" customFormat="false" ht="21.75" hidden="false" customHeight="true" outlineLevel="0" collapsed="false">
      <c r="A1404" s="1"/>
      <c r="B1404" s="16"/>
      <c r="C1404" s="16"/>
      <c r="D1404" s="15"/>
      <c r="E1404" s="11" t="str">
        <f aca="false">IF(D1404="","",IFERROR(INDEX(Players!$C$5:$C$304,MATCH(D1404,Players!$B$5:$B$304,0)),""))</f>
        <v/>
      </c>
      <c r="F1404" s="22" t="str">
        <f aca="false">IF(D1404="","",IF(COUNTIFS($B$5:$B$2004,B1404,$D$5:$D$2004,D1404)&gt;1,"DUPLICATE",IF(ISNA(MATCH(D1404,Players!$B$5:$B$304,0)),"UID not found",IF(INDEX(Players!$H$5:$H$304,MATCH(D1404,Players!$B$5:$B$304,0))&lt;0,"LOW BALANCE","OK"))))</f>
        <v/>
      </c>
      <c r="G1404" s="1"/>
      <c r="H1404" s="1"/>
      <c r="I1404" s="1"/>
    </row>
    <row r="1405" customFormat="false" ht="21.75" hidden="false" customHeight="true" outlineLevel="0" collapsed="false">
      <c r="A1405" s="1"/>
      <c r="B1405" s="16"/>
      <c r="C1405" s="16"/>
      <c r="D1405" s="15"/>
      <c r="E1405" s="11" t="str">
        <f aca="false">IF(D1405="","",IFERROR(INDEX(Players!$C$5:$C$304,MATCH(D1405,Players!$B$5:$B$304,0)),""))</f>
        <v/>
      </c>
      <c r="F1405" s="22" t="str">
        <f aca="false">IF(D1405="","",IF(COUNTIFS($B$5:$B$2004,B1405,$D$5:$D$2004,D1405)&gt;1,"DUPLICATE",IF(ISNA(MATCH(D1405,Players!$B$5:$B$304,0)),"UID not found",IF(INDEX(Players!$H$5:$H$304,MATCH(D1405,Players!$B$5:$B$304,0))&lt;0,"LOW BALANCE","OK"))))</f>
        <v/>
      </c>
      <c r="G1405" s="1"/>
      <c r="H1405" s="1"/>
      <c r="I1405" s="1"/>
    </row>
    <row r="1406" customFormat="false" ht="21.75" hidden="false" customHeight="true" outlineLevel="0" collapsed="false">
      <c r="A1406" s="1"/>
      <c r="B1406" s="16"/>
      <c r="C1406" s="16"/>
      <c r="D1406" s="15"/>
      <c r="E1406" s="11" t="str">
        <f aca="false">IF(D1406="","",IFERROR(INDEX(Players!$C$5:$C$304,MATCH(D1406,Players!$B$5:$B$304,0)),""))</f>
        <v/>
      </c>
      <c r="F1406" s="22" t="str">
        <f aca="false">IF(D1406="","",IF(COUNTIFS($B$5:$B$2004,B1406,$D$5:$D$2004,D1406)&gt;1,"DUPLICATE",IF(ISNA(MATCH(D1406,Players!$B$5:$B$304,0)),"UID not found",IF(INDEX(Players!$H$5:$H$304,MATCH(D1406,Players!$B$5:$B$304,0))&lt;0,"LOW BALANCE","OK"))))</f>
        <v/>
      </c>
      <c r="G1406" s="1"/>
      <c r="H1406" s="1"/>
      <c r="I1406" s="1"/>
    </row>
    <row r="1407" customFormat="false" ht="21.75" hidden="false" customHeight="true" outlineLevel="0" collapsed="false">
      <c r="A1407" s="1"/>
      <c r="B1407" s="16"/>
      <c r="C1407" s="16"/>
      <c r="D1407" s="15"/>
      <c r="E1407" s="11" t="str">
        <f aca="false">IF(D1407="","",IFERROR(INDEX(Players!$C$5:$C$304,MATCH(D1407,Players!$B$5:$B$304,0)),""))</f>
        <v/>
      </c>
      <c r="F1407" s="22" t="str">
        <f aca="false">IF(D1407="","",IF(COUNTIFS($B$5:$B$2004,B1407,$D$5:$D$2004,D1407)&gt;1,"DUPLICATE",IF(ISNA(MATCH(D1407,Players!$B$5:$B$304,0)),"UID not found",IF(INDEX(Players!$H$5:$H$304,MATCH(D1407,Players!$B$5:$B$304,0))&lt;0,"LOW BALANCE","OK"))))</f>
        <v/>
      </c>
      <c r="G1407" s="1"/>
      <c r="H1407" s="1"/>
      <c r="I1407" s="1"/>
    </row>
    <row r="1408" customFormat="false" ht="21.75" hidden="false" customHeight="true" outlineLevel="0" collapsed="false">
      <c r="A1408" s="1"/>
      <c r="B1408" s="16"/>
      <c r="C1408" s="16"/>
      <c r="D1408" s="15"/>
      <c r="E1408" s="11" t="str">
        <f aca="false">IF(D1408="","",IFERROR(INDEX(Players!$C$5:$C$304,MATCH(D1408,Players!$B$5:$B$304,0)),""))</f>
        <v/>
      </c>
      <c r="F1408" s="22" t="str">
        <f aca="false">IF(D1408="","",IF(COUNTIFS($B$5:$B$2004,B1408,$D$5:$D$2004,D1408)&gt;1,"DUPLICATE",IF(ISNA(MATCH(D1408,Players!$B$5:$B$304,0)),"UID not found",IF(INDEX(Players!$H$5:$H$304,MATCH(D1408,Players!$B$5:$B$304,0))&lt;0,"LOW BALANCE","OK"))))</f>
        <v/>
      </c>
      <c r="G1408" s="1"/>
      <c r="H1408" s="1"/>
      <c r="I1408" s="1"/>
    </row>
    <row r="1409" customFormat="false" ht="21.75" hidden="false" customHeight="true" outlineLevel="0" collapsed="false">
      <c r="A1409" s="1"/>
      <c r="B1409" s="16"/>
      <c r="C1409" s="16"/>
      <c r="D1409" s="15"/>
      <c r="E1409" s="11" t="str">
        <f aca="false">IF(D1409="","",IFERROR(INDEX(Players!$C$5:$C$304,MATCH(D1409,Players!$B$5:$B$304,0)),""))</f>
        <v/>
      </c>
      <c r="F1409" s="22" t="str">
        <f aca="false">IF(D1409="","",IF(COUNTIFS($B$5:$B$2004,B1409,$D$5:$D$2004,D1409)&gt;1,"DUPLICATE",IF(ISNA(MATCH(D1409,Players!$B$5:$B$304,0)),"UID not found",IF(INDEX(Players!$H$5:$H$304,MATCH(D1409,Players!$B$5:$B$304,0))&lt;0,"LOW BALANCE","OK"))))</f>
        <v/>
      </c>
      <c r="G1409" s="1"/>
      <c r="H1409" s="1"/>
      <c r="I1409" s="1"/>
    </row>
    <row r="1410" customFormat="false" ht="21.75" hidden="false" customHeight="true" outlineLevel="0" collapsed="false">
      <c r="A1410" s="1"/>
      <c r="B1410" s="16"/>
      <c r="C1410" s="16"/>
      <c r="D1410" s="15"/>
      <c r="E1410" s="11" t="str">
        <f aca="false">IF(D1410="","",IFERROR(INDEX(Players!$C$5:$C$304,MATCH(D1410,Players!$B$5:$B$304,0)),""))</f>
        <v/>
      </c>
      <c r="F1410" s="22" t="str">
        <f aca="false">IF(D1410="","",IF(COUNTIFS($B$5:$B$2004,B1410,$D$5:$D$2004,D1410)&gt;1,"DUPLICATE",IF(ISNA(MATCH(D1410,Players!$B$5:$B$304,0)),"UID not found",IF(INDEX(Players!$H$5:$H$304,MATCH(D1410,Players!$B$5:$B$304,0))&lt;0,"LOW BALANCE","OK"))))</f>
        <v/>
      </c>
      <c r="G1410" s="1"/>
      <c r="H1410" s="1"/>
      <c r="I1410" s="1"/>
    </row>
    <row r="1411" customFormat="false" ht="21.75" hidden="false" customHeight="true" outlineLevel="0" collapsed="false">
      <c r="A1411" s="1"/>
      <c r="B1411" s="16"/>
      <c r="C1411" s="16"/>
      <c r="D1411" s="15"/>
      <c r="E1411" s="11" t="str">
        <f aca="false">IF(D1411="","",IFERROR(INDEX(Players!$C$5:$C$304,MATCH(D1411,Players!$B$5:$B$304,0)),""))</f>
        <v/>
      </c>
      <c r="F1411" s="22" t="str">
        <f aca="false">IF(D1411="","",IF(COUNTIFS($B$5:$B$2004,B1411,$D$5:$D$2004,D1411)&gt;1,"DUPLICATE",IF(ISNA(MATCH(D1411,Players!$B$5:$B$304,0)),"UID not found",IF(INDEX(Players!$H$5:$H$304,MATCH(D1411,Players!$B$5:$B$304,0))&lt;0,"LOW BALANCE","OK"))))</f>
        <v/>
      </c>
      <c r="G1411" s="1"/>
      <c r="H1411" s="1"/>
      <c r="I1411" s="1"/>
    </row>
    <row r="1412" customFormat="false" ht="21.75" hidden="false" customHeight="true" outlineLevel="0" collapsed="false">
      <c r="A1412" s="1"/>
      <c r="B1412" s="16"/>
      <c r="C1412" s="16"/>
      <c r="D1412" s="15"/>
      <c r="E1412" s="11" t="str">
        <f aca="false">IF(D1412="","",IFERROR(INDEX(Players!$C$5:$C$304,MATCH(D1412,Players!$B$5:$B$304,0)),""))</f>
        <v/>
      </c>
      <c r="F1412" s="22" t="str">
        <f aca="false">IF(D1412="","",IF(COUNTIFS($B$5:$B$2004,B1412,$D$5:$D$2004,D1412)&gt;1,"DUPLICATE",IF(ISNA(MATCH(D1412,Players!$B$5:$B$304,0)),"UID not found",IF(INDEX(Players!$H$5:$H$304,MATCH(D1412,Players!$B$5:$B$304,0))&lt;0,"LOW BALANCE","OK"))))</f>
        <v/>
      </c>
      <c r="G1412" s="1"/>
      <c r="H1412" s="1"/>
      <c r="I1412" s="1"/>
    </row>
    <row r="1413" customFormat="false" ht="21.75" hidden="false" customHeight="true" outlineLevel="0" collapsed="false">
      <c r="A1413" s="1"/>
      <c r="B1413" s="16"/>
      <c r="C1413" s="16"/>
      <c r="D1413" s="15"/>
      <c r="E1413" s="11" t="str">
        <f aca="false">IF(D1413="","",IFERROR(INDEX(Players!$C$5:$C$304,MATCH(D1413,Players!$B$5:$B$304,0)),""))</f>
        <v/>
      </c>
      <c r="F1413" s="22" t="str">
        <f aca="false">IF(D1413="","",IF(COUNTIFS($B$5:$B$2004,B1413,$D$5:$D$2004,D1413)&gt;1,"DUPLICATE",IF(ISNA(MATCH(D1413,Players!$B$5:$B$304,0)),"UID not found",IF(INDEX(Players!$H$5:$H$304,MATCH(D1413,Players!$B$5:$B$304,0))&lt;0,"LOW BALANCE","OK"))))</f>
        <v/>
      </c>
      <c r="G1413" s="1"/>
      <c r="H1413" s="1"/>
      <c r="I1413" s="1"/>
    </row>
    <row r="1414" customFormat="false" ht="21.75" hidden="false" customHeight="true" outlineLevel="0" collapsed="false">
      <c r="A1414" s="1"/>
      <c r="B1414" s="16"/>
      <c r="C1414" s="16"/>
      <c r="D1414" s="15"/>
      <c r="E1414" s="11" t="str">
        <f aca="false">IF(D1414="","",IFERROR(INDEX(Players!$C$5:$C$304,MATCH(D1414,Players!$B$5:$B$304,0)),""))</f>
        <v/>
      </c>
      <c r="F1414" s="22" t="str">
        <f aca="false">IF(D1414="","",IF(COUNTIFS($B$5:$B$2004,B1414,$D$5:$D$2004,D1414)&gt;1,"DUPLICATE",IF(ISNA(MATCH(D1414,Players!$B$5:$B$304,0)),"UID not found",IF(INDEX(Players!$H$5:$H$304,MATCH(D1414,Players!$B$5:$B$304,0))&lt;0,"LOW BALANCE","OK"))))</f>
        <v/>
      </c>
      <c r="G1414" s="1"/>
      <c r="H1414" s="1"/>
      <c r="I1414" s="1"/>
    </row>
    <row r="1415" customFormat="false" ht="21.75" hidden="false" customHeight="true" outlineLevel="0" collapsed="false">
      <c r="A1415" s="1"/>
      <c r="B1415" s="16"/>
      <c r="C1415" s="16"/>
      <c r="D1415" s="15"/>
      <c r="E1415" s="11" t="str">
        <f aca="false">IF(D1415="","",IFERROR(INDEX(Players!$C$5:$C$304,MATCH(D1415,Players!$B$5:$B$304,0)),""))</f>
        <v/>
      </c>
      <c r="F1415" s="22" t="str">
        <f aca="false">IF(D1415="","",IF(COUNTIFS($B$5:$B$2004,B1415,$D$5:$D$2004,D1415)&gt;1,"DUPLICATE",IF(ISNA(MATCH(D1415,Players!$B$5:$B$304,0)),"UID not found",IF(INDEX(Players!$H$5:$H$304,MATCH(D1415,Players!$B$5:$B$304,0))&lt;0,"LOW BALANCE","OK"))))</f>
        <v/>
      </c>
      <c r="G1415" s="1"/>
      <c r="H1415" s="1"/>
      <c r="I1415" s="1"/>
    </row>
    <row r="1416" customFormat="false" ht="21.75" hidden="false" customHeight="true" outlineLevel="0" collapsed="false">
      <c r="A1416" s="1"/>
      <c r="B1416" s="16"/>
      <c r="C1416" s="16"/>
      <c r="D1416" s="15"/>
      <c r="E1416" s="11" t="str">
        <f aca="false">IF(D1416="","",IFERROR(INDEX(Players!$C$5:$C$304,MATCH(D1416,Players!$B$5:$B$304,0)),""))</f>
        <v/>
      </c>
      <c r="F1416" s="22" t="str">
        <f aca="false">IF(D1416="","",IF(COUNTIFS($B$5:$B$2004,B1416,$D$5:$D$2004,D1416)&gt;1,"DUPLICATE",IF(ISNA(MATCH(D1416,Players!$B$5:$B$304,0)),"UID not found",IF(INDEX(Players!$H$5:$H$304,MATCH(D1416,Players!$B$5:$B$304,0))&lt;0,"LOW BALANCE","OK"))))</f>
        <v/>
      </c>
      <c r="G1416" s="1"/>
      <c r="H1416" s="1"/>
      <c r="I1416" s="1"/>
    </row>
    <row r="1417" customFormat="false" ht="21.75" hidden="false" customHeight="true" outlineLevel="0" collapsed="false">
      <c r="A1417" s="1"/>
      <c r="B1417" s="16"/>
      <c r="C1417" s="16"/>
      <c r="D1417" s="15"/>
      <c r="E1417" s="11" t="str">
        <f aca="false">IF(D1417="","",IFERROR(INDEX(Players!$C$5:$C$304,MATCH(D1417,Players!$B$5:$B$304,0)),""))</f>
        <v/>
      </c>
      <c r="F1417" s="22" t="str">
        <f aca="false">IF(D1417="","",IF(COUNTIFS($B$5:$B$2004,B1417,$D$5:$D$2004,D1417)&gt;1,"DUPLICATE",IF(ISNA(MATCH(D1417,Players!$B$5:$B$304,0)),"UID not found",IF(INDEX(Players!$H$5:$H$304,MATCH(D1417,Players!$B$5:$B$304,0))&lt;0,"LOW BALANCE","OK"))))</f>
        <v/>
      </c>
      <c r="G1417" s="1"/>
      <c r="H1417" s="1"/>
      <c r="I1417" s="1"/>
    </row>
    <row r="1418" customFormat="false" ht="21.75" hidden="false" customHeight="true" outlineLevel="0" collapsed="false">
      <c r="A1418" s="1"/>
      <c r="B1418" s="16"/>
      <c r="C1418" s="16"/>
      <c r="D1418" s="15"/>
      <c r="E1418" s="11" t="str">
        <f aca="false">IF(D1418="","",IFERROR(INDEX(Players!$C$5:$C$304,MATCH(D1418,Players!$B$5:$B$304,0)),""))</f>
        <v/>
      </c>
      <c r="F1418" s="22" t="str">
        <f aca="false">IF(D1418="","",IF(COUNTIFS($B$5:$B$2004,B1418,$D$5:$D$2004,D1418)&gt;1,"DUPLICATE",IF(ISNA(MATCH(D1418,Players!$B$5:$B$304,0)),"UID not found",IF(INDEX(Players!$H$5:$H$304,MATCH(D1418,Players!$B$5:$B$304,0))&lt;0,"LOW BALANCE","OK"))))</f>
        <v/>
      </c>
      <c r="G1418" s="1"/>
      <c r="H1418" s="1"/>
      <c r="I1418" s="1"/>
    </row>
    <row r="1419" customFormat="false" ht="21.75" hidden="false" customHeight="true" outlineLevel="0" collapsed="false">
      <c r="A1419" s="1"/>
      <c r="B1419" s="16"/>
      <c r="C1419" s="16"/>
      <c r="D1419" s="15"/>
      <c r="E1419" s="11" t="str">
        <f aca="false">IF(D1419="","",IFERROR(INDEX(Players!$C$5:$C$304,MATCH(D1419,Players!$B$5:$B$304,0)),""))</f>
        <v/>
      </c>
      <c r="F1419" s="22" t="str">
        <f aca="false">IF(D1419="","",IF(COUNTIFS($B$5:$B$2004,B1419,$D$5:$D$2004,D1419)&gt;1,"DUPLICATE",IF(ISNA(MATCH(D1419,Players!$B$5:$B$304,0)),"UID not found",IF(INDEX(Players!$H$5:$H$304,MATCH(D1419,Players!$B$5:$B$304,0))&lt;0,"LOW BALANCE","OK"))))</f>
        <v/>
      </c>
      <c r="G1419" s="1"/>
      <c r="H1419" s="1"/>
      <c r="I1419" s="1"/>
    </row>
    <row r="1420" customFormat="false" ht="21.75" hidden="false" customHeight="true" outlineLevel="0" collapsed="false">
      <c r="A1420" s="1"/>
      <c r="B1420" s="16"/>
      <c r="C1420" s="16"/>
      <c r="D1420" s="15"/>
      <c r="E1420" s="11" t="str">
        <f aca="false">IF(D1420="","",IFERROR(INDEX(Players!$C$5:$C$304,MATCH(D1420,Players!$B$5:$B$304,0)),""))</f>
        <v/>
      </c>
      <c r="F1420" s="22" t="str">
        <f aca="false">IF(D1420="","",IF(COUNTIFS($B$5:$B$2004,B1420,$D$5:$D$2004,D1420)&gt;1,"DUPLICATE",IF(ISNA(MATCH(D1420,Players!$B$5:$B$304,0)),"UID not found",IF(INDEX(Players!$H$5:$H$304,MATCH(D1420,Players!$B$5:$B$304,0))&lt;0,"LOW BALANCE","OK"))))</f>
        <v/>
      </c>
      <c r="G1420" s="1"/>
      <c r="H1420" s="1"/>
      <c r="I1420" s="1"/>
    </row>
    <row r="1421" customFormat="false" ht="21.75" hidden="false" customHeight="true" outlineLevel="0" collapsed="false">
      <c r="A1421" s="1"/>
      <c r="B1421" s="16"/>
      <c r="C1421" s="16"/>
      <c r="D1421" s="15"/>
      <c r="E1421" s="11" t="str">
        <f aca="false">IF(D1421="","",IFERROR(INDEX(Players!$C$5:$C$304,MATCH(D1421,Players!$B$5:$B$304,0)),""))</f>
        <v/>
      </c>
      <c r="F1421" s="22" t="str">
        <f aca="false">IF(D1421="","",IF(COUNTIFS($B$5:$B$2004,B1421,$D$5:$D$2004,D1421)&gt;1,"DUPLICATE",IF(ISNA(MATCH(D1421,Players!$B$5:$B$304,0)),"UID not found",IF(INDEX(Players!$H$5:$H$304,MATCH(D1421,Players!$B$5:$B$304,0))&lt;0,"LOW BALANCE","OK"))))</f>
        <v/>
      </c>
      <c r="G1421" s="1"/>
      <c r="H1421" s="1"/>
      <c r="I1421" s="1"/>
    </row>
    <row r="1422" customFormat="false" ht="21.75" hidden="false" customHeight="true" outlineLevel="0" collapsed="false">
      <c r="A1422" s="1"/>
      <c r="B1422" s="16"/>
      <c r="C1422" s="16"/>
      <c r="D1422" s="15"/>
      <c r="E1422" s="11" t="str">
        <f aca="false">IF(D1422="","",IFERROR(INDEX(Players!$C$5:$C$304,MATCH(D1422,Players!$B$5:$B$304,0)),""))</f>
        <v/>
      </c>
      <c r="F1422" s="22" t="str">
        <f aca="false">IF(D1422="","",IF(COUNTIFS($B$5:$B$2004,B1422,$D$5:$D$2004,D1422)&gt;1,"DUPLICATE",IF(ISNA(MATCH(D1422,Players!$B$5:$B$304,0)),"UID not found",IF(INDEX(Players!$H$5:$H$304,MATCH(D1422,Players!$B$5:$B$304,0))&lt;0,"LOW BALANCE","OK"))))</f>
        <v/>
      </c>
      <c r="G1422" s="1"/>
      <c r="H1422" s="1"/>
      <c r="I1422" s="1"/>
    </row>
    <row r="1423" customFormat="false" ht="21.75" hidden="false" customHeight="true" outlineLevel="0" collapsed="false">
      <c r="A1423" s="1"/>
      <c r="B1423" s="16"/>
      <c r="C1423" s="16"/>
      <c r="D1423" s="15"/>
      <c r="E1423" s="11" t="str">
        <f aca="false">IF(D1423="","",IFERROR(INDEX(Players!$C$5:$C$304,MATCH(D1423,Players!$B$5:$B$304,0)),""))</f>
        <v/>
      </c>
      <c r="F1423" s="22" t="str">
        <f aca="false">IF(D1423="","",IF(COUNTIFS($B$5:$B$2004,B1423,$D$5:$D$2004,D1423)&gt;1,"DUPLICATE",IF(ISNA(MATCH(D1423,Players!$B$5:$B$304,0)),"UID not found",IF(INDEX(Players!$H$5:$H$304,MATCH(D1423,Players!$B$5:$B$304,0))&lt;0,"LOW BALANCE","OK"))))</f>
        <v/>
      </c>
      <c r="G1423" s="1"/>
      <c r="H1423" s="1"/>
      <c r="I1423" s="1"/>
    </row>
    <row r="1424" customFormat="false" ht="21.75" hidden="false" customHeight="true" outlineLevel="0" collapsed="false">
      <c r="A1424" s="1"/>
      <c r="B1424" s="16"/>
      <c r="C1424" s="16"/>
      <c r="D1424" s="15"/>
      <c r="E1424" s="11" t="str">
        <f aca="false">IF(D1424="","",IFERROR(INDEX(Players!$C$5:$C$304,MATCH(D1424,Players!$B$5:$B$304,0)),""))</f>
        <v/>
      </c>
      <c r="F1424" s="22" t="str">
        <f aca="false">IF(D1424="","",IF(COUNTIFS($B$5:$B$2004,B1424,$D$5:$D$2004,D1424)&gt;1,"DUPLICATE",IF(ISNA(MATCH(D1424,Players!$B$5:$B$304,0)),"UID not found",IF(INDEX(Players!$H$5:$H$304,MATCH(D1424,Players!$B$5:$B$304,0))&lt;0,"LOW BALANCE","OK"))))</f>
        <v/>
      </c>
      <c r="G1424" s="1"/>
      <c r="H1424" s="1"/>
      <c r="I1424" s="1"/>
    </row>
    <row r="1425" customFormat="false" ht="21.75" hidden="false" customHeight="true" outlineLevel="0" collapsed="false">
      <c r="A1425" s="1"/>
      <c r="B1425" s="16"/>
      <c r="C1425" s="16"/>
      <c r="D1425" s="15"/>
      <c r="E1425" s="11" t="str">
        <f aca="false">IF(D1425="","",IFERROR(INDEX(Players!$C$5:$C$304,MATCH(D1425,Players!$B$5:$B$304,0)),""))</f>
        <v/>
      </c>
      <c r="F1425" s="22" t="str">
        <f aca="false">IF(D1425="","",IF(COUNTIFS($B$5:$B$2004,B1425,$D$5:$D$2004,D1425)&gt;1,"DUPLICATE",IF(ISNA(MATCH(D1425,Players!$B$5:$B$304,0)),"UID not found",IF(INDEX(Players!$H$5:$H$304,MATCH(D1425,Players!$B$5:$B$304,0))&lt;0,"LOW BALANCE","OK"))))</f>
        <v/>
      </c>
      <c r="G1425" s="1"/>
      <c r="H1425" s="1"/>
      <c r="I1425" s="1"/>
    </row>
    <row r="1426" customFormat="false" ht="21.75" hidden="false" customHeight="true" outlineLevel="0" collapsed="false">
      <c r="A1426" s="1"/>
      <c r="B1426" s="16"/>
      <c r="C1426" s="16"/>
      <c r="D1426" s="15"/>
      <c r="E1426" s="11" t="str">
        <f aca="false">IF(D1426="","",IFERROR(INDEX(Players!$C$5:$C$304,MATCH(D1426,Players!$B$5:$B$304,0)),""))</f>
        <v/>
      </c>
      <c r="F1426" s="22" t="str">
        <f aca="false">IF(D1426="","",IF(COUNTIFS($B$5:$B$2004,B1426,$D$5:$D$2004,D1426)&gt;1,"DUPLICATE",IF(ISNA(MATCH(D1426,Players!$B$5:$B$304,0)),"UID not found",IF(INDEX(Players!$H$5:$H$304,MATCH(D1426,Players!$B$5:$B$304,0))&lt;0,"LOW BALANCE","OK"))))</f>
        <v/>
      </c>
      <c r="G1426" s="1"/>
      <c r="H1426" s="1"/>
      <c r="I1426" s="1"/>
    </row>
    <row r="1427" customFormat="false" ht="21.75" hidden="false" customHeight="true" outlineLevel="0" collapsed="false">
      <c r="A1427" s="1"/>
      <c r="B1427" s="16"/>
      <c r="C1427" s="16"/>
      <c r="D1427" s="15"/>
      <c r="E1427" s="11" t="str">
        <f aca="false">IF(D1427="","",IFERROR(INDEX(Players!$C$5:$C$304,MATCH(D1427,Players!$B$5:$B$304,0)),""))</f>
        <v/>
      </c>
      <c r="F1427" s="22" t="str">
        <f aca="false">IF(D1427="","",IF(COUNTIFS($B$5:$B$2004,B1427,$D$5:$D$2004,D1427)&gt;1,"DUPLICATE",IF(ISNA(MATCH(D1427,Players!$B$5:$B$304,0)),"UID not found",IF(INDEX(Players!$H$5:$H$304,MATCH(D1427,Players!$B$5:$B$304,0))&lt;0,"LOW BALANCE","OK"))))</f>
        <v/>
      </c>
      <c r="G1427" s="1"/>
      <c r="H1427" s="1"/>
      <c r="I1427" s="1"/>
    </row>
    <row r="1428" customFormat="false" ht="21.75" hidden="false" customHeight="true" outlineLevel="0" collapsed="false">
      <c r="A1428" s="1"/>
      <c r="B1428" s="16"/>
      <c r="C1428" s="16"/>
      <c r="D1428" s="15"/>
      <c r="E1428" s="11" t="str">
        <f aca="false">IF(D1428="","",IFERROR(INDEX(Players!$C$5:$C$304,MATCH(D1428,Players!$B$5:$B$304,0)),""))</f>
        <v/>
      </c>
      <c r="F1428" s="22" t="str">
        <f aca="false">IF(D1428="","",IF(COUNTIFS($B$5:$B$2004,B1428,$D$5:$D$2004,D1428)&gt;1,"DUPLICATE",IF(ISNA(MATCH(D1428,Players!$B$5:$B$304,0)),"UID not found",IF(INDEX(Players!$H$5:$H$304,MATCH(D1428,Players!$B$5:$B$304,0))&lt;0,"LOW BALANCE","OK"))))</f>
        <v/>
      </c>
      <c r="G1428" s="1"/>
      <c r="H1428" s="1"/>
      <c r="I1428" s="1"/>
    </row>
    <row r="1429" customFormat="false" ht="21.75" hidden="false" customHeight="true" outlineLevel="0" collapsed="false">
      <c r="A1429" s="1"/>
      <c r="B1429" s="16"/>
      <c r="C1429" s="16"/>
      <c r="D1429" s="15"/>
      <c r="E1429" s="11" t="str">
        <f aca="false">IF(D1429="","",IFERROR(INDEX(Players!$C$5:$C$304,MATCH(D1429,Players!$B$5:$B$304,0)),""))</f>
        <v/>
      </c>
      <c r="F1429" s="22" t="str">
        <f aca="false">IF(D1429="","",IF(COUNTIFS($B$5:$B$2004,B1429,$D$5:$D$2004,D1429)&gt;1,"DUPLICATE",IF(ISNA(MATCH(D1429,Players!$B$5:$B$304,0)),"UID not found",IF(INDEX(Players!$H$5:$H$304,MATCH(D1429,Players!$B$5:$B$304,0))&lt;0,"LOW BALANCE","OK"))))</f>
        <v/>
      </c>
      <c r="G1429" s="1"/>
      <c r="H1429" s="1"/>
      <c r="I1429" s="1"/>
    </row>
    <row r="1430" customFormat="false" ht="21.75" hidden="false" customHeight="true" outlineLevel="0" collapsed="false">
      <c r="A1430" s="1"/>
      <c r="B1430" s="16"/>
      <c r="C1430" s="16"/>
      <c r="D1430" s="15"/>
      <c r="E1430" s="11" t="str">
        <f aca="false">IF(D1430="","",IFERROR(INDEX(Players!$C$5:$C$304,MATCH(D1430,Players!$B$5:$B$304,0)),""))</f>
        <v/>
      </c>
      <c r="F1430" s="22" t="str">
        <f aca="false">IF(D1430="","",IF(COUNTIFS($B$5:$B$2004,B1430,$D$5:$D$2004,D1430)&gt;1,"DUPLICATE",IF(ISNA(MATCH(D1430,Players!$B$5:$B$304,0)),"UID not found",IF(INDEX(Players!$H$5:$H$304,MATCH(D1430,Players!$B$5:$B$304,0))&lt;0,"LOW BALANCE","OK"))))</f>
        <v/>
      </c>
      <c r="G1430" s="1"/>
      <c r="H1430" s="1"/>
      <c r="I1430" s="1"/>
    </row>
    <row r="1431" customFormat="false" ht="21.75" hidden="false" customHeight="true" outlineLevel="0" collapsed="false">
      <c r="A1431" s="1"/>
      <c r="B1431" s="16"/>
      <c r="C1431" s="16"/>
      <c r="D1431" s="15"/>
      <c r="E1431" s="11" t="str">
        <f aca="false">IF(D1431="","",IFERROR(INDEX(Players!$C$5:$C$304,MATCH(D1431,Players!$B$5:$B$304,0)),""))</f>
        <v/>
      </c>
      <c r="F1431" s="22" t="str">
        <f aca="false">IF(D1431="","",IF(COUNTIFS($B$5:$B$2004,B1431,$D$5:$D$2004,D1431)&gt;1,"DUPLICATE",IF(ISNA(MATCH(D1431,Players!$B$5:$B$304,0)),"UID not found",IF(INDEX(Players!$H$5:$H$304,MATCH(D1431,Players!$B$5:$B$304,0))&lt;0,"LOW BALANCE","OK"))))</f>
        <v/>
      </c>
      <c r="G1431" s="1"/>
      <c r="H1431" s="1"/>
      <c r="I1431" s="1"/>
    </row>
    <row r="1432" customFormat="false" ht="21.75" hidden="false" customHeight="true" outlineLevel="0" collapsed="false">
      <c r="A1432" s="1"/>
      <c r="B1432" s="16"/>
      <c r="C1432" s="16"/>
      <c r="D1432" s="15"/>
      <c r="E1432" s="11" t="str">
        <f aca="false">IF(D1432="","",IFERROR(INDEX(Players!$C$5:$C$304,MATCH(D1432,Players!$B$5:$B$304,0)),""))</f>
        <v/>
      </c>
      <c r="F1432" s="22" t="str">
        <f aca="false">IF(D1432="","",IF(COUNTIFS($B$5:$B$2004,B1432,$D$5:$D$2004,D1432)&gt;1,"DUPLICATE",IF(ISNA(MATCH(D1432,Players!$B$5:$B$304,0)),"UID not found",IF(INDEX(Players!$H$5:$H$304,MATCH(D1432,Players!$B$5:$B$304,0))&lt;0,"LOW BALANCE","OK"))))</f>
        <v/>
      </c>
      <c r="G1432" s="1"/>
      <c r="H1432" s="1"/>
      <c r="I1432" s="1"/>
    </row>
    <row r="1433" customFormat="false" ht="21.75" hidden="false" customHeight="true" outlineLevel="0" collapsed="false">
      <c r="A1433" s="1"/>
      <c r="B1433" s="16"/>
      <c r="C1433" s="16"/>
      <c r="D1433" s="15"/>
      <c r="E1433" s="11" t="str">
        <f aca="false">IF(D1433="","",IFERROR(INDEX(Players!$C$5:$C$304,MATCH(D1433,Players!$B$5:$B$304,0)),""))</f>
        <v/>
      </c>
      <c r="F1433" s="22" t="str">
        <f aca="false">IF(D1433="","",IF(COUNTIFS($B$5:$B$2004,B1433,$D$5:$D$2004,D1433)&gt;1,"DUPLICATE",IF(ISNA(MATCH(D1433,Players!$B$5:$B$304,0)),"UID not found",IF(INDEX(Players!$H$5:$H$304,MATCH(D1433,Players!$B$5:$B$304,0))&lt;0,"LOW BALANCE","OK"))))</f>
        <v/>
      </c>
      <c r="G1433" s="1"/>
      <c r="H1433" s="1"/>
      <c r="I1433" s="1"/>
    </row>
    <row r="1434" customFormat="false" ht="21.75" hidden="false" customHeight="true" outlineLevel="0" collapsed="false">
      <c r="A1434" s="1"/>
      <c r="B1434" s="16"/>
      <c r="C1434" s="16"/>
      <c r="D1434" s="15"/>
      <c r="E1434" s="11" t="str">
        <f aca="false">IF(D1434="","",IFERROR(INDEX(Players!$C$5:$C$304,MATCH(D1434,Players!$B$5:$B$304,0)),""))</f>
        <v/>
      </c>
      <c r="F1434" s="22" t="str">
        <f aca="false">IF(D1434="","",IF(COUNTIFS($B$5:$B$2004,B1434,$D$5:$D$2004,D1434)&gt;1,"DUPLICATE",IF(ISNA(MATCH(D1434,Players!$B$5:$B$304,0)),"UID not found",IF(INDEX(Players!$H$5:$H$304,MATCH(D1434,Players!$B$5:$B$304,0))&lt;0,"LOW BALANCE","OK"))))</f>
        <v/>
      </c>
      <c r="G1434" s="1"/>
      <c r="H1434" s="1"/>
      <c r="I1434" s="1"/>
    </row>
    <row r="1435" customFormat="false" ht="21.75" hidden="false" customHeight="true" outlineLevel="0" collapsed="false">
      <c r="A1435" s="1"/>
      <c r="B1435" s="16"/>
      <c r="C1435" s="16"/>
      <c r="D1435" s="15"/>
      <c r="E1435" s="11" t="str">
        <f aca="false">IF(D1435="","",IFERROR(INDEX(Players!$C$5:$C$304,MATCH(D1435,Players!$B$5:$B$304,0)),""))</f>
        <v/>
      </c>
      <c r="F1435" s="22" t="str">
        <f aca="false">IF(D1435="","",IF(COUNTIFS($B$5:$B$2004,B1435,$D$5:$D$2004,D1435)&gt;1,"DUPLICATE",IF(ISNA(MATCH(D1435,Players!$B$5:$B$304,0)),"UID not found",IF(INDEX(Players!$H$5:$H$304,MATCH(D1435,Players!$B$5:$B$304,0))&lt;0,"LOW BALANCE","OK"))))</f>
        <v/>
      </c>
      <c r="G1435" s="1"/>
      <c r="H1435" s="1"/>
      <c r="I1435" s="1"/>
    </row>
    <row r="1436" customFormat="false" ht="21.75" hidden="false" customHeight="true" outlineLevel="0" collapsed="false">
      <c r="A1436" s="1"/>
      <c r="B1436" s="16"/>
      <c r="C1436" s="16"/>
      <c r="D1436" s="15"/>
      <c r="E1436" s="11" t="str">
        <f aca="false">IF(D1436="","",IFERROR(INDEX(Players!$C$5:$C$304,MATCH(D1436,Players!$B$5:$B$304,0)),""))</f>
        <v/>
      </c>
      <c r="F1436" s="22" t="str">
        <f aca="false">IF(D1436="","",IF(COUNTIFS($B$5:$B$2004,B1436,$D$5:$D$2004,D1436)&gt;1,"DUPLICATE",IF(ISNA(MATCH(D1436,Players!$B$5:$B$304,0)),"UID not found",IF(INDEX(Players!$H$5:$H$304,MATCH(D1436,Players!$B$5:$B$304,0))&lt;0,"LOW BALANCE","OK"))))</f>
        <v/>
      </c>
      <c r="G1436" s="1"/>
      <c r="H1436" s="1"/>
      <c r="I1436" s="1"/>
    </row>
    <row r="1437" customFormat="false" ht="21.75" hidden="false" customHeight="true" outlineLevel="0" collapsed="false">
      <c r="A1437" s="1"/>
      <c r="B1437" s="16"/>
      <c r="C1437" s="16"/>
      <c r="D1437" s="15"/>
      <c r="E1437" s="11" t="str">
        <f aca="false">IF(D1437="","",IFERROR(INDEX(Players!$C$5:$C$304,MATCH(D1437,Players!$B$5:$B$304,0)),""))</f>
        <v/>
      </c>
      <c r="F1437" s="22" t="str">
        <f aca="false">IF(D1437="","",IF(COUNTIFS($B$5:$B$2004,B1437,$D$5:$D$2004,D1437)&gt;1,"DUPLICATE",IF(ISNA(MATCH(D1437,Players!$B$5:$B$304,0)),"UID not found",IF(INDEX(Players!$H$5:$H$304,MATCH(D1437,Players!$B$5:$B$304,0))&lt;0,"LOW BALANCE","OK"))))</f>
        <v/>
      </c>
      <c r="G1437" s="1"/>
      <c r="H1437" s="1"/>
      <c r="I1437" s="1"/>
    </row>
    <row r="1438" customFormat="false" ht="21.75" hidden="false" customHeight="true" outlineLevel="0" collapsed="false">
      <c r="A1438" s="1"/>
      <c r="B1438" s="16"/>
      <c r="C1438" s="16"/>
      <c r="D1438" s="15"/>
      <c r="E1438" s="11" t="str">
        <f aca="false">IF(D1438="","",IFERROR(INDEX(Players!$C$5:$C$304,MATCH(D1438,Players!$B$5:$B$304,0)),""))</f>
        <v/>
      </c>
      <c r="F1438" s="22" t="str">
        <f aca="false">IF(D1438="","",IF(COUNTIFS($B$5:$B$2004,B1438,$D$5:$D$2004,D1438)&gt;1,"DUPLICATE",IF(ISNA(MATCH(D1438,Players!$B$5:$B$304,0)),"UID not found",IF(INDEX(Players!$H$5:$H$304,MATCH(D1438,Players!$B$5:$B$304,0))&lt;0,"LOW BALANCE","OK"))))</f>
        <v/>
      </c>
      <c r="G1438" s="1"/>
      <c r="H1438" s="1"/>
      <c r="I1438" s="1"/>
    </row>
    <row r="1439" customFormat="false" ht="21.75" hidden="false" customHeight="true" outlineLevel="0" collapsed="false">
      <c r="A1439" s="1"/>
      <c r="B1439" s="16"/>
      <c r="C1439" s="16"/>
      <c r="D1439" s="15"/>
      <c r="E1439" s="11" t="str">
        <f aca="false">IF(D1439="","",IFERROR(INDEX(Players!$C$5:$C$304,MATCH(D1439,Players!$B$5:$B$304,0)),""))</f>
        <v/>
      </c>
      <c r="F1439" s="22" t="str">
        <f aca="false">IF(D1439="","",IF(COUNTIFS($B$5:$B$2004,B1439,$D$5:$D$2004,D1439)&gt;1,"DUPLICATE",IF(ISNA(MATCH(D1439,Players!$B$5:$B$304,0)),"UID not found",IF(INDEX(Players!$H$5:$H$304,MATCH(D1439,Players!$B$5:$B$304,0))&lt;0,"LOW BALANCE","OK"))))</f>
        <v/>
      </c>
      <c r="G1439" s="1"/>
      <c r="H1439" s="1"/>
      <c r="I1439" s="1"/>
    </row>
    <row r="1440" customFormat="false" ht="21.75" hidden="false" customHeight="true" outlineLevel="0" collapsed="false">
      <c r="A1440" s="1"/>
      <c r="B1440" s="16"/>
      <c r="C1440" s="16"/>
      <c r="D1440" s="15"/>
      <c r="E1440" s="11" t="str">
        <f aca="false">IF(D1440="","",IFERROR(INDEX(Players!$C$5:$C$304,MATCH(D1440,Players!$B$5:$B$304,0)),""))</f>
        <v/>
      </c>
      <c r="F1440" s="22" t="str">
        <f aca="false">IF(D1440="","",IF(COUNTIFS($B$5:$B$2004,B1440,$D$5:$D$2004,D1440)&gt;1,"DUPLICATE",IF(ISNA(MATCH(D1440,Players!$B$5:$B$304,0)),"UID not found",IF(INDEX(Players!$H$5:$H$304,MATCH(D1440,Players!$B$5:$B$304,0))&lt;0,"LOW BALANCE","OK"))))</f>
        <v/>
      </c>
      <c r="G1440" s="1"/>
      <c r="H1440" s="1"/>
      <c r="I1440" s="1"/>
    </row>
    <row r="1441" customFormat="false" ht="21.75" hidden="false" customHeight="true" outlineLevel="0" collapsed="false">
      <c r="A1441" s="1"/>
      <c r="B1441" s="16"/>
      <c r="C1441" s="16"/>
      <c r="D1441" s="15"/>
      <c r="E1441" s="11" t="str">
        <f aca="false">IF(D1441="","",IFERROR(INDEX(Players!$C$5:$C$304,MATCH(D1441,Players!$B$5:$B$304,0)),""))</f>
        <v/>
      </c>
      <c r="F1441" s="22" t="str">
        <f aca="false">IF(D1441="","",IF(COUNTIFS($B$5:$B$2004,B1441,$D$5:$D$2004,D1441)&gt;1,"DUPLICATE",IF(ISNA(MATCH(D1441,Players!$B$5:$B$304,0)),"UID not found",IF(INDEX(Players!$H$5:$H$304,MATCH(D1441,Players!$B$5:$B$304,0))&lt;0,"LOW BALANCE","OK"))))</f>
        <v/>
      </c>
      <c r="G1441" s="1"/>
      <c r="H1441" s="1"/>
      <c r="I1441" s="1"/>
    </row>
    <row r="1442" customFormat="false" ht="21.75" hidden="false" customHeight="true" outlineLevel="0" collapsed="false">
      <c r="A1442" s="1"/>
      <c r="B1442" s="16"/>
      <c r="C1442" s="16"/>
      <c r="D1442" s="15"/>
      <c r="E1442" s="11" t="str">
        <f aca="false">IF(D1442="","",IFERROR(INDEX(Players!$C$5:$C$304,MATCH(D1442,Players!$B$5:$B$304,0)),""))</f>
        <v/>
      </c>
      <c r="F1442" s="22" t="str">
        <f aca="false">IF(D1442="","",IF(COUNTIFS($B$5:$B$2004,B1442,$D$5:$D$2004,D1442)&gt;1,"DUPLICATE",IF(ISNA(MATCH(D1442,Players!$B$5:$B$304,0)),"UID not found",IF(INDEX(Players!$H$5:$H$304,MATCH(D1442,Players!$B$5:$B$304,0))&lt;0,"LOW BALANCE","OK"))))</f>
        <v/>
      </c>
      <c r="G1442" s="1"/>
      <c r="H1442" s="1"/>
      <c r="I1442" s="1"/>
    </row>
    <row r="1443" customFormat="false" ht="21.75" hidden="false" customHeight="true" outlineLevel="0" collapsed="false">
      <c r="A1443" s="1"/>
      <c r="B1443" s="16"/>
      <c r="C1443" s="16"/>
      <c r="D1443" s="15"/>
      <c r="E1443" s="11" t="str">
        <f aca="false">IF(D1443="","",IFERROR(INDEX(Players!$C$5:$C$304,MATCH(D1443,Players!$B$5:$B$304,0)),""))</f>
        <v/>
      </c>
      <c r="F1443" s="22" t="str">
        <f aca="false">IF(D1443="","",IF(COUNTIFS($B$5:$B$2004,B1443,$D$5:$D$2004,D1443)&gt;1,"DUPLICATE",IF(ISNA(MATCH(D1443,Players!$B$5:$B$304,0)),"UID not found",IF(INDEX(Players!$H$5:$H$304,MATCH(D1443,Players!$B$5:$B$304,0))&lt;0,"LOW BALANCE","OK"))))</f>
        <v/>
      </c>
      <c r="G1443" s="1"/>
      <c r="H1443" s="1"/>
      <c r="I1443" s="1"/>
    </row>
    <row r="1444" customFormat="false" ht="21.75" hidden="false" customHeight="true" outlineLevel="0" collapsed="false">
      <c r="A1444" s="1"/>
      <c r="B1444" s="16"/>
      <c r="C1444" s="16"/>
      <c r="D1444" s="15"/>
      <c r="E1444" s="11" t="str">
        <f aca="false">IF(D1444="","",IFERROR(INDEX(Players!$C$5:$C$304,MATCH(D1444,Players!$B$5:$B$304,0)),""))</f>
        <v/>
      </c>
      <c r="F1444" s="22" t="str">
        <f aca="false">IF(D1444="","",IF(COUNTIFS($B$5:$B$2004,B1444,$D$5:$D$2004,D1444)&gt;1,"DUPLICATE",IF(ISNA(MATCH(D1444,Players!$B$5:$B$304,0)),"UID not found",IF(INDEX(Players!$H$5:$H$304,MATCH(D1444,Players!$B$5:$B$304,0))&lt;0,"LOW BALANCE","OK"))))</f>
        <v/>
      </c>
      <c r="G1444" s="1"/>
      <c r="H1444" s="1"/>
      <c r="I1444" s="1"/>
    </row>
    <row r="1445" customFormat="false" ht="21.75" hidden="false" customHeight="true" outlineLevel="0" collapsed="false">
      <c r="A1445" s="1"/>
      <c r="B1445" s="16"/>
      <c r="C1445" s="16"/>
      <c r="D1445" s="15"/>
      <c r="E1445" s="11" t="str">
        <f aca="false">IF(D1445="","",IFERROR(INDEX(Players!$C$5:$C$304,MATCH(D1445,Players!$B$5:$B$304,0)),""))</f>
        <v/>
      </c>
      <c r="F1445" s="22" t="str">
        <f aca="false">IF(D1445="","",IF(COUNTIFS($B$5:$B$2004,B1445,$D$5:$D$2004,D1445)&gt;1,"DUPLICATE",IF(ISNA(MATCH(D1445,Players!$B$5:$B$304,0)),"UID not found",IF(INDEX(Players!$H$5:$H$304,MATCH(D1445,Players!$B$5:$B$304,0))&lt;0,"LOW BALANCE","OK"))))</f>
        <v/>
      </c>
      <c r="G1445" s="1"/>
      <c r="H1445" s="1"/>
      <c r="I1445" s="1"/>
    </row>
    <row r="1446" customFormat="false" ht="21.75" hidden="false" customHeight="true" outlineLevel="0" collapsed="false">
      <c r="A1446" s="1"/>
      <c r="B1446" s="16"/>
      <c r="C1446" s="16"/>
      <c r="D1446" s="15"/>
      <c r="E1446" s="11" t="str">
        <f aca="false">IF(D1446="","",IFERROR(INDEX(Players!$C$5:$C$304,MATCH(D1446,Players!$B$5:$B$304,0)),""))</f>
        <v/>
      </c>
      <c r="F1446" s="22" t="str">
        <f aca="false">IF(D1446="","",IF(COUNTIFS($B$5:$B$2004,B1446,$D$5:$D$2004,D1446)&gt;1,"DUPLICATE",IF(ISNA(MATCH(D1446,Players!$B$5:$B$304,0)),"UID not found",IF(INDEX(Players!$H$5:$H$304,MATCH(D1446,Players!$B$5:$B$304,0))&lt;0,"LOW BALANCE","OK"))))</f>
        <v/>
      </c>
      <c r="G1446" s="1"/>
      <c r="H1446" s="1"/>
      <c r="I1446" s="1"/>
    </row>
    <row r="1447" customFormat="false" ht="21.75" hidden="false" customHeight="true" outlineLevel="0" collapsed="false">
      <c r="A1447" s="1"/>
      <c r="B1447" s="16"/>
      <c r="C1447" s="16"/>
      <c r="D1447" s="15"/>
      <c r="E1447" s="11" t="str">
        <f aca="false">IF(D1447="","",IFERROR(INDEX(Players!$C$5:$C$304,MATCH(D1447,Players!$B$5:$B$304,0)),""))</f>
        <v/>
      </c>
      <c r="F1447" s="22" t="str">
        <f aca="false">IF(D1447="","",IF(COUNTIFS($B$5:$B$2004,B1447,$D$5:$D$2004,D1447)&gt;1,"DUPLICATE",IF(ISNA(MATCH(D1447,Players!$B$5:$B$304,0)),"UID not found",IF(INDEX(Players!$H$5:$H$304,MATCH(D1447,Players!$B$5:$B$304,0))&lt;0,"LOW BALANCE","OK"))))</f>
        <v/>
      </c>
      <c r="G1447" s="1"/>
      <c r="H1447" s="1"/>
      <c r="I1447" s="1"/>
    </row>
    <row r="1448" customFormat="false" ht="21.75" hidden="false" customHeight="true" outlineLevel="0" collapsed="false">
      <c r="A1448" s="1"/>
      <c r="B1448" s="16"/>
      <c r="C1448" s="16"/>
      <c r="D1448" s="15"/>
      <c r="E1448" s="11" t="str">
        <f aca="false">IF(D1448="","",IFERROR(INDEX(Players!$C$5:$C$304,MATCH(D1448,Players!$B$5:$B$304,0)),""))</f>
        <v/>
      </c>
      <c r="F1448" s="22" t="str">
        <f aca="false">IF(D1448="","",IF(COUNTIFS($B$5:$B$2004,B1448,$D$5:$D$2004,D1448)&gt;1,"DUPLICATE",IF(ISNA(MATCH(D1448,Players!$B$5:$B$304,0)),"UID not found",IF(INDEX(Players!$H$5:$H$304,MATCH(D1448,Players!$B$5:$B$304,0))&lt;0,"LOW BALANCE","OK"))))</f>
        <v/>
      </c>
      <c r="G1448" s="1"/>
      <c r="H1448" s="1"/>
      <c r="I1448" s="1"/>
    </row>
    <row r="1449" customFormat="false" ht="21.75" hidden="false" customHeight="true" outlineLevel="0" collapsed="false">
      <c r="A1449" s="1"/>
      <c r="B1449" s="16"/>
      <c r="C1449" s="16"/>
      <c r="D1449" s="15"/>
      <c r="E1449" s="11" t="str">
        <f aca="false">IF(D1449="","",IFERROR(INDEX(Players!$C$5:$C$304,MATCH(D1449,Players!$B$5:$B$304,0)),""))</f>
        <v/>
      </c>
      <c r="F1449" s="22" t="str">
        <f aca="false">IF(D1449="","",IF(COUNTIFS($B$5:$B$2004,B1449,$D$5:$D$2004,D1449)&gt;1,"DUPLICATE",IF(ISNA(MATCH(D1449,Players!$B$5:$B$304,0)),"UID not found",IF(INDEX(Players!$H$5:$H$304,MATCH(D1449,Players!$B$5:$B$304,0))&lt;0,"LOW BALANCE","OK"))))</f>
        <v/>
      </c>
      <c r="G1449" s="1"/>
      <c r="H1449" s="1"/>
      <c r="I1449" s="1"/>
    </row>
    <row r="1450" customFormat="false" ht="21.75" hidden="false" customHeight="true" outlineLevel="0" collapsed="false">
      <c r="A1450" s="1"/>
      <c r="B1450" s="16"/>
      <c r="C1450" s="16"/>
      <c r="D1450" s="15"/>
      <c r="E1450" s="11" t="str">
        <f aca="false">IF(D1450="","",IFERROR(INDEX(Players!$C$5:$C$304,MATCH(D1450,Players!$B$5:$B$304,0)),""))</f>
        <v/>
      </c>
      <c r="F1450" s="22" t="str">
        <f aca="false">IF(D1450="","",IF(COUNTIFS($B$5:$B$2004,B1450,$D$5:$D$2004,D1450)&gt;1,"DUPLICATE",IF(ISNA(MATCH(D1450,Players!$B$5:$B$304,0)),"UID not found",IF(INDEX(Players!$H$5:$H$304,MATCH(D1450,Players!$B$5:$B$304,0))&lt;0,"LOW BALANCE","OK"))))</f>
        <v/>
      </c>
      <c r="G1450" s="1"/>
      <c r="H1450" s="1"/>
      <c r="I1450" s="1"/>
    </row>
    <row r="1451" customFormat="false" ht="21.75" hidden="false" customHeight="true" outlineLevel="0" collapsed="false">
      <c r="A1451" s="1"/>
      <c r="B1451" s="16"/>
      <c r="C1451" s="16"/>
      <c r="D1451" s="15"/>
      <c r="E1451" s="11" t="str">
        <f aca="false">IF(D1451="","",IFERROR(INDEX(Players!$C$5:$C$304,MATCH(D1451,Players!$B$5:$B$304,0)),""))</f>
        <v/>
      </c>
      <c r="F1451" s="22" t="str">
        <f aca="false">IF(D1451="","",IF(COUNTIFS($B$5:$B$2004,B1451,$D$5:$D$2004,D1451)&gt;1,"DUPLICATE",IF(ISNA(MATCH(D1451,Players!$B$5:$B$304,0)),"UID not found",IF(INDEX(Players!$H$5:$H$304,MATCH(D1451,Players!$B$5:$B$304,0))&lt;0,"LOW BALANCE","OK"))))</f>
        <v/>
      </c>
      <c r="G1451" s="1"/>
      <c r="H1451" s="1"/>
      <c r="I1451" s="1"/>
    </row>
    <row r="1452" customFormat="false" ht="21.75" hidden="false" customHeight="true" outlineLevel="0" collapsed="false">
      <c r="A1452" s="1"/>
      <c r="B1452" s="16"/>
      <c r="C1452" s="16"/>
      <c r="D1452" s="15"/>
      <c r="E1452" s="11" t="str">
        <f aca="false">IF(D1452="","",IFERROR(INDEX(Players!$C$5:$C$304,MATCH(D1452,Players!$B$5:$B$304,0)),""))</f>
        <v/>
      </c>
      <c r="F1452" s="22" t="str">
        <f aca="false">IF(D1452="","",IF(COUNTIFS($B$5:$B$2004,B1452,$D$5:$D$2004,D1452)&gt;1,"DUPLICATE",IF(ISNA(MATCH(D1452,Players!$B$5:$B$304,0)),"UID not found",IF(INDEX(Players!$H$5:$H$304,MATCH(D1452,Players!$B$5:$B$304,0))&lt;0,"LOW BALANCE","OK"))))</f>
        <v/>
      </c>
      <c r="G1452" s="1"/>
      <c r="H1452" s="1"/>
      <c r="I1452" s="1"/>
    </row>
    <row r="1453" customFormat="false" ht="21.75" hidden="false" customHeight="true" outlineLevel="0" collapsed="false">
      <c r="A1453" s="1"/>
      <c r="B1453" s="16"/>
      <c r="C1453" s="16"/>
      <c r="D1453" s="15"/>
      <c r="E1453" s="11" t="str">
        <f aca="false">IF(D1453="","",IFERROR(INDEX(Players!$C$5:$C$304,MATCH(D1453,Players!$B$5:$B$304,0)),""))</f>
        <v/>
      </c>
      <c r="F1453" s="22" t="str">
        <f aca="false">IF(D1453="","",IF(COUNTIFS($B$5:$B$2004,B1453,$D$5:$D$2004,D1453)&gt;1,"DUPLICATE",IF(ISNA(MATCH(D1453,Players!$B$5:$B$304,0)),"UID not found",IF(INDEX(Players!$H$5:$H$304,MATCH(D1453,Players!$B$5:$B$304,0))&lt;0,"LOW BALANCE","OK"))))</f>
        <v/>
      </c>
      <c r="G1453" s="1"/>
      <c r="H1453" s="1"/>
      <c r="I1453" s="1"/>
    </row>
    <row r="1454" customFormat="false" ht="21.75" hidden="false" customHeight="true" outlineLevel="0" collapsed="false">
      <c r="A1454" s="1"/>
      <c r="B1454" s="16"/>
      <c r="C1454" s="16"/>
      <c r="D1454" s="15"/>
      <c r="E1454" s="11" t="str">
        <f aca="false">IF(D1454="","",IFERROR(INDEX(Players!$C$5:$C$304,MATCH(D1454,Players!$B$5:$B$304,0)),""))</f>
        <v/>
      </c>
      <c r="F1454" s="22" t="str">
        <f aca="false">IF(D1454="","",IF(COUNTIFS($B$5:$B$2004,B1454,$D$5:$D$2004,D1454)&gt;1,"DUPLICATE",IF(ISNA(MATCH(D1454,Players!$B$5:$B$304,0)),"UID not found",IF(INDEX(Players!$H$5:$H$304,MATCH(D1454,Players!$B$5:$B$304,0))&lt;0,"LOW BALANCE","OK"))))</f>
        <v/>
      </c>
      <c r="G1454" s="1"/>
      <c r="H1454" s="1"/>
      <c r="I1454" s="1"/>
    </row>
    <row r="1455" customFormat="false" ht="21.75" hidden="false" customHeight="true" outlineLevel="0" collapsed="false">
      <c r="A1455" s="1"/>
      <c r="B1455" s="16"/>
      <c r="C1455" s="16"/>
      <c r="D1455" s="15"/>
      <c r="E1455" s="11" t="str">
        <f aca="false">IF(D1455="","",IFERROR(INDEX(Players!$C$5:$C$304,MATCH(D1455,Players!$B$5:$B$304,0)),""))</f>
        <v/>
      </c>
      <c r="F1455" s="22" t="str">
        <f aca="false">IF(D1455="","",IF(COUNTIFS($B$5:$B$2004,B1455,$D$5:$D$2004,D1455)&gt;1,"DUPLICATE",IF(ISNA(MATCH(D1455,Players!$B$5:$B$304,0)),"UID not found",IF(INDEX(Players!$H$5:$H$304,MATCH(D1455,Players!$B$5:$B$304,0))&lt;0,"LOW BALANCE","OK"))))</f>
        <v/>
      </c>
      <c r="G1455" s="1"/>
      <c r="H1455" s="1"/>
      <c r="I1455" s="1"/>
    </row>
    <row r="1456" customFormat="false" ht="21.75" hidden="false" customHeight="true" outlineLevel="0" collapsed="false">
      <c r="A1456" s="1"/>
      <c r="B1456" s="16"/>
      <c r="C1456" s="16"/>
      <c r="D1456" s="15"/>
      <c r="E1456" s="11" t="str">
        <f aca="false">IF(D1456="","",IFERROR(INDEX(Players!$C$5:$C$304,MATCH(D1456,Players!$B$5:$B$304,0)),""))</f>
        <v/>
      </c>
      <c r="F1456" s="22" t="str">
        <f aca="false">IF(D1456="","",IF(COUNTIFS($B$5:$B$2004,B1456,$D$5:$D$2004,D1456)&gt;1,"DUPLICATE",IF(ISNA(MATCH(D1456,Players!$B$5:$B$304,0)),"UID not found",IF(INDEX(Players!$H$5:$H$304,MATCH(D1456,Players!$B$5:$B$304,0))&lt;0,"LOW BALANCE","OK"))))</f>
        <v/>
      </c>
      <c r="G1456" s="1"/>
      <c r="H1456" s="1"/>
      <c r="I1456" s="1"/>
    </row>
    <row r="1457" customFormat="false" ht="21.75" hidden="false" customHeight="true" outlineLevel="0" collapsed="false">
      <c r="A1457" s="1"/>
      <c r="B1457" s="16"/>
      <c r="C1457" s="16"/>
      <c r="D1457" s="15"/>
      <c r="E1457" s="11" t="str">
        <f aca="false">IF(D1457="","",IFERROR(INDEX(Players!$C$5:$C$304,MATCH(D1457,Players!$B$5:$B$304,0)),""))</f>
        <v/>
      </c>
      <c r="F1457" s="22" t="str">
        <f aca="false">IF(D1457="","",IF(COUNTIFS($B$5:$B$2004,B1457,$D$5:$D$2004,D1457)&gt;1,"DUPLICATE",IF(ISNA(MATCH(D1457,Players!$B$5:$B$304,0)),"UID not found",IF(INDEX(Players!$H$5:$H$304,MATCH(D1457,Players!$B$5:$B$304,0))&lt;0,"LOW BALANCE","OK"))))</f>
        <v/>
      </c>
      <c r="G1457" s="1"/>
      <c r="H1457" s="1"/>
      <c r="I1457" s="1"/>
    </row>
    <row r="1458" customFormat="false" ht="21.75" hidden="false" customHeight="true" outlineLevel="0" collapsed="false">
      <c r="A1458" s="1"/>
      <c r="B1458" s="16"/>
      <c r="C1458" s="16"/>
      <c r="D1458" s="15"/>
      <c r="E1458" s="11" t="str">
        <f aca="false">IF(D1458="","",IFERROR(INDEX(Players!$C$5:$C$304,MATCH(D1458,Players!$B$5:$B$304,0)),""))</f>
        <v/>
      </c>
      <c r="F1458" s="22" t="str">
        <f aca="false">IF(D1458="","",IF(COUNTIFS($B$5:$B$2004,B1458,$D$5:$D$2004,D1458)&gt;1,"DUPLICATE",IF(ISNA(MATCH(D1458,Players!$B$5:$B$304,0)),"UID not found",IF(INDEX(Players!$H$5:$H$304,MATCH(D1458,Players!$B$5:$B$304,0))&lt;0,"LOW BALANCE","OK"))))</f>
        <v/>
      </c>
      <c r="G1458" s="1"/>
      <c r="H1458" s="1"/>
      <c r="I1458" s="1"/>
    </row>
    <row r="1459" customFormat="false" ht="21.75" hidden="false" customHeight="true" outlineLevel="0" collapsed="false">
      <c r="A1459" s="1"/>
      <c r="B1459" s="16"/>
      <c r="C1459" s="16"/>
      <c r="D1459" s="15"/>
      <c r="E1459" s="11" t="str">
        <f aca="false">IF(D1459="","",IFERROR(INDEX(Players!$C$5:$C$304,MATCH(D1459,Players!$B$5:$B$304,0)),""))</f>
        <v/>
      </c>
      <c r="F1459" s="22" t="str">
        <f aca="false">IF(D1459="","",IF(COUNTIFS($B$5:$B$2004,B1459,$D$5:$D$2004,D1459)&gt;1,"DUPLICATE",IF(ISNA(MATCH(D1459,Players!$B$5:$B$304,0)),"UID not found",IF(INDEX(Players!$H$5:$H$304,MATCH(D1459,Players!$B$5:$B$304,0))&lt;0,"LOW BALANCE","OK"))))</f>
        <v/>
      </c>
      <c r="G1459" s="1"/>
      <c r="H1459" s="1"/>
      <c r="I1459" s="1"/>
    </row>
    <row r="1460" customFormat="false" ht="21.75" hidden="false" customHeight="true" outlineLevel="0" collapsed="false">
      <c r="A1460" s="1"/>
      <c r="B1460" s="16"/>
      <c r="C1460" s="16"/>
      <c r="D1460" s="15"/>
      <c r="E1460" s="11" t="str">
        <f aca="false">IF(D1460="","",IFERROR(INDEX(Players!$C$5:$C$304,MATCH(D1460,Players!$B$5:$B$304,0)),""))</f>
        <v/>
      </c>
      <c r="F1460" s="22" t="str">
        <f aca="false">IF(D1460="","",IF(COUNTIFS($B$5:$B$2004,B1460,$D$5:$D$2004,D1460)&gt;1,"DUPLICATE",IF(ISNA(MATCH(D1460,Players!$B$5:$B$304,0)),"UID not found",IF(INDEX(Players!$H$5:$H$304,MATCH(D1460,Players!$B$5:$B$304,0))&lt;0,"LOW BALANCE","OK"))))</f>
        <v/>
      </c>
      <c r="G1460" s="1"/>
      <c r="H1460" s="1"/>
      <c r="I1460" s="1"/>
    </row>
    <row r="1461" customFormat="false" ht="21.75" hidden="false" customHeight="true" outlineLevel="0" collapsed="false">
      <c r="A1461" s="1"/>
      <c r="B1461" s="16"/>
      <c r="C1461" s="16"/>
      <c r="D1461" s="15"/>
      <c r="E1461" s="11" t="str">
        <f aca="false">IF(D1461="","",IFERROR(INDEX(Players!$C$5:$C$304,MATCH(D1461,Players!$B$5:$B$304,0)),""))</f>
        <v/>
      </c>
      <c r="F1461" s="22" t="str">
        <f aca="false">IF(D1461="","",IF(COUNTIFS($B$5:$B$2004,B1461,$D$5:$D$2004,D1461)&gt;1,"DUPLICATE",IF(ISNA(MATCH(D1461,Players!$B$5:$B$304,0)),"UID not found",IF(INDEX(Players!$H$5:$H$304,MATCH(D1461,Players!$B$5:$B$304,0))&lt;0,"LOW BALANCE","OK"))))</f>
        <v/>
      </c>
      <c r="G1461" s="1"/>
      <c r="H1461" s="1"/>
      <c r="I1461" s="1"/>
    </row>
    <row r="1462" customFormat="false" ht="21.75" hidden="false" customHeight="true" outlineLevel="0" collapsed="false">
      <c r="A1462" s="1"/>
      <c r="B1462" s="16"/>
      <c r="C1462" s="16"/>
      <c r="D1462" s="15"/>
      <c r="E1462" s="11" t="str">
        <f aca="false">IF(D1462="","",IFERROR(INDEX(Players!$C$5:$C$304,MATCH(D1462,Players!$B$5:$B$304,0)),""))</f>
        <v/>
      </c>
      <c r="F1462" s="22" t="str">
        <f aca="false">IF(D1462="","",IF(COUNTIFS($B$5:$B$2004,B1462,$D$5:$D$2004,D1462)&gt;1,"DUPLICATE",IF(ISNA(MATCH(D1462,Players!$B$5:$B$304,0)),"UID not found",IF(INDEX(Players!$H$5:$H$304,MATCH(D1462,Players!$B$5:$B$304,0))&lt;0,"LOW BALANCE","OK"))))</f>
        <v/>
      </c>
      <c r="G1462" s="1"/>
      <c r="H1462" s="1"/>
      <c r="I1462" s="1"/>
    </row>
    <row r="1463" customFormat="false" ht="21.75" hidden="false" customHeight="true" outlineLevel="0" collapsed="false">
      <c r="A1463" s="1"/>
      <c r="B1463" s="16"/>
      <c r="C1463" s="16"/>
      <c r="D1463" s="15"/>
      <c r="E1463" s="11" t="str">
        <f aca="false">IF(D1463="","",IFERROR(INDEX(Players!$C$5:$C$304,MATCH(D1463,Players!$B$5:$B$304,0)),""))</f>
        <v/>
      </c>
      <c r="F1463" s="22" t="str">
        <f aca="false">IF(D1463="","",IF(COUNTIFS($B$5:$B$2004,B1463,$D$5:$D$2004,D1463)&gt;1,"DUPLICATE",IF(ISNA(MATCH(D1463,Players!$B$5:$B$304,0)),"UID not found",IF(INDEX(Players!$H$5:$H$304,MATCH(D1463,Players!$B$5:$B$304,0))&lt;0,"LOW BALANCE","OK"))))</f>
        <v/>
      </c>
      <c r="G1463" s="1"/>
      <c r="H1463" s="1"/>
      <c r="I1463" s="1"/>
    </row>
    <row r="1464" customFormat="false" ht="21.75" hidden="false" customHeight="true" outlineLevel="0" collapsed="false">
      <c r="A1464" s="1"/>
      <c r="B1464" s="16"/>
      <c r="C1464" s="16"/>
      <c r="D1464" s="15"/>
      <c r="E1464" s="11" t="str">
        <f aca="false">IF(D1464="","",IFERROR(INDEX(Players!$C$5:$C$304,MATCH(D1464,Players!$B$5:$B$304,0)),""))</f>
        <v/>
      </c>
      <c r="F1464" s="22" t="str">
        <f aca="false">IF(D1464="","",IF(COUNTIFS($B$5:$B$2004,B1464,$D$5:$D$2004,D1464)&gt;1,"DUPLICATE",IF(ISNA(MATCH(D1464,Players!$B$5:$B$304,0)),"UID not found",IF(INDEX(Players!$H$5:$H$304,MATCH(D1464,Players!$B$5:$B$304,0))&lt;0,"LOW BALANCE","OK"))))</f>
        <v/>
      </c>
      <c r="G1464" s="1"/>
      <c r="H1464" s="1"/>
      <c r="I1464" s="1"/>
    </row>
    <row r="1465" customFormat="false" ht="21.75" hidden="false" customHeight="true" outlineLevel="0" collapsed="false">
      <c r="A1465" s="1"/>
      <c r="B1465" s="16"/>
      <c r="C1465" s="16"/>
      <c r="D1465" s="15"/>
      <c r="E1465" s="11" t="str">
        <f aca="false">IF(D1465="","",IFERROR(INDEX(Players!$C$5:$C$304,MATCH(D1465,Players!$B$5:$B$304,0)),""))</f>
        <v/>
      </c>
      <c r="F1465" s="22" t="str">
        <f aca="false">IF(D1465="","",IF(COUNTIFS($B$5:$B$2004,B1465,$D$5:$D$2004,D1465)&gt;1,"DUPLICATE",IF(ISNA(MATCH(D1465,Players!$B$5:$B$304,0)),"UID not found",IF(INDEX(Players!$H$5:$H$304,MATCH(D1465,Players!$B$5:$B$304,0))&lt;0,"LOW BALANCE","OK"))))</f>
        <v/>
      </c>
      <c r="G1465" s="1"/>
      <c r="H1465" s="1"/>
      <c r="I1465" s="1"/>
    </row>
    <row r="1466" customFormat="false" ht="21.75" hidden="false" customHeight="true" outlineLevel="0" collapsed="false">
      <c r="A1466" s="1"/>
      <c r="B1466" s="16"/>
      <c r="C1466" s="16"/>
      <c r="D1466" s="15"/>
      <c r="E1466" s="11" t="str">
        <f aca="false">IF(D1466="","",IFERROR(INDEX(Players!$C$5:$C$304,MATCH(D1466,Players!$B$5:$B$304,0)),""))</f>
        <v/>
      </c>
      <c r="F1466" s="22" t="str">
        <f aca="false">IF(D1466="","",IF(COUNTIFS($B$5:$B$2004,B1466,$D$5:$D$2004,D1466)&gt;1,"DUPLICATE",IF(ISNA(MATCH(D1466,Players!$B$5:$B$304,0)),"UID not found",IF(INDEX(Players!$H$5:$H$304,MATCH(D1466,Players!$B$5:$B$304,0))&lt;0,"LOW BALANCE","OK"))))</f>
        <v/>
      </c>
      <c r="G1466" s="1"/>
      <c r="H1466" s="1"/>
      <c r="I1466" s="1"/>
    </row>
    <row r="1467" customFormat="false" ht="21.75" hidden="false" customHeight="true" outlineLevel="0" collapsed="false">
      <c r="A1467" s="1"/>
      <c r="B1467" s="16"/>
      <c r="C1467" s="16"/>
      <c r="D1467" s="15"/>
      <c r="E1467" s="11" t="str">
        <f aca="false">IF(D1467="","",IFERROR(INDEX(Players!$C$5:$C$304,MATCH(D1467,Players!$B$5:$B$304,0)),""))</f>
        <v/>
      </c>
      <c r="F1467" s="22" t="str">
        <f aca="false">IF(D1467="","",IF(COUNTIFS($B$5:$B$2004,B1467,$D$5:$D$2004,D1467)&gt;1,"DUPLICATE",IF(ISNA(MATCH(D1467,Players!$B$5:$B$304,0)),"UID not found",IF(INDEX(Players!$H$5:$H$304,MATCH(D1467,Players!$B$5:$B$304,0))&lt;0,"LOW BALANCE","OK"))))</f>
        <v/>
      </c>
      <c r="G1467" s="1"/>
      <c r="H1467" s="1"/>
      <c r="I1467" s="1"/>
    </row>
    <row r="1468" customFormat="false" ht="21.75" hidden="false" customHeight="true" outlineLevel="0" collapsed="false">
      <c r="A1468" s="1"/>
      <c r="B1468" s="16"/>
      <c r="C1468" s="16"/>
      <c r="D1468" s="15"/>
      <c r="E1468" s="11" t="str">
        <f aca="false">IF(D1468="","",IFERROR(INDEX(Players!$C$5:$C$304,MATCH(D1468,Players!$B$5:$B$304,0)),""))</f>
        <v/>
      </c>
      <c r="F1468" s="22" t="str">
        <f aca="false">IF(D1468="","",IF(COUNTIFS($B$5:$B$2004,B1468,$D$5:$D$2004,D1468)&gt;1,"DUPLICATE",IF(ISNA(MATCH(D1468,Players!$B$5:$B$304,0)),"UID not found",IF(INDEX(Players!$H$5:$H$304,MATCH(D1468,Players!$B$5:$B$304,0))&lt;0,"LOW BALANCE","OK"))))</f>
        <v/>
      </c>
      <c r="G1468" s="1"/>
      <c r="H1468" s="1"/>
      <c r="I1468" s="1"/>
    </row>
    <row r="1469" customFormat="false" ht="21.75" hidden="false" customHeight="true" outlineLevel="0" collapsed="false">
      <c r="A1469" s="1"/>
      <c r="B1469" s="16"/>
      <c r="C1469" s="16"/>
      <c r="D1469" s="15"/>
      <c r="E1469" s="11" t="str">
        <f aca="false">IF(D1469="","",IFERROR(INDEX(Players!$C$5:$C$304,MATCH(D1469,Players!$B$5:$B$304,0)),""))</f>
        <v/>
      </c>
      <c r="F1469" s="22" t="str">
        <f aca="false">IF(D1469="","",IF(COUNTIFS($B$5:$B$2004,B1469,$D$5:$D$2004,D1469)&gt;1,"DUPLICATE",IF(ISNA(MATCH(D1469,Players!$B$5:$B$304,0)),"UID not found",IF(INDEX(Players!$H$5:$H$304,MATCH(D1469,Players!$B$5:$B$304,0))&lt;0,"LOW BALANCE","OK"))))</f>
        <v/>
      </c>
      <c r="G1469" s="1"/>
      <c r="H1469" s="1"/>
      <c r="I1469" s="1"/>
    </row>
    <row r="1470" customFormat="false" ht="21.75" hidden="false" customHeight="true" outlineLevel="0" collapsed="false">
      <c r="A1470" s="1"/>
      <c r="B1470" s="16"/>
      <c r="C1470" s="16"/>
      <c r="D1470" s="15"/>
      <c r="E1470" s="11" t="str">
        <f aca="false">IF(D1470="","",IFERROR(INDEX(Players!$C$5:$C$304,MATCH(D1470,Players!$B$5:$B$304,0)),""))</f>
        <v/>
      </c>
      <c r="F1470" s="22" t="str">
        <f aca="false">IF(D1470="","",IF(COUNTIFS($B$5:$B$2004,B1470,$D$5:$D$2004,D1470)&gt;1,"DUPLICATE",IF(ISNA(MATCH(D1470,Players!$B$5:$B$304,0)),"UID not found",IF(INDEX(Players!$H$5:$H$304,MATCH(D1470,Players!$B$5:$B$304,0))&lt;0,"LOW BALANCE","OK"))))</f>
        <v/>
      </c>
      <c r="G1470" s="1"/>
      <c r="H1470" s="1"/>
      <c r="I1470" s="1"/>
    </row>
    <row r="1471" customFormat="false" ht="21.75" hidden="false" customHeight="true" outlineLevel="0" collapsed="false">
      <c r="A1471" s="1"/>
      <c r="B1471" s="16"/>
      <c r="C1471" s="16"/>
      <c r="D1471" s="15"/>
      <c r="E1471" s="11" t="str">
        <f aca="false">IF(D1471="","",IFERROR(INDEX(Players!$C$5:$C$304,MATCH(D1471,Players!$B$5:$B$304,0)),""))</f>
        <v/>
      </c>
      <c r="F1471" s="22" t="str">
        <f aca="false">IF(D1471="","",IF(COUNTIFS($B$5:$B$2004,B1471,$D$5:$D$2004,D1471)&gt;1,"DUPLICATE",IF(ISNA(MATCH(D1471,Players!$B$5:$B$304,0)),"UID not found",IF(INDEX(Players!$H$5:$H$304,MATCH(D1471,Players!$B$5:$B$304,0))&lt;0,"LOW BALANCE","OK"))))</f>
        <v/>
      </c>
      <c r="G1471" s="1"/>
      <c r="H1471" s="1"/>
      <c r="I1471" s="1"/>
    </row>
    <row r="1472" customFormat="false" ht="21.75" hidden="false" customHeight="true" outlineLevel="0" collapsed="false">
      <c r="A1472" s="1"/>
      <c r="B1472" s="16"/>
      <c r="C1472" s="16"/>
      <c r="D1472" s="15"/>
      <c r="E1472" s="11" t="str">
        <f aca="false">IF(D1472="","",IFERROR(INDEX(Players!$C$5:$C$304,MATCH(D1472,Players!$B$5:$B$304,0)),""))</f>
        <v/>
      </c>
      <c r="F1472" s="22" t="str">
        <f aca="false">IF(D1472="","",IF(COUNTIFS($B$5:$B$2004,B1472,$D$5:$D$2004,D1472)&gt;1,"DUPLICATE",IF(ISNA(MATCH(D1472,Players!$B$5:$B$304,0)),"UID not found",IF(INDEX(Players!$H$5:$H$304,MATCH(D1472,Players!$B$5:$B$304,0))&lt;0,"LOW BALANCE","OK"))))</f>
        <v/>
      </c>
      <c r="G1472" s="1"/>
      <c r="H1472" s="1"/>
      <c r="I1472" s="1"/>
    </row>
    <row r="1473" customFormat="false" ht="21.75" hidden="false" customHeight="true" outlineLevel="0" collapsed="false">
      <c r="A1473" s="1"/>
      <c r="B1473" s="16"/>
      <c r="C1473" s="16"/>
      <c r="D1473" s="15"/>
      <c r="E1473" s="11" t="str">
        <f aca="false">IF(D1473="","",IFERROR(INDEX(Players!$C$5:$C$304,MATCH(D1473,Players!$B$5:$B$304,0)),""))</f>
        <v/>
      </c>
      <c r="F1473" s="22" t="str">
        <f aca="false">IF(D1473="","",IF(COUNTIFS($B$5:$B$2004,B1473,$D$5:$D$2004,D1473)&gt;1,"DUPLICATE",IF(ISNA(MATCH(D1473,Players!$B$5:$B$304,0)),"UID not found",IF(INDEX(Players!$H$5:$H$304,MATCH(D1473,Players!$B$5:$B$304,0))&lt;0,"LOW BALANCE","OK"))))</f>
        <v/>
      </c>
      <c r="G1473" s="1"/>
      <c r="H1473" s="1"/>
      <c r="I1473" s="1"/>
    </row>
    <row r="1474" customFormat="false" ht="21.75" hidden="false" customHeight="true" outlineLevel="0" collapsed="false">
      <c r="A1474" s="1"/>
      <c r="B1474" s="16"/>
      <c r="C1474" s="16"/>
      <c r="D1474" s="15"/>
      <c r="E1474" s="11" t="str">
        <f aca="false">IF(D1474="","",IFERROR(INDEX(Players!$C$5:$C$304,MATCH(D1474,Players!$B$5:$B$304,0)),""))</f>
        <v/>
      </c>
      <c r="F1474" s="22" t="str">
        <f aca="false">IF(D1474="","",IF(COUNTIFS($B$5:$B$2004,B1474,$D$5:$D$2004,D1474)&gt;1,"DUPLICATE",IF(ISNA(MATCH(D1474,Players!$B$5:$B$304,0)),"UID not found",IF(INDEX(Players!$H$5:$H$304,MATCH(D1474,Players!$B$5:$B$304,0))&lt;0,"LOW BALANCE","OK"))))</f>
        <v/>
      </c>
      <c r="G1474" s="1"/>
      <c r="H1474" s="1"/>
      <c r="I1474" s="1"/>
    </row>
    <row r="1475" customFormat="false" ht="21.75" hidden="false" customHeight="true" outlineLevel="0" collapsed="false">
      <c r="A1475" s="1"/>
      <c r="B1475" s="16"/>
      <c r="C1475" s="16"/>
      <c r="D1475" s="15"/>
      <c r="E1475" s="11" t="str">
        <f aca="false">IF(D1475="","",IFERROR(INDEX(Players!$C$5:$C$304,MATCH(D1475,Players!$B$5:$B$304,0)),""))</f>
        <v/>
      </c>
      <c r="F1475" s="22" t="str">
        <f aca="false">IF(D1475="","",IF(COUNTIFS($B$5:$B$2004,B1475,$D$5:$D$2004,D1475)&gt;1,"DUPLICATE",IF(ISNA(MATCH(D1475,Players!$B$5:$B$304,0)),"UID not found",IF(INDEX(Players!$H$5:$H$304,MATCH(D1475,Players!$B$5:$B$304,0))&lt;0,"LOW BALANCE","OK"))))</f>
        <v/>
      </c>
      <c r="G1475" s="1"/>
      <c r="H1475" s="1"/>
      <c r="I1475" s="1"/>
    </row>
    <row r="1476" customFormat="false" ht="21.75" hidden="false" customHeight="true" outlineLevel="0" collapsed="false">
      <c r="A1476" s="1"/>
      <c r="B1476" s="16"/>
      <c r="C1476" s="16"/>
      <c r="D1476" s="15"/>
      <c r="E1476" s="11" t="str">
        <f aca="false">IF(D1476="","",IFERROR(INDEX(Players!$C$5:$C$304,MATCH(D1476,Players!$B$5:$B$304,0)),""))</f>
        <v/>
      </c>
      <c r="F1476" s="22" t="str">
        <f aca="false">IF(D1476="","",IF(COUNTIFS($B$5:$B$2004,B1476,$D$5:$D$2004,D1476)&gt;1,"DUPLICATE",IF(ISNA(MATCH(D1476,Players!$B$5:$B$304,0)),"UID not found",IF(INDEX(Players!$H$5:$H$304,MATCH(D1476,Players!$B$5:$B$304,0))&lt;0,"LOW BALANCE","OK"))))</f>
        <v/>
      </c>
      <c r="G1476" s="1"/>
      <c r="H1476" s="1"/>
      <c r="I1476" s="1"/>
    </row>
    <row r="1477" customFormat="false" ht="21.75" hidden="false" customHeight="true" outlineLevel="0" collapsed="false">
      <c r="A1477" s="1"/>
      <c r="B1477" s="16"/>
      <c r="C1477" s="16"/>
      <c r="D1477" s="15"/>
      <c r="E1477" s="11" t="str">
        <f aca="false">IF(D1477="","",IFERROR(INDEX(Players!$C$5:$C$304,MATCH(D1477,Players!$B$5:$B$304,0)),""))</f>
        <v/>
      </c>
      <c r="F1477" s="22" t="str">
        <f aca="false">IF(D1477="","",IF(COUNTIFS($B$5:$B$2004,B1477,$D$5:$D$2004,D1477)&gt;1,"DUPLICATE",IF(ISNA(MATCH(D1477,Players!$B$5:$B$304,0)),"UID not found",IF(INDEX(Players!$H$5:$H$304,MATCH(D1477,Players!$B$5:$B$304,0))&lt;0,"LOW BALANCE","OK"))))</f>
        <v/>
      </c>
      <c r="G1477" s="1"/>
      <c r="H1477" s="1"/>
      <c r="I1477" s="1"/>
    </row>
    <row r="1478" customFormat="false" ht="21.75" hidden="false" customHeight="true" outlineLevel="0" collapsed="false">
      <c r="A1478" s="1"/>
      <c r="B1478" s="16"/>
      <c r="C1478" s="16"/>
      <c r="D1478" s="15"/>
      <c r="E1478" s="11" t="str">
        <f aca="false">IF(D1478="","",IFERROR(INDEX(Players!$C$5:$C$304,MATCH(D1478,Players!$B$5:$B$304,0)),""))</f>
        <v/>
      </c>
      <c r="F1478" s="22" t="str">
        <f aca="false">IF(D1478="","",IF(COUNTIFS($B$5:$B$2004,B1478,$D$5:$D$2004,D1478)&gt;1,"DUPLICATE",IF(ISNA(MATCH(D1478,Players!$B$5:$B$304,0)),"UID not found",IF(INDEX(Players!$H$5:$H$304,MATCH(D1478,Players!$B$5:$B$304,0))&lt;0,"LOW BALANCE","OK"))))</f>
        <v/>
      </c>
      <c r="G1478" s="1"/>
      <c r="H1478" s="1"/>
      <c r="I1478" s="1"/>
    </row>
    <row r="1479" customFormat="false" ht="21.75" hidden="false" customHeight="true" outlineLevel="0" collapsed="false">
      <c r="A1479" s="1"/>
      <c r="B1479" s="16"/>
      <c r="C1479" s="16"/>
      <c r="D1479" s="15"/>
      <c r="E1479" s="11" t="str">
        <f aca="false">IF(D1479="","",IFERROR(INDEX(Players!$C$5:$C$304,MATCH(D1479,Players!$B$5:$B$304,0)),""))</f>
        <v/>
      </c>
      <c r="F1479" s="22" t="str">
        <f aca="false">IF(D1479="","",IF(COUNTIFS($B$5:$B$2004,B1479,$D$5:$D$2004,D1479)&gt;1,"DUPLICATE",IF(ISNA(MATCH(D1479,Players!$B$5:$B$304,0)),"UID not found",IF(INDEX(Players!$H$5:$H$304,MATCH(D1479,Players!$B$5:$B$304,0))&lt;0,"LOW BALANCE","OK"))))</f>
        <v/>
      </c>
      <c r="G1479" s="1"/>
      <c r="H1479" s="1"/>
      <c r="I1479" s="1"/>
    </row>
    <row r="1480" customFormat="false" ht="21.75" hidden="false" customHeight="true" outlineLevel="0" collapsed="false">
      <c r="A1480" s="1"/>
      <c r="B1480" s="16"/>
      <c r="C1480" s="16"/>
      <c r="D1480" s="15"/>
      <c r="E1480" s="11" t="str">
        <f aca="false">IF(D1480="","",IFERROR(INDEX(Players!$C$5:$C$304,MATCH(D1480,Players!$B$5:$B$304,0)),""))</f>
        <v/>
      </c>
      <c r="F1480" s="22" t="str">
        <f aca="false">IF(D1480="","",IF(COUNTIFS($B$5:$B$2004,B1480,$D$5:$D$2004,D1480)&gt;1,"DUPLICATE",IF(ISNA(MATCH(D1480,Players!$B$5:$B$304,0)),"UID not found",IF(INDEX(Players!$H$5:$H$304,MATCH(D1480,Players!$B$5:$B$304,0))&lt;0,"LOW BALANCE","OK"))))</f>
        <v/>
      </c>
      <c r="G1480" s="1"/>
      <c r="H1480" s="1"/>
      <c r="I1480" s="1"/>
    </row>
    <row r="1481" customFormat="false" ht="21.75" hidden="false" customHeight="true" outlineLevel="0" collapsed="false">
      <c r="A1481" s="1"/>
      <c r="B1481" s="16"/>
      <c r="C1481" s="16"/>
      <c r="D1481" s="15"/>
      <c r="E1481" s="11" t="str">
        <f aca="false">IF(D1481="","",IFERROR(INDEX(Players!$C$5:$C$304,MATCH(D1481,Players!$B$5:$B$304,0)),""))</f>
        <v/>
      </c>
      <c r="F1481" s="22" t="str">
        <f aca="false">IF(D1481="","",IF(COUNTIFS($B$5:$B$2004,B1481,$D$5:$D$2004,D1481)&gt;1,"DUPLICATE",IF(ISNA(MATCH(D1481,Players!$B$5:$B$304,0)),"UID not found",IF(INDEX(Players!$H$5:$H$304,MATCH(D1481,Players!$B$5:$B$304,0))&lt;0,"LOW BALANCE","OK"))))</f>
        <v/>
      </c>
      <c r="G1481" s="1"/>
      <c r="H1481" s="1"/>
      <c r="I1481" s="1"/>
    </row>
    <row r="1482" customFormat="false" ht="21.75" hidden="false" customHeight="true" outlineLevel="0" collapsed="false">
      <c r="A1482" s="1"/>
      <c r="B1482" s="16"/>
      <c r="C1482" s="16"/>
      <c r="D1482" s="15"/>
      <c r="E1482" s="11" t="str">
        <f aca="false">IF(D1482="","",IFERROR(INDEX(Players!$C$5:$C$304,MATCH(D1482,Players!$B$5:$B$304,0)),""))</f>
        <v/>
      </c>
      <c r="F1482" s="22" t="str">
        <f aca="false">IF(D1482="","",IF(COUNTIFS($B$5:$B$2004,B1482,$D$5:$D$2004,D1482)&gt;1,"DUPLICATE",IF(ISNA(MATCH(D1482,Players!$B$5:$B$304,0)),"UID not found",IF(INDEX(Players!$H$5:$H$304,MATCH(D1482,Players!$B$5:$B$304,0))&lt;0,"LOW BALANCE","OK"))))</f>
        <v/>
      </c>
      <c r="G1482" s="1"/>
      <c r="H1482" s="1"/>
      <c r="I1482" s="1"/>
    </row>
    <row r="1483" customFormat="false" ht="21.75" hidden="false" customHeight="true" outlineLevel="0" collapsed="false">
      <c r="A1483" s="1"/>
      <c r="B1483" s="16"/>
      <c r="C1483" s="16"/>
      <c r="D1483" s="15"/>
      <c r="E1483" s="11" t="str">
        <f aca="false">IF(D1483="","",IFERROR(INDEX(Players!$C$5:$C$304,MATCH(D1483,Players!$B$5:$B$304,0)),""))</f>
        <v/>
      </c>
      <c r="F1483" s="22" t="str">
        <f aca="false">IF(D1483="","",IF(COUNTIFS($B$5:$B$2004,B1483,$D$5:$D$2004,D1483)&gt;1,"DUPLICATE",IF(ISNA(MATCH(D1483,Players!$B$5:$B$304,0)),"UID not found",IF(INDEX(Players!$H$5:$H$304,MATCH(D1483,Players!$B$5:$B$304,0))&lt;0,"LOW BALANCE","OK"))))</f>
        <v/>
      </c>
      <c r="G1483" s="1"/>
      <c r="H1483" s="1"/>
      <c r="I1483" s="1"/>
    </row>
    <row r="1484" customFormat="false" ht="21.75" hidden="false" customHeight="true" outlineLevel="0" collapsed="false">
      <c r="A1484" s="1"/>
      <c r="B1484" s="16"/>
      <c r="C1484" s="16"/>
      <c r="D1484" s="15"/>
      <c r="E1484" s="11" t="str">
        <f aca="false">IF(D1484="","",IFERROR(INDEX(Players!$C$5:$C$304,MATCH(D1484,Players!$B$5:$B$304,0)),""))</f>
        <v/>
      </c>
      <c r="F1484" s="22" t="str">
        <f aca="false">IF(D1484="","",IF(COUNTIFS($B$5:$B$2004,B1484,$D$5:$D$2004,D1484)&gt;1,"DUPLICATE",IF(ISNA(MATCH(D1484,Players!$B$5:$B$304,0)),"UID not found",IF(INDEX(Players!$H$5:$H$304,MATCH(D1484,Players!$B$5:$B$304,0))&lt;0,"LOW BALANCE","OK"))))</f>
        <v/>
      </c>
      <c r="G1484" s="1"/>
      <c r="H1484" s="1"/>
      <c r="I1484" s="1"/>
    </row>
    <row r="1485" customFormat="false" ht="21.75" hidden="false" customHeight="true" outlineLevel="0" collapsed="false">
      <c r="A1485" s="1"/>
      <c r="B1485" s="16"/>
      <c r="C1485" s="16"/>
      <c r="D1485" s="15"/>
      <c r="E1485" s="11" t="str">
        <f aca="false">IF(D1485="","",IFERROR(INDEX(Players!$C$5:$C$304,MATCH(D1485,Players!$B$5:$B$304,0)),""))</f>
        <v/>
      </c>
      <c r="F1485" s="22" t="str">
        <f aca="false">IF(D1485="","",IF(COUNTIFS($B$5:$B$2004,B1485,$D$5:$D$2004,D1485)&gt;1,"DUPLICATE",IF(ISNA(MATCH(D1485,Players!$B$5:$B$304,0)),"UID not found",IF(INDEX(Players!$H$5:$H$304,MATCH(D1485,Players!$B$5:$B$304,0))&lt;0,"LOW BALANCE","OK"))))</f>
        <v/>
      </c>
      <c r="G1485" s="1"/>
      <c r="H1485" s="1"/>
      <c r="I1485" s="1"/>
    </row>
    <row r="1486" customFormat="false" ht="21.75" hidden="false" customHeight="true" outlineLevel="0" collapsed="false">
      <c r="A1486" s="1"/>
      <c r="B1486" s="16"/>
      <c r="C1486" s="16"/>
      <c r="D1486" s="15"/>
      <c r="E1486" s="11" t="str">
        <f aca="false">IF(D1486="","",IFERROR(INDEX(Players!$C$5:$C$304,MATCH(D1486,Players!$B$5:$B$304,0)),""))</f>
        <v/>
      </c>
      <c r="F1486" s="22" t="str">
        <f aca="false">IF(D1486="","",IF(COUNTIFS($B$5:$B$2004,B1486,$D$5:$D$2004,D1486)&gt;1,"DUPLICATE",IF(ISNA(MATCH(D1486,Players!$B$5:$B$304,0)),"UID not found",IF(INDEX(Players!$H$5:$H$304,MATCH(D1486,Players!$B$5:$B$304,0))&lt;0,"LOW BALANCE","OK"))))</f>
        <v/>
      </c>
      <c r="G1486" s="1"/>
      <c r="H1486" s="1"/>
      <c r="I1486" s="1"/>
    </row>
    <row r="1487" customFormat="false" ht="21.75" hidden="false" customHeight="true" outlineLevel="0" collapsed="false">
      <c r="A1487" s="1"/>
      <c r="B1487" s="16"/>
      <c r="C1487" s="16"/>
      <c r="D1487" s="15"/>
      <c r="E1487" s="11" t="str">
        <f aca="false">IF(D1487="","",IFERROR(INDEX(Players!$C$5:$C$304,MATCH(D1487,Players!$B$5:$B$304,0)),""))</f>
        <v/>
      </c>
      <c r="F1487" s="22" t="str">
        <f aca="false">IF(D1487="","",IF(COUNTIFS($B$5:$B$2004,B1487,$D$5:$D$2004,D1487)&gt;1,"DUPLICATE",IF(ISNA(MATCH(D1487,Players!$B$5:$B$304,0)),"UID not found",IF(INDEX(Players!$H$5:$H$304,MATCH(D1487,Players!$B$5:$B$304,0))&lt;0,"LOW BALANCE","OK"))))</f>
        <v/>
      </c>
      <c r="G1487" s="1"/>
      <c r="H1487" s="1"/>
      <c r="I1487" s="1"/>
    </row>
    <row r="1488" customFormat="false" ht="21.75" hidden="false" customHeight="true" outlineLevel="0" collapsed="false">
      <c r="A1488" s="1"/>
      <c r="B1488" s="16"/>
      <c r="C1488" s="16"/>
      <c r="D1488" s="15"/>
      <c r="E1488" s="11" t="str">
        <f aca="false">IF(D1488="","",IFERROR(INDEX(Players!$C$5:$C$304,MATCH(D1488,Players!$B$5:$B$304,0)),""))</f>
        <v/>
      </c>
      <c r="F1488" s="22" t="str">
        <f aca="false">IF(D1488="","",IF(COUNTIFS($B$5:$B$2004,B1488,$D$5:$D$2004,D1488)&gt;1,"DUPLICATE",IF(ISNA(MATCH(D1488,Players!$B$5:$B$304,0)),"UID not found",IF(INDEX(Players!$H$5:$H$304,MATCH(D1488,Players!$B$5:$B$304,0))&lt;0,"LOW BALANCE","OK"))))</f>
        <v/>
      </c>
      <c r="G1488" s="1"/>
      <c r="H1488" s="1"/>
      <c r="I1488" s="1"/>
    </row>
    <row r="1489" customFormat="false" ht="21.75" hidden="false" customHeight="true" outlineLevel="0" collapsed="false">
      <c r="A1489" s="1"/>
      <c r="B1489" s="16"/>
      <c r="C1489" s="16"/>
      <c r="D1489" s="15"/>
      <c r="E1489" s="11" t="str">
        <f aca="false">IF(D1489="","",IFERROR(INDEX(Players!$C$5:$C$304,MATCH(D1489,Players!$B$5:$B$304,0)),""))</f>
        <v/>
      </c>
      <c r="F1489" s="22" t="str">
        <f aca="false">IF(D1489="","",IF(COUNTIFS($B$5:$B$2004,B1489,$D$5:$D$2004,D1489)&gt;1,"DUPLICATE",IF(ISNA(MATCH(D1489,Players!$B$5:$B$304,0)),"UID not found",IF(INDEX(Players!$H$5:$H$304,MATCH(D1489,Players!$B$5:$B$304,0))&lt;0,"LOW BALANCE","OK"))))</f>
        <v/>
      </c>
      <c r="G1489" s="1"/>
      <c r="H1489" s="1"/>
      <c r="I1489" s="1"/>
    </row>
    <row r="1490" customFormat="false" ht="21.75" hidden="false" customHeight="true" outlineLevel="0" collapsed="false">
      <c r="A1490" s="1"/>
      <c r="B1490" s="16"/>
      <c r="C1490" s="16"/>
      <c r="D1490" s="15"/>
      <c r="E1490" s="11" t="str">
        <f aca="false">IF(D1490="","",IFERROR(INDEX(Players!$C$5:$C$304,MATCH(D1490,Players!$B$5:$B$304,0)),""))</f>
        <v/>
      </c>
      <c r="F1490" s="22" t="str">
        <f aca="false">IF(D1490="","",IF(COUNTIFS($B$5:$B$2004,B1490,$D$5:$D$2004,D1490)&gt;1,"DUPLICATE",IF(ISNA(MATCH(D1490,Players!$B$5:$B$304,0)),"UID not found",IF(INDEX(Players!$H$5:$H$304,MATCH(D1490,Players!$B$5:$B$304,0))&lt;0,"LOW BALANCE","OK"))))</f>
        <v/>
      </c>
      <c r="G1490" s="1"/>
      <c r="H1490" s="1"/>
      <c r="I1490" s="1"/>
    </row>
    <row r="1491" customFormat="false" ht="21.75" hidden="false" customHeight="true" outlineLevel="0" collapsed="false">
      <c r="A1491" s="1"/>
      <c r="B1491" s="16"/>
      <c r="C1491" s="16"/>
      <c r="D1491" s="15"/>
      <c r="E1491" s="11" t="str">
        <f aca="false">IF(D1491="","",IFERROR(INDEX(Players!$C$5:$C$304,MATCH(D1491,Players!$B$5:$B$304,0)),""))</f>
        <v/>
      </c>
      <c r="F1491" s="22" t="str">
        <f aca="false">IF(D1491="","",IF(COUNTIFS($B$5:$B$2004,B1491,$D$5:$D$2004,D1491)&gt;1,"DUPLICATE",IF(ISNA(MATCH(D1491,Players!$B$5:$B$304,0)),"UID not found",IF(INDEX(Players!$H$5:$H$304,MATCH(D1491,Players!$B$5:$B$304,0))&lt;0,"LOW BALANCE","OK"))))</f>
        <v/>
      </c>
      <c r="G1491" s="1"/>
      <c r="H1491" s="1"/>
      <c r="I1491" s="1"/>
    </row>
    <row r="1492" customFormat="false" ht="21.75" hidden="false" customHeight="true" outlineLevel="0" collapsed="false">
      <c r="A1492" s="1"/>
      <c r="B1492" s="16"/>
      <c r="C1492" s="16"/>
      <c r="D1492" s="15"/>
      <c r="E1492" s="11" t="str">
        <f aca="false">IF(D1492="","",IFERROR(INDEX(Players!$C$5:$C$304,MATCH(D1492,Players!$B$5:$B$304,0)),""))</f>
        <v/>
      </c>
      <c r="F1492" s="22" t="str">
        <f aca="false">IF(D1492="","",IF(COUNTIFS($B$5:$B$2004,B1492,$D$5:$D$2004,D1492)&gt;1,"DUPLICATE",IF(ISNA(MATCH(D1492,Players!$B$5:$B$304,0)),"UID not found",IF(INDEX(Players!$H$5:$H$304,MATCH(D1492,Players!$B$5:$B$304,0))&lt;0,"LOW BALANCE","OK"))))</f>
        <v/>
      </c>
      <c r="G1492" s="1"/>
      <c r="H1492" s="1"/>
      <c r="I1492" s="1"/>
    </row>
    <row r="1493" customFormat="false" ht="21.75" hidden="false" customHeight="true" outlineLevel="0" collapsed="false">
      <c r="A1493" s="1"/>
      <c r="B1493" s="16"/>
      <c r="C1493" s="16"/>
      <c r="D1493" s="15"/>
      <c r="E1493" s="11" t="str">
        <f aca="false">IF(D1493="","",IFERROR(INDEX(Players!$C$5:$C$304,MATCH(D1493,Players!$B$5:$B$304,0)),""))</f>
        <v/>
      </c>
      <c r="F1493" s="22" t="str">
        <f aca="false">IF(D1493="","",IF(COUNTIFS($B$5:$B$2004,B1493,$D$5:$D$2004,D1493)&gt;1,"DUPLICATE",IF(ISNA(MATCH(D1493,Players!$B$5:$B$304,0)),"UID not found",IF(INDEX(Players!$H$5:$H$304,MATCH(D1493,Players!$B$5:$B$304,0))&lt;0,"LOW BALANCE","OK"))))</f>
        <v/>
      </c>
      <c r="G1493" s="1"/>
      <c r="H1493" s="1"/>
      <c r="I1493" s="1"/>
    </row>
    <row r="1494" customFormat="false" ht="21.75" hidden="false" customHeight="true" outlineLevel="0" collapsed="false">
      <c r="A1494" s="1"/>
      <c r="B1494" s="16"/>
      <c r="C1494" s="16"/>
      <c r="D1494" s="15"/>
      <c r="E1494" s="11" t="str">
        <f aca="false">IF(D1494="","",IFERROR(INDEX(Players!$C$5:$C$304,MATCH(D1494,Players!$B$5:$B$304,0)),""))</f>
        <v/>
      </c>
      <c r="F1494" s="22" t="str">
        <f aca="false">IF(D1494="","",IF(COUNTIFS($B$5:$B$2004,B1494,$D$5:$D$2004,D1494)&gt;1,"DUPLICATE",IF(ISNA(MATCH(D1494,Players!$B$5:$B$304,0)),"UID not found",IF(INDEX(Players!$H$5:$H$304,MATCH(D1494,Players!$B$5:$B$304,0))&lt;0,"LOW BALANCE","OK"))))</f>
        <v/>
      </c>
      <c r="G1494" s="1"/>
      <c r="H1494" s="1"/>
      <c r="I1494" s="1"/>
    </row>
    <row r="1495" customFormat="false" ht="21.75" hidden="false" customHeight="true" outlineLevel="0" collapsed="false">
      <c r="A1495" s="1"/>
      <c r="B1495" s="16"/>
      <c r="C1495" s="16"/>
      <c r="D1495" s="15"/>
      <c r="E1495" s="11" t="str">
        <f aca="false">IF(D1495="","",IFERROR(INDEX(Players!$C$5:$C$304,MATCH(D1495,Players!$B$5:$B$304,0)),""))</f>
        <v/>
      </c>
      <c r="F1495" s="22" t="str">
        <f aca="false">IF(D1495="","",IF(COUNTIFS($B$5:$B$2004,B1495,$D$5:$D$2004,D1495)&gt;1,"DUPLICATE",IF(ISNA(MATCH(D1495,Players!$B$5:$B$304,0)),"UID not found",IF(INDEX(Players!$H$5:$H$304,MATCH(D1495,Players!$B$5:$B$304,0))&lt;0,"LOW BALANCE","OK"))))</f>
        <v/>
      </c>
      <c r="G1495" s="1"/>
      <c r="H1495" s="1"/>
      <c r="I1495" s="1"/>
    </row>
    <row r="1496" customFormat="false" ht="21.75" hidden="false" customHeight="true" outlineLevel="0" collapsed="false">
      <c r="A1496" s="1"/>
      <c r="B1496" s="16"/>
      <c r="C1496" s="16"/>
      <c r="D1496" s="15"/>
      <c r="E1496" s="11" t="str">
        <f aca="false">IF(D1496="","",IFERROR(INDEX(Players!$C$5:$C$304,MATCH(D1496,Players!$B$5:$B$304,0)),""))</f>
        <v/>
      </c>
      <c r="F1496" s="22" t="str">
        <f aca="false">IF(D1496="","",IF(COUNTIFS($B$5:$B$2004,B1496,$D$5:$D$2004,D1496)&gt;1,"DUPLICATE",IF(ISNA(MATCH(D1496,Players!$B$5:$B$304,0)),"UID not found",IF(INDEX(Players!$H$5:$H$304,MATCH(D1496,Players!$B$5:$B$304,0))&lt;0,"LOW BALANCE","OK"))))</f>
        <v/>
      </c>
      <c r="G1496" s="1"/>
      <c r="H1496" s="1"/>
      <c r="I1496" s="1"/>
    </row>
    <row r="1497" customFormat="false" ht="21.75" hidden="false" customHeight="true" outlineLevel="0" collapsed="false">
      <c r="A1497" s="1"/>
      <c r="B1497" s="16"/>
      <c r="C1497" s="16"/>
      <c r="D1497" s="15"/>
      <c r="E1497" s="11" t="str">
        <f aca="false">IF(D1497="","",IFERROR(INDEX(Players!$C$5:$C$304,MATCH(D1497,Players!$B$5:$B$304,0)),""))</f>
        <v/>
      </c>
      <c r="F1497" s="22" t="str">
        <f aca="false">IF(D1497="","",IF(COUNTIFS($B$5:$B$2004,B1497,$D$5:$D$2004,D1497)&gt;1,"DUPLICATE",IF(ISNA(MATCH(D1497,Players!$B$5:$B$304,0)),"UID not found",IF(INDEX(Players!$H$5:$H$304,MATCH(D1497,Players!$B$5:$B$304,0))&lt;0,"LOW BALANCE","OK"))))</f>
        <v/>
      </c>
      <c r="G1497" s="1"/>
      <c r="H1497" s="1"/>
      <c r="I1497" s="1"/>
    </row>
    <row r="1498" customFormat="false" ht="21.75" hidden="false" customHeight="true" outlineLevel="0" collapsed="false">
      <c r="A1498" s="1"/>
      <c r="B1498" s="16"/>
      <c r="C1498" s="16"/>
      <c r="D1498" s="15"/>
      <c r="E1498" s="11" t="str">
        <f aca="false">IF(D1498="","",IFERROR(INDEX(Players!$C$5:$C$304,MATCH(D1498,Players!$B$5:$B$304,0)),""))</f>
        <v/>
      </c>
      <c r="F1498" s="22" t="str">
        <f aca="false">IF(D1498="","",IF(COUNTIFS($B$5:$B$2004,B1498,$D$5:$D$2004,D1498)&gt;1,"DUPLICATE",IF(ISNA(MATCH(D1498,Players!$B$5:$B$304,0)),"UID not found",IF(INDEX(Players!$H$5:$H$304,MATCH(D1498,Players!$B$5:$B$304,0))&lt;0,"LOW BALANCE","OK"))))</f>
        <v/>
      </c>
      <c r="G1498" s="1"/>
      <c r="H1498" s="1"/>
      <c r="I1498" s="1"/>
    </row>
    <row r="1499" customFormat="false" ht="21.75" hidden="false" customHeight="true" outlineLevel="0" collapsed="false">
      <c r="A1499" s="1"/>
      <c r="B1499" s="16"/>
      <c r="C1499" s="16"/>
      <c r="D1499" s="15"/>
      <c r="E1499" s="11" t="str">
        <f aca="false">IF(D1499="","",IFERROR(INDEX(Players!$C$5:$C$304,MATCH(D1499,Players!$B$5:$B$304,0)),""))</f>
        <v/>
      </c>
      <c r="F1499" s="22" t="str">
        <f aca="false">IF(D1499="","",IF(COUNTIFS($B$5:$B$2004,B1499,$D$5:$D$2004,D1499)&gt;1,"DUPLICATE",IF(ISNA(MATCH(D1499,Players!$B$5:$B$304,0)),"UID not found",IF(INDEX(Players!$H$5:$H$304,MATCH(D1499,Players!$B$5:$B$304,0))&lt;0,"LOW BALANCE","OK"))))</f>
        <v/>
      </c>
      <c r="G1499" s="1"/>
      <c r="H1499" s="1"/>
      <c r="I1499" s="1"/>
    </row>
    <row r="1500" customFormat="false" ht="21.75" hidden="false" customHeight="true" outlineLevel="0" collapsed="false">
      <c r="A1500" s="1"/>
      <c r="B1500" s="16"/>
      <c r="C1500" s="16"/>
      <c r="D1500" s="15"/>
      <c r="E1500" s="11" t="str">
        <f aca="false">IF(D1500="","",IFERROR(INDEX(Players!$C$5:$C$304,MATCH(D1500,Players!$B$5:$B$304,0)),""))</f>
        <v/>
      </c>
      <c r="F1500" s="22" t="str">
        <f aca="false">IF(D1500="","",IF(COUNTIFS($B$5:$B$2004,B1500,$D$5:$D$2004,D1500)&gt;1,"DUPLICATE",IF(ISNA(MATCH(D1500,Players!$B$5:$B$304,0)),"UID not found",IF(INDEX(Players!$H$5:$H$304,MATCH(D1500,Players!$B$5:$B$304,0))&lt;0,"LOW BALANCE","OK"))))</f>
        <v/>
      </c>
      <c r="G1500" s="1"/>
      <c r="H1500" s="1"/>
      <c r="I1500" s="1"/>
    </row>
    <row r="1501" customFormat="false" ht="21.75" hidden="false" customHeight="true" outlineLevel="0" collapsed="false">
      <c r="A1501" s="1"/>
      <c r="B1501" s="16"/>
      <c r="C1501" s="16"/>
      <c r="D1501" s="15"/>
      <c r="E1501" s="11" t="str">
        <f aca="false">IF(D1501="","",IFERROR(INDEX(Players!$C$5:$C$304,MATCH(D1501,Players!$B$5:$B$304,0)),""))</f>
        <v/>
      </c>
      <c r="F1501" s="22" t="str">
        <f aca="false">IF(D1501="","",IF(COUNTIFS($B$5:$B$2004,B1501,$D$5:$D$2004,D1501)&gt;1,"DUPLICATE",IF(ISNA(MATCH(D1501,Players!$B$5:$B$304,0)),"UID not found",IF(INDEX(Players!$H$5:$H$304,MATCH(D1501,Players!$B$5:$B$304,0))&lt;0,"LOW BALANCE","OK"))))</f>
        <v/>
      </c>
      <c r="G1501" s="1"/>
      <c r="H1501" s="1"/>
      <c r="I1501" s="1"/>
    </row>
    <row r="1502" customFormat="false" ht="21.75" hidden="false" customHeight="true" outlineLevel="0" collapsed="false">
      <c r="A1502" s="1"/>
      <c r="B1502" s="16"/>
      <c r="C1502" s="16"/>
      <c r="D1502" s="15"/>
      <c r="E1502" s="11" t="str">
        <f aca="false">IF(D1502="","",IFERROR(INDEX(Players!$C$5:$C$304,MATCH(D1502,Players!$B$5:$B$304,0)),""))</f>
        <v/>
      </c>
      <c r="F1502" s="22" t="str">
        <f aca="false">IF(D1502="","",IF(COUNTIFS($B$5:$B$2004,B1502,$D$5:$D$2004,D1502)&gt;1,"DUPLICATE",IF(ISNA(MATCH(D1502,Players!$B$5:$B$304,0)),"UID not found",IF(INDEX(Players!$H$5:$H$304,MATCH(D1502,Players!$B$5:$B$304,0))&lt;0,"LOW BALANCE","OK"))))</f>
        <v/>
      </c>
      <c r="G1502" s="1"/>
      <c r="H1502" s="1"/>
      <c r="I1502" s="1"/>
    </row>
    <row r="1503" customFormat="false" ht="21.75" hidden="false" customHeight="true" outlineLevel="0" collapsed="false">
      <c r="A1503" s="1"/>
      <c r="B1503" s="16"/>
      <c r="C1503" s="16"/>
      <c r="D1503" s="15"/>
      <c r="E1503" s="11" t="str">
        <f aca="false">IF(D1503="","",IFERROR(INDEX(Players!$C$5:$C$304,MATCH(D1503,Players!$B$5:$B$304,0)),""))</f>
        <v/>
      </c>
      <c r="F1503" s="22" t="str">
        <f aca="false">IF(D1503="","",IF(COUNTIFS($B$5:$B$2004,B1503,$D$5:$D$2004,D1503)&gt;1,"DUPLICATE",IF(ISNA(MATCH(D1503,Players!$B$5:$B$304,0)),"UID not found",IF(INDEX(Players!$H$5:$H$304,MATCH(D1503,Players!$B$5:$B$304,0))&lt;0,"LOW BALANCE","OK"))))</f>
        <v/>
      </c>
      <c r="G1503" s="1"/>
      <c r="H1503" s="1"/>
      <c r="I1503" s="1"/>
    </row>
    <row r="1504" customFormat="false" ht="21.75" hidden="false" customHeight="true" outlineLevel="0" collapsed="false">
      <c r="A1504" s="1"/>
      <c r="B1504" s="16"/>
      <c r="C1504" s="16"/>
      <c r="D1504" s="15"/>
      <c r="E1504" s="11" t="str">
        <f aca="false">IF(D1504="","",IFERROR(INDEX(Players!$C$5:$C$304,MATCH(D1504,Players!$B$5:$B$304,0)),""))</f>
        <v/>
      </c>
      <c r="F1504" s="22" t="str">
        <f aca="false">IF(D1504="","",IF(COUNTIFS($B$5:$B$2004,B1504,$D$5:$D$2004,D1504)&gt;1,"DUPLICATE",IF(ISNA(MATCH(D1504,Players!$B$5:$B$304,0)),"UID not found",IF(INDEX(Players!$H$5:$H$304,MATCH(D1504,Players!$B$5:$B$304,0))&lt;0,"LOW BALANCE","OK"))))</f>
        <v/>
      </c>
      <c r="G1504" s="1"/>
      <c r="H1504" s="1"/>
      <c r="I1504" s="1"/>
    </row>
    <row r="1505" customFormat="false" ht="21.75" hidden="false" customHeight="true" outlineLevel="0" collapsed="false">
      <c r="A1505" s="1"/>
      <c r="B1505" s="16"/>
      <c r="C1505" s="16"/>
      <c r="D1505" s="15"/>
      <c r="E1505" s="11" t="str">
        <f aca="false">IF(D1505="","",IFERROR(INDEX(Players!$C$5:$C$304,MATCH(D1505,Players!$B$5:$B$304,0)),""))</f>
        <v/>
      </c>
      <c r="F1505" s="22" t="str">
        <f aca="false">IF(D1505="","",IF(COUNTIFS($B$5:$B$2004,B1505,$D$5:$D$2004,D1505)&gt;1,"DUPLICATE",IF(ISNA(MATCH(D1505,Players!$B$5:$B$304,0)),"UID not found",IF(INDEX(Players!$H$5:$H$304,MATCH(D1505,Players!$B$5:$B$304,0))&lt;0,"LOW BALANCE","OK"))))</f>
        <v/>
      </c>
      <c r="G1505" s="1"/>
      <c r="H1505" s="1"/>
      <c r="I1505" s="1"/>
    </row>
    <row r="1506" customFormat="false" ht="21.75" hidden="false" customHeight="true" outlineLevel="0" collapsed="false">
      <c r="A1506" s="1"/>
      <c r="B1506" s="16"/>
      <c r="C1506" s="16"/>
      <c r="D1506" s="15"/>
      <c r="E1506" s="11" t="str">
        <f aca="false">IF(D1506="","",IFERROR(INDEX(Players!$C$5:$C$304,MATCH(D1506,Players!$B$5:$B$304,0)),""))</f>
        <v/>
      </c>
      <c r="F1506" s="22" t="str">
        <f aca="false">IF(D1506="","",IF(COUNTIFS($B$5:$B$2004,B1506,$D$5:$D$2004,D1506)&gt;1,"DUPLICATE",IF(ISNA(MATCH(D1506,Players!$B$5:$B$304,0)),"UID not found",IF(INDEX(Players!$H$5:$H$304,MATCH(D1506,Players!$B$5:$B$304,0))&lt;0,"LOW BALANCE","OK"))))</f>
        <v/>
      </c>
      <c r="G1506" s="1"/>
      <c r="H1506" s="1"/>
      <c r="I1506" s="1"/>
    </row>
    <row r="1507" customFormat="false" ht="21.75" hidden="false" customHeight="true" outlineLevel="0" collapsed="false">
      <c r="A1507" s="1"/>
      <c r="B1507" s="16"/>
      <c r="C1507" s="16"/>
      <c r="D1507" s="15"/>
      <c r="E1507" s="11" t="str">
        <f aca="false">IF(D1507="","",IFERROR(INDEX(Players!$C$5:$C$304,MATCH(D1507,Players!$B$5:$B$304,0)),""))</f>
        <v/>
      </c>
      <c r="F1507" s="22" t="str">
        <f aca="false">IF(D1507="","",IF(COUNTIFS($B$5:$B$2004,B1507,$D$5:$D$2004,D1507)&gt;1,"DUPLICATE",IF(ISNA(MATCH(D1507,Players!$B$5:$B$304,0)),"UID not found",IF(INDEX(Players!$H$5:$H$304,MATCH(D1507,Players!$B$5:$B$304,0))&lt;0,"LOW BALANCE","OK"))))</f>
        <v/>
      </c>
      <c r="G1507" s="1"/>
      <c r="H1507" s="1"/>
      <c r="I1507" s="1"/>
    </row>
    <row r="1508" customFormat="false" ht="21.75" hidden="false" customHeight="true" outlineLevel="0" collapsed="false">
      <c r="A1508" s="1"/>
      <c r="B1508" s="16"/>
      <c r="C1508" s="16"/>
      <c r="D1508" s="15"/>
      <c r="E1508" s="11" t="str">
        <f aca="false">IF(D1508="","",IFERROR(INDEX(Players!$C$5:$C$304,MATCH(D1508,Players!$B$5:$B$304,0)),""))</f>
        <v/>
      </c>
      <c r="F1508" s="22" t="str">
        <f aca="false">IF(D1508="","",IF(COUNTIFS($B$5:$B$2004,B1508,$D$5:$D$2004,D1508)&gt;1,"DUPLICATE",IF(ISNA(MATCH(D1508,Players!$B$5:$B$304,0)),"UID not found",IF(INDEX(Players!$H$5:$H$304,MATCH(D1508,Players!$B$5:$B$304,0))&lt;0,"LOW BALANCE","OK"))))</f>
        <v/>
      </c>
      <c r="G1508" s="1"/>
      <c r="H1508" s="1"/>
      <c r="I1508" s="1"/>
    </row>
    <row r="1509" customFormat="false" ht="21.75" hidden="false" customHeight="true" outlineLevel="0" collapsed="false">
      <c r="A1509" s="1"/>
      <c r="B1509" s="16"/>
      <c r="C1509" s="16"/>
      <c r="D1509" s="15"/>
      <c r="E1509" s="11" t="str">
        <f aca="false">IF(D1509="","",IFERROR(INDEX(Players!$C$5:$C$304,MATCH(D1509,Players!$B$5:$B$304,0)),""))</f>
        <v/>
      </c>
      <c r="F1509" s="22" t="str">
        <f aca="false">IF(D1509="","",IF(COUNTIFS($B$5:$B$2004,B1509,$D$5:$D$2004,D1509)&gt;1,"DUPLICATE",IF(ISNA(MATCH(D1509,Players!$B$5:$B$304,0)),"UID not found",IF(INDEX(Players!$H$5:$H$304,MATCH(D1509,Players!$B$5:$B$304,0))&lt;0,"LOW BALANCE","OK"))))</f>
        <v/>
      </c>
      <c r="G1509" s="1"/>
      <c r="H1509" s="1"/>
      <c r="I1509" s="1"/>
    </row>
    <row r="1510" customFormat="false" ht="21.75" hidden="false" customHeight="true" outlineLevel="0" collapsed="false">
      <c r="A1510" s="1"/>
      <c r="B1510" s="16"/>
      <c r="C1510" s="16"/>
      <c r="D1510" s="15"/>
      <c r="E1510" s="11" t="str">
        <f aca="false">IF(D1510="","",IFERROR(INDEX(Players!$C$5:$C$304,MATCH(D1510,Players!$B$5:$B$304,0)),""))</f>
        <v/>
      </c>
      <c r="F1510" s="22" t="str">
        <f aca="false">IF(D1510="","",IF(COUNTIFS($B$5:$B$2004,B1510,$D$5:$D$2004,D1510)&gt;1,"DUPLICATE",IF(ISNA(MATCH(D1510,Players!$B$5:$B$304,0)),"UID not found",IF(INDEX(Players!$H$5:$H$304,MATCH(D1510,Players!$B$5:$B$304,0))&lt;0,"LOW BALANCE","OK"))))</f>
        <v/>
      </c>
      <c r="G1510" s="1"/>
      <c r="H1510" s="1"/>
      <c r="I1510" s="1"/>
    </row>
    <row r="1511" customFormat="false" ht="21.75" hidden="false" customHeight="true" outlineLevel="0" collapsed="false">
      <c r="A1511" s="1"/>
      <c r="B1511" s="16"/>
      <c r="C1511" s="16"/>
      <c r="D1511" s="15"/>
      <c r="E1511" s="11" t="str">
        <f aca="false">IF(D1511="","",IFERROR(INDEX(Players!$C$5:$C$304,MATCH(D1511,Players!$B$5:$B$304,0)),""))</f>
        <v/>
      </c>
      <c r="F1511" s="22" t="str">
        <f aca="false">IF(D1511="","",IF(COUNTIFS($B$5:$B$2004,B1511,$D$5:$D$2004,D1511)&gt;1,"DUPLICATE",IF(ISNA(MATCH(D1511,Players!$B$5:$B$304,0)),"UID not found",IF(INDEX(Players!$H$5:$H$304,MATCH(D1511,Players!$B$5:$B$304,0))&lt;0,"LOW BALANCE","OK"))))</f>
        <v/>
      </c>
      <c r="G1511" s="1"/>
      <c r="H1511" s="1"/>
      <c r="I1511" s="1"/>
    </row>
    <row r="1512" customFormat="false" ht="21.75" hidden="false" customHeight="true" outlineLevel="0" collapsed="false">
      <c r="A1512" s="1"/>
      <c r="B1512" s="16"/>
      <c r="C1512" s="16"/>
      <c r="D1512" s="15"/>
      <c r="E1512" s="11" t="str">
        <f aca="false">IF(D1512="","",IFERROR(INDEX(Players!$C$5:$C$304,MATCH(D1512,Players!$B$5:$B$304,0)),""))</f>
        <v/>
      </c>
      <c r="F1512" s="22" t="str">
        <f aca="false">IF(D1512="","",IF(COUNTIFS($B$5:$B$2004,B1512,$D$5:$D$2004,D1512)&gt;1,"DUPLICATE",IF(ISNA(MATCH(D1512,Players!$B$5:$B$304,0)),"UID not found",IF(INDEX(Players!$H$5:$H$304,MATCH(D1512,Players!$B$5:$B$304,0))&lt;0,"LOW BALANCE","OK"))))</f>
        <v/>
      </c>
      <c r="G1512" s="1"/>
      <c r="H1512" s="1"/>
      <c r="I1512" s="1"/>
    </row>
    <row r="1513" customFormat="false" ht="21.75" hidden="false" customHeight="true" outlineLevel="0" collapsed="false">
      <c r="A1513" s="1"/>
      <c r="B1513" s="16"/>
      <c r="C1513" s="16"/>
      <c r="D1513" s="15"/>
      <c r="E1513" s="11" t="str">
        <f aca="false">IF(D1513="","",IFERROR(INDEX(Players!$C$5:$C$304,MATCH(D1513,Players!$B$5:$B$304,0)),""))</f>
        <v/>
      </c>
      <c r="F1513" s="22" t="str">
        <f aca="false">IF(D1513="","",IF(COUNTIFS($B$5:$B$2004,B1513,$D$5:$D$2004,D1513)&gt;1,"DUPLICATE",IF(ISNA(MATCH(D1513,Players!$B$5:$B$304,0)),"UID not found",IF(INDEX(Players!$H$5:$H$304,MATCH(D1513,Players!$B$5:$B$304,0))&lt;0,"LOW BALANCE","OK"))))</f>
        <v/>
      </c>
      <c r="G1513" s="1"/>
      <c r="H1513" s="1"/>
      <c r="I1513" s="1"/>
    </row>
    <row r="1514" customFormat="false" ht="21.75" hidden="false" customHeight="true" outlineLevel="0" collapsed="false">
      <c r="A1514" s="1"/>
      <c r="B1514" s="16"/>
      <c r="C1514" s="16"/>
      <c r="D1514" s="15"/>
      <c r="E1514" s="11" t="str">
        <f aca="false">IF(D1514="","",IFERROR(INDEX(Players!$C$5:$C$304,MATCH(D1514,Players!$B$5:$B$304,0)),""))</f>
        <v/>
      </c>
      <c r="F1514" s="22" t="str">
        <f aca="false">IF(D1514="","",IF(COUNTIFS($B$5:$B$2004,B1514,$D$5:$D$2004,D1514)&gt;1,"DUPLICATE",IF(ISNA(MATCH(D1514,Players!$B$5:$B$304,0)),"UID not found",IF(INDEX(Players!$H$5:$H$304,MATCH(D1514,Players!$B$5:$B$304,0))&lt;0,"LOW BALANCE","OK"))))</f>
        <v/>
      </c>
      <c r="G1514" s="1"/>
      <c r="H1514" s="1"/>
      <c r="I1514" s="1"/>
    </row>
    <row r="1515" customFormat="false" ht="21.75" hidden="false" customHeight="true" outlineLevel="0" collapsed="false">
      <c r="A1515" s="1"/>
      <c r="B1515" s="16"/>
      <c r="C1515" s="16"/>
      <c r="D1515" s="15"/>
      <c r="E1515" s="11" t="str">
        <f aca="false">IF(D1515="","",IFERROR(INDEX(Players!$C$5:$C$304,MATCH(D1515,Players!$B$5:$B$304,0)),""))</f>
        <v/>
      </c>
      <c r="F1515" s="22" t="str">
        <f aca="false">IF(D1515="","",IF(COUNTIFS($B$5:$B$2004,B1515,$D$5:$D$2004,D1515)&gt;1,"DUPLICATE",IF(ISNA(MATCH(D1515,Players!$B$5:$B$304,0)),"UID not found",IF(INDEX(Players!$H$5:$H$304,MATCH(D1515,Players!$B$5:$B$304,0))&lt;0,"LOW BALANCE","OK"))))</f>
        <v/>
      </c>
      <c r="G1515" s="1"/>
      <c r="H1515" s="1"/>
      <c r="I1515" s="1"/>
    </row>
    <row r="1516" customFormat="false" ht="21.75" hidden="false" customHeight="true" outlineLevel="0" collapsed="false">
      <c r="A1516" s="1"/>
      <c r="B1516" s="16"/>
      <c r="C1516" s="16"/>
      <c r="D1516" s="15"/>
      <c r="E1516" s="11" t="str">
        <f aca="false">IF(D1516="","",IFERROR(INDEX(Players!$C$5:$C$304,MATCH(D1516,Players!$B$5:$B$304,0)),""))</f>
        <v/>
      </c>
      <c r="F1516" s="22" t="str">
        <f aca="false">IF(D1516="","",IF(COUNTIFS($B$5:$B$2004,B1516,$D$5:$D$2004,D1516)&gt;1,"DUPLICATE",IF(ISNA(MATCH(D1516,Players!$B$5:$B$304,0)),"UID not found",IF(INDEX(Players!$H$5:$H$304,MATCH(D1516,Players!$B$5:$B$304,0))&lt;0,"LOW BALANCE","OK"))))</f>
        <v/>
      </c>
      <c r="G1516" s="1"/>
      <c r="H1516" s="1"/>
      <c r="I1516" s="1"/>
    </row>
    <row r="1517" customFormat="false" ht="21.75" hidden="false" customHeight="true" outlineLevel="0" collapsed="false">
      <c r="A1517" s="1"/>
      <c r="B1517" s="16"/>
      <c r="C1517" s="16"/>
      <c r="D1517" s="15"/>
      <c r="E1517" s="11" t="str">
        <f aca="false">IF(D1517="","",IFERROR(INDEX(Players!$C$5:$C$304,MATCH(D1517,Players!$B$5:$B$304,0)),""))</f>
        <v/>
      </c>
      <c r="F1517" s="22" t="str">
        <f aca="false">IF(D1517="","",IF(COUNTIFS($B$5:$B$2004,B1517,$D$5:$D$2004,D1517)&gt;1,"DUPLICATE",IF(ISNA(MATCH(D1517,Players!$B$5:$B$304,0)),"UID not found",IF(INDEX(Players!$H$5:$H$304,MATCH(D1517,Players!$B$5:$B$304,0))&lt;0,"LOW BALANCE","OK"))))</f>
        <v/>
      </c>
      <c r="G1517" s="1"/>
      <c r="H1517" s="1"/>
      <c r="I1517" s="1"/>
    </row>
    <row r="1518" customFormat="false" ht="21.75" hidden="false" customHeight="true" outlineLevel="0" collapsed="false">
      <c r="A1518" s="1"/>
      <c r="B1518" s="16"/>
      <c r="C1518" s="16"/>
      <c r="D1518" s="15"/>
      <c r="E1518" s="11" t="str">
        <f aca="false">IF(D1518="","",IFERROR(INDEX(Players!$C$5:$C$304,MATCH(D1518,Players!$B$5:$B$304,0)),""))</f>
        <v/>
      </c>
      <c r="F1518" s="22" t="str">
        <f aca="false">IF(D1518="","",IF(COUNTIFS($B$5:$B$2004,B1518,$D$5:$D$2004,D1518)&gt;1,"DUPLICATE",IF(ISNA(MATCH(D1518,Players!$B$5:$B$304,0)),"UID not found",IF(INDEX(Players!$H$5:$H$304,MATCH(D1518,Players!$B$5:$B$304,0))&lt;0,"LOW BALANCE","OK"))))</f>
        <v/>
      </c>
      <c r="G1518" s="1"/>
      <c r="H1518" s="1"/>
      <c r="I1518" s="1"/>
    </row>
    <row r="1519" customFormat="false" ht="21.75" hidden="false" customHeight="true" outlineLevel="0" collapsed="false">
      <c r="A1519" s="1"/>
      <c r="B1519" s="16"/>
      <c r="C1519" s="16"/>
      <c r="D1519" s="15"/>
      <c r="E1519" s="11" t="str">
        <f aca="false">IF(D1519="","",IFERROR(INDEX(Players!$C$5:$C$304,MATCH(D1519,Players!$B$5:$B$304,0)),""))</f>
        <v/>
      </c>
      <c r="F1519" s="22" t="str">
        <f aca="false">IF(D1519="","",IF(COUNTIFS($B$5:$B$2004,B1519,$D$5:$D$2004,D1519)&gt;1,"DUPLICATE",IF(ISNA(MATCH(D1519,Players!$B$5:$B$304,0)),"UID not found",IF(INDEX(Players!$H$5:$H$304,MATCH(D1519,Players!$B$5:$B$304,0))&lt;0,"LOW BALANCE","OK"))))</f>
        <v/>
      </c>
      <c r="G1519" s="1"/>
      <c r="H1519" s="1"/>
      <c r="I1519" s="1"/>
    </row>
    <row r="1520" customFormat="false" ht="21.75" hidden="false" customHeight="true" outlineLevel="0" collapsed="false">
      <c r="A1520" s="1"/>
      <c r="B1520" s="16"/>
      <c r="C1520" s="16"/>
      <c r="D1520" s="15"/>
      <c r="E1520" s="11" t="str">
        <f aca="false">IF(D1520="","",IFERROR(INDEX(Players!$C$5:$C$304,MATCH(D1520,Players!$B$5:$B$304,0)),""))</f>
        <v/>
      </c>
      <c r="F1520" s="22" t="str">
        <f aca="false">IF(D1520="","",IF(COUNTIFS($B$5:$B$2004,B1520,$D$5:$D$2004,D1520)&gt;1,"DUPLICATE",IF(ISNA(MATCH(D1520,Players!$B$5:$B$304,0)),"UID not found",IF(INDEX(Players!$H$5:$H$304,MATCH(D1520,Players!$B$5:$B$304,0))&lt;0,"LOW BALANCE","OK"))))</f>
        <v/>
      </c>
      <c r="G1520" s="1"/>
      <c r="H1520" s="1"/>
      <c r="I1520" s="1"/>
    </row>
    <row r="1521" customFormat="false" ht="21.75" hidden="false" customHeight="true" outlineLevel="0" collapsed="false">
      <c r="A1521" s="1"/>
      <c r="B1521" s="16"/>
      <c r="C1521" s="16"/>
      <c r="D1521" s="15"/>
      <c r="E1521" s="11" t="str">
        <f aca="false">IF(D1521="","",IFERROR(INDEX(Players!$C$5:$C$304,MATCH(D1521,Players!$B$5:$B$304,0)),""))</f>
        <v/>
      </c>
      <c r="F1521" s="22" t="str">
        <f aca="false">IF(D1521="","",IF(COUNTIFS($B$5:$B$2004,B1521,$D$5:$D$2004,D1521)&gt;1,"DUPLICATE",IF(ISNA(MATCH(D1521,Players!$B$5:$B$304,0)),"UID not found",IF(INDEX(Players!$H$5:$H$304,MATCH(D1521,Players!$B$5:$B$304,0))&lt;0,"LOW BALANCE","OK"))))</f>
        <v/>
      </c>
      <c r="G1521" s="1"/>
      <c r="H1521" s="1"/>
      <c r="I1521" s="1"/>
    </row>
    <row r="1522" customFormat="false" ht="21.75" hidden="false" customHeight="true" outlineLevel="0" collapsed="false">
      <c r="A1522" s="1"/>
      <c r="B1522" s="16"/>
      <c r="C1522" s="16"/>
      <c r="D1522" s="15"/>
      <c r="E1522" s="11" t="str">
        <f aca="false">IF(D1522="","",IFERROR(INDEX(Players!$C$5:$C$304,MATCH(D1522,Players!$B$5:$B$304,0)),""))</f>
        <v/>
      </c>
      <c r="F1522" s="22" t="str">
        <f aca="false">IF(D1522="","",IF(COUNTIFS($B$5:$B$2004,B1522,$D$5:$D$2004,D1522)&gt;1,"DUPLICATE",IF(ISNA(MATCH(D1522,Players!$B$5:$B$304,0)),"UID not found",IF(INDEX(Players!$H$5:$H$304,MATCH(D1522,Players!$B$5:$B$304,0))&lt;0,"LOW BALANCE","OK"))))</f>
        <v/>
      </c>
      <c r="G1522" s="1"/>
      <c r="H1522" s="1"/>
      <c r="I1522" s="1"/>
    </row>
    <row r="1523" customFormat="false" ht="21.75" hidden="false" customHeight="true" outlineLevel="0" collapsed="false">
      <c r="A1523" s="1"/>
      <c r="B1523" s="16"/>
      <c r="C1523" s="16"/>
      <c r="D1523" s="15"/>
      <c r="E1523" s="11" t="str">
        <f aca="false">IF(D1523="","",IFERROR(INDEX(Players!$C$5:$C$304,MATCH(D1523,Players!$B$5:$B$304,0)),""))</f>
        <v/>
      </c>
      <c r="F1523" s="22" t="str">
        <f aca="false">IF(D1523="","",IF(COUNTIFS($B$5:$B$2004,B1523,$D$5:$D$2004,D1523)&gt;1,"DUPLICATE",IF(ISNA(MATCH(D1523,Players!$B$5:$B$304,0)),"UID not found",IF(INDEX(Players!$H$5:$H$304,MATCH(D1523,Players!$B$5:$B$304,0))&lt;0,"LOW BALANCE","OK"))))</f>
        <v/>
      </c>
      <c r="G1523" s="1"/>
      <c r="H1523" s="1"/>
      <c r="I1523" s="1"/>
    </row>
    <row r="1524" customFormat="false" ht="21.75" hidden="false" customHeight="true" outlineLevel="0" collapsed="false">
      <c r="A1524" s="1"/>
      <c r="B1524" s="16"/>
      <c r="C1524" s="16"/>
      <c r="D1524" s="15"/>
      <c r="E1524" s="11" t="str">
        <f aca="false">IF(D1524="","",IFERROR(INDEX(Players!$C$5:$C$304,MATCH(D1524,Players!$B$5:$B$304,0)),""))</f>
        <v/>
      </c>
      <c r="F1524" s="22" t="str">
        <f aca="false">IF(D1524="","",IF(COUNTIFS($B$5:$B$2004,B1524,$D$5:$D$2004,D1524)&gt;1,"DUPLICATE",IF(ISNA(MATCH(D1524,Players!$B$5:$B$304,0)),"UID not found",IF(INDEX(Players!$H$5:$H$304,MATCH(D1524,Players!$B$5:$B$304,0))&lt;0,"LOW BALANCE","OK"))))</f>
        <v/>
      </c>
      <c r="G1524" s="1"/>
      <c r="H1524" s="1"/>
      <c r="I1524" s="1"/>
    </row>
    <row r="1525" customFormat="false" ht="21.75" hidden="false" customHeight="true" outlineLevel="0" collapsed="false">
      <c r="A1525" s="1"/>
      <c r="B1525" s="16"/>
      <c r="C1525" s="16"/>
      <c r="D1525" s="15"/>
      <c r="E1525" s="11" t="str">
        <f aca="false">IF(D1525="","",IFERROR(INDEX(Players!$C$5:$C$304,MATCH(D1525,Players!$B$5:$B$304,0)),""))</f>
        <v/>
      </c>
      <c r="F1525" s="22" t="str">
        <f aca="false">IF(D1525="","",IF(COUNTIFS($B$5:$B$2004,B1525,$D$5:$D$2004,D1525)&gt;1,"DUPLICATE",IF(ISNA(MATCH(D1525,Players!$B$5:$B$304,0)),"UID not found",IF(INDEX(Players!$H$5:$H$304,MATCH(D1525,Players!$B$5:$B$304,0))&lt;0,"LOW BALANCE","OK"))))</f>
        <v/>
      </c>
      <c r="G1525" s="1"/>
      <c r="H1525" s="1"/>
      <c r="I1525" s="1"/>
    </row>
    <row r="1526" customFormat="false" ht="21.75" hidden="false" customHeight="true" outlineLevel="0" collapsed="false">
      <c r="A1526" s="1"/>
      <c r="B1526" s="16"/>
      <c r="C1526" s="16"/>
      <c r="D1526" s="15"/>
      <c r="E1526" s="11" t="str">
        <f aca="false">IF(D1526="","",IFERROR(INDEX(Players!$C$5:$C$304,MATCH(D1526,Players!$B$5:$B$304,0)),""))</f>
        <v/>
      </c>
      <c r="F1526" s="22" t="str">
        <f aca="false">IF(D1526="","",IF(COUNTIFS($B$5:$B$2004,B1526,$D$5:$D$2004,D1526)&gt;1,"DUPLICATE",IF(ISNA(MATCH(D1526,Players!$B$5:$B$304,0)),"UID not found",IF(INDEX(Players!$H$5:$H$304,MATCH(D1526,Players!$B$5:$B$304,0))&lt;0,"LOW BALANCE","OK"))))</f>
        <v/>
      </c>
      <c r="G1526" s="1"/>
      <c r="H1526" s="1"/>
      <c r="I1526" s="1"/>
    </row>
    <row r="1527" customFormat="false" ht="21.75" hidden="false" customHeight="true" outlineLevel="0" collapsed="false">
      <c r="A1527" s="1"/>
      <c r="B1527" s="16"/>
      <c r="C1527" s="16"/>
      <c r="D1527" s="15"/>
      <c r="E1527" s="11" t="str">
        <f aca="false">IF(D1527="","",IFERROR(INDEX(Players!$C$5:$C$304,MATCH(D1527,Players!$B$5:$B$304,0)),""))</f>
        <v/>
      </c>
      <c r="F1527" s="22" t="str">
        <f aca="false">IF(D1527="","",IF(COUNTIFS($B$5:$B$2004,B1527,$D$5:$D$2004,D1527)&gt;1,"DUPLICATE",IF(ISNA(MATCH(D1527,Players!$B$5:$B$304,0)),"UID not found",IF(INDEX(Players!$H$5:$H$304,MATCH(D1527,Players!$B$5:$B$304,0))&lt;0,"LOW BALANCE","OK"))))</f>
        <v/>
      </c>
      <c r="G1527" s="1"/>
      <c r="H1527" s="1"/>
      <c r="I1527" s="1"/>
    </row>
    <row r="1528" customFormat="false" ht="21.75" hidden="false" customHeight="true" outlineLevel="0" collapsed="false">
      <c r="A1528" s="1"/>
      <c r="B1528" s="16"/>
      <c r="C1528" s="16"/>
      <c r="D1528" s="15"/>
      <c r="E1528" s="11" t="str">
        <f aca="false">IF(D1528="","",IFERROR(INDEX(Players!$C$5:$C$304,MATCH(D1528,Players!$B$5:$B$304,0)),""))</f>
        <v/>
      </c>
      <c r="F1528" s="22" t="str">
        <f aca="false">IF(D1528="","",IF(COUNTIFS($B$5:$B$2004,B1528,$D$5:$D$2004,D1528)&gt;1,"DUPLICATE",IF(ISNA(MATCH(D1528,Players!$B$5:$B$304,0)),"UID not found",IF(INDEX(Players!$H$5:$H$304,MATCH(D1528,Players!$B$5:$B$304,0))&lt;0,"LOW BALANCE","OK"))))</f>
        <v/>
      </c>
      <c r="G1528" s="1"/>
      <c r="H1528" s="1"/>
      <c r="I1528" s="1"/>
    </row>
    <row r="1529" customFormat="false" ht="21.75" hidden="false" customHeight="true" outlineLevel="0" collapsed="false">
      <c r="A1529" s="1"/>
      <c r="B1529" s="16"/>
      <c r="C1529" s="16"/>
      <c r="D1529" s="15"/>
      <c r="E1529" s="11" t="str">
        <f aca="false">IF(D1529="","",IFERROR(INDEX(Players!$C$5:$C$304,MATCH(D1529,Players!$B$5:$B$304,0)),""))</f>
        <v/>
      </c>
      <c r="F1529" s="22" t="str">
        <f aca="false">IF(D1529="","",IF(COUNTIFS($B$5:$B$2004,B1529,$D$5:$D$2004,D1529)&gt;1,"DUPLICATE",IF(ISNA(MATCH(D1529,Players!$B$5:$B$304,0)),"UID not found",IF(INDEX(Players!$H$5:$H$304,MATCH(D1529,Players!$B$5:$B$304,0))&lt;0,"LOW BALANCE","OK"))))</f>
        <v/>
      </c>
      <c r="G1529" s="1"/>
      <c r="H1529" s="1"/>
      <c r="I1529" s="1"/>
    </row>
    <row r="1530" customFormat="false" ht="21.75" hidden="false" customHeight="true" outlineLevel="0" collapsed="false">
      <c r="A1530" s="1"/>
      <c r="B1530" s="16"/>
      <c r="C1530" s="16"/>
      <c r="D1530" s="15"/>
      <c r="E1530" s="11" t="str">
        <f aca="false">IF(D1530="","",IFERROR(INDEX(Players!$C$5:$C$304,MATCH(D1530,Players!$B$5:$B$304,0)),""))</f>
        <v/>
      </c>
      <c r="F1530" s="22" t="str">
        <f aca="false">IF(D1530="","",IF(COUNTIFS($B$5:$B$2004,B1530,$D$5:$D$2004,D1530)&gt;1,"DUPLICATE",IF(ISNA(MATCH(D1530,Players!$B$5:$B$304,0)),"UID not found",IF(INDEX(Players!$H$5:$H$304,MATCH(D1530,Players!$B$5:$B$304,0))&lt;0,"LOW BALANCE","OK"))))</f>
        <v/>
      </c>
      <c r="G1530" s="1"/>
      <c r="H1530" s="1"/>
      <c r="I1530" s="1"/>
    </row>
    <row r="1531" customFormat="false" ht="21.75" hidden="false" customHeight="true" outlineLevel="0" collapsed="false">
      <c r="A1531" s="1"/>
      <c r="B1531" s="16"/>
      <c r="C1531" s="16"/>
      <c r="D1531" s="15"/>
      <c r="E1531" s="11" t="str">
        <f aca="false">IF(D1531="","",IFERROR(INDEX(Players!$C$5:$C$304,MATCH(D1531,Players!$B$5:$B$304,0)),""))</f>
        <v/>
      </c>
      <c r="F1531" s="22" t="str">
        <f aca="false">IF(D1531="","",IF(COUNTIFS($B$5:$B$2004,B1531,$D$5:$D$2004,D1531)&gt;1,"DUPLICATE",IF(ISNA(MATCH(D1531,Players!$B$5:$B$304,0)),"UID not found",IF(INDEX(Players!$H$5:$H$304,MATCH(D1531,Players!$B$5:$B$304,0))&lt;0,"LOW BALANCE","OK"))))</f>
        <v/>
      </c>
      <c r="G1531" s="1"/>
      <c r="H1531" s="1"/>
      <c r="I1531" s="1"/>
    </row>
    <row r="1532" customFormat="false" ht="21.75" hidden="false" customHeight="true" outlineLevel="0" collapsed="false">
      <c r="A1532" s="1"/>
      <c r="B1532" s="16"/>
      <c r="C1532" s="16"/>
      <c r="D1532" s="15"/>
      <c r="E1532" s="11" t="str">
        <f aca="false">IF(D1532="","",IFERROR(INDEX(Players!$C$5:$C$304,MATCH(D1532,Players!$B$5:$B$304,0)),""))</f>
        <v/>
      </c>
      <c r="F1532" s="22" t="str">
        <f aca="false">IF(D1532="","",IF(COUNTIFS($B$5:$B$2004,B1532,$D$5:$D$2004,D1532)&gt;1,"DUPLICATE",IF(ISNA(MATCH(D1532,Players!$B$5:$B$304,0)),"UID not found",IF(INDEX(Players!$H$5:$H$304,MATCH(D1532,Players!$B$5:$B$304,0))&lt;0,"LOW BALANCE","OK"))))</f>
        <v/>
      </c>
      <c r="G1532" s="1"/>
      <c r="H1532" s="1"/>
      <c r="I1532" s="1"/>
    </row>
    <row r="1533" customFormat="false" ht="21.75" hidden="false" customHeight="true" outlineLevel="0" collapsed="false">
      <c r="A1533" s="1"/>
      <c r="B1533" s="16"/>
      <c r="C1533" s="16"/>
      <c r="D1533" s="15"/>
      <c r="E1533" s="11" t="str">
        <f aca="false">IF(D1533="","",IFERROR(INDEX(Players!$C$5:$C$304,MATCH(D1533,Players!$B$5:$B$304,0)),""))</f>
        <v/>
      </c>
      <c r="F1533" s="22" t="str">
        <f aca="false">IF(D1533="","",IF(COUNTIFS($B$5:$B$2004,B1533,$D$5:$D$2004,D1533)&gt;1,"DUPLICATE",IF(ISNA(MATCH(D1533,Players!$B$5:$B$304,0)),"UID not found",IF(INDEX(Players!$H$5:$H$304,MATCH(D1533,Players!$B$5:$B$304,0))&lt;0,"LOW BALANCE","OK"))))</f>
        <v/>
      </c>
      <c r="G1533" s="1"/>
      <c r="H1533" s="1"/>
      <c r="I1533" s="1"/>
    </row>
    <row r="1534" customFormat="false" ht="21.75" hidden="false" customHeight="true" outlineLevel="0" collapsed="false">
      <c r="A1534" s="1"/>
      <c r="B1534" s="16"/>
      <c r="C1534" s="16"/>
      <c r="D1534" s="15"/>
      <c r="E1534" s="11" t="str">
        <f aca="false">IF(D1534="","",IFERROR(INDEX(Players!$C$5:$C$304,MATCH(D1534,Players!$B$5:$B$304,0)),""))</f>
        <v/>
      </c>
      <c r="F1534" s="22" t="str">
        <f aca="false">IF(D1534="","",IF(COUNTIFS($B$5:$B$2004,B1534,$D$5:$D$2004,D1534)&gt;1,"DUPLICATE",IF(ISNA(MATCH(D1534,Players!$B$5:$B$304,0)),"UID not found",IF(INDEX(Players!$H$5:$H$304,MATCH(D1534,Players!$B$5:$B$304,0))&lt;0,"LOW BALANCE","OK"))))</f>
        <v/>
      </c>
      <c r="G1534" s="1"/>
      <c r="H1534" s="1"/>
      <c r="I1534" s="1"/>
    </row>
    <row r="1535" customFormat="false" ht="21.75" hidden="false" customHeight="true" outlineLevel="0" collapsed="false">
      <c r="A1535" s="1"/>
      <c r="B1535" s="16"/>
      <c r="C1535" s="16"/>
      <c r="D1535" s="15"/>
      <c r="E1535" s="11" t="str">
        <f aca="false">IF(D1535="","",IFERROR(INDEX(Players!$C$5:$C$304,MATCH(D1535,Players!$B$5:$B$304,0)),""))</f>
        <v/>
      </c>
      <c r="F1535" s="22" t="str">
        <f aca="false">IF(D1535="","",IF(COUNTIFS($B$5:$B$2004,B1535,$D$5:$D$2004,D1535)&gt;1,"DUPLICATE",IF(ISNA(MATCH(D1535,Players!$B$5:$B$304,0)),"UID not found",IF(INDEX(Players!$H$5:$H$304,MATCH(D1535,Players!$B$5:$B$304,0))&lt;0,"LOW BALANCE","OK"))))</f>
        <v/>
      </c>
      <c r="G1535" s="1"/>
      <c r="H1535" s="1"/>
      <c r="I1535" s="1"/>
    </row>
    <row r="1536" customFormat="false" ht="21.75" hidden="false" customHeight="true" outlineLevel="0" collapsed="false">
      <c r="A1536" s="1"/>
      <c r="B1536" s="16"/>
      <c r="C1536" s="16"/>
      <c r="D1536" s="15"/>
      <c r="E1536" s="11" t="str">
        <f aca="false">IF(D1536="","",IFERROR(INDEX(Players!$C$5:$C$304,MATCH(D1536,Players!$B$5:$B$304,0)),""))</f>
        <v/>
      </c>
      <c r="F1536" s="22" t="str">
        <f aca="false">IF(D1536="","",IF(COUNTIFS($B$5:$B$2004,B1536,$D$5:$D$2004,D1536)&gt;1,"DUPLICATE",IF(ISNA(MATCH(D1536,Players!$B$5:$B$304,0)),"UID not found",IF(INDEX(Players!$H$5:$H$304,MATCH(D1536,Players!$B$5:$B$304,0))&lt;0,"LOW BALANCE","OK"))))</f>
        <v/>
      </c>
      <c r="G1536" s="1"/>
      <c r="H1536" s="1"/>
      <c r="I1536" s="1"/>
    </row>
    <row r="1537" customFormat="false" ht="21.75" hidden="false" customHeight="true" outlineLevel="0" collapsed="false">
      <c r="A1537" s="1"/>
      <c r="B1537" s="16"/>
      <c r="C1537" s="16"/>
      <c r="D1537" s="15"/>
      <c r="E1537" s="11" t="str">
        <f aca="false">IF(D1537="","",IFERROR(INDEX(Players!$C$5:$C$304,MATCH(D1537,Players!$B$5:$B$304,0)),""))</f>
        <v/>
      </c>
      <c r="F1537" s="22" t="str">
        <f aca="false">IF(D1537="","",IF(COUNTIFS($B$5:$B$2004,B1537,$D$5:$D$2004,D1537)&gt;1,"DUPLICATE",IF(ISNA(MATCH(D1537,Players!$B$5:$B$304,0)),"UID not found",IF(INDEX(Players!$H$5:$H$304,MATCH(D1537,Players!$B$5:$B$304,0))&lt;0,"LOW BALANCE","OK"))))</f>
        <v/>
      </c>
      <c r="G1537" s="1"/>
      <c r="H1537" s="1"/>
      <c r="I1537" s="1"/>
    </row>
    <row r="1538" customFormat="false" ht="21.75" hidden="false" customHeight="true" outlineLevel="0" collapsed="false">
      <c r="A1538" s="1"/>
      <c r="B1538" s="16"/>
      <c r="C1538" s="16"/>
      <c r="D1538" s="15"/>
      <c r="E1538" s="11" t="str">
        <f aca="false">IF(D1538="","",IFERROR(INDEX(Players!$C$5:$C$304,MATCH(D1538,Players!$B$5:$B$304,0)),""))</f>
        <v/>
      </c>
      <c r="F1538" s="22" t="str">
        <f aca="false">IF(D1538="","",IF(COUNTIFS($B$5:$B$2004,B1538,$D$5:$D$2004,D1538)&gt;1,"DUPLICATE",IF(ISNA(MATCH(D1538,Players!$B$5:$B$304,0)),"UID not found",IF(INDEX(Players!$H$5:$H$304,MATCH(D1538,Players!$B$5:$B$304,0))&lt;0,"LOW BALANCE","OK"))))</f>
        <v/>
      </c>
      <c r="G1538" s="1"/>
      <c r="H1538" s="1"/>
      <c r="I1538" s="1"/>
    </row>
    <row r="1539" customFormat="false" ht="21.75" hidden="false" customHeight="true" outlineLevel="0" collapsed="false">
      <c r="A1539" s="1"/>
      <c r="B1539" s="16"/>
      <c r="C1539" s="16"/>
      <c r="D1539" s="15"/>
      <c r="E1539" s="11" t="str">
        <f aca="false">IF(D1539="","",IFERROR(INDEX(Players!$C$5:$C$304,MATCH(D1539,Players!$B$5:$B$304,0)),""))</f>
        <v/>
      </c>
      <c r="F1539" s="22" t="str">
        <f aca="false">IF(D1539="","",IF(COUNTIFS($B$5:$B$2004,B1539,$D$5:$D$2004,D1539)&gt;1,"DUPLICATE",IF(ISNA(MATCH(D1539,Players!$B$5:$B$304,0)),"UID not found",IF(INDEX(Players!$H$5:$H$304,MATCH(D1539,Players!$B$5:$B$304,0))&lt;0,"LOW BALANCE","OK"))))</f>
        <v/>
      </c>
      <c r="G1539" s="1"/>
      <c r="H1539" s="1"/>
      <c r="I1539" s="1"/>
    </row>
    <row r="1540" customFormat="false" ht="21.75" hidden="false" customHeight="true" outlineLevel="0" collapsed="false">
      <c r="A1540" s="1"/>
      <c r="B1540" s="16"/>
      <c r="C1540" s="16"/>
      <c r="D1540" s="15"/>
      <c r="E1540" s="11" t="str">
        <f aca="false">IF(D1540="","",IFERROR(INDEX(Players!$C$5:$C$304,MATCH(D1540,Players!$B$5:$B$304,0)),""))</f>
        <v/>
      </c>
      <c r="F1540" s="22" t="str">
        <f aca="false">IF(D1540="","",IF(COUNTIFS($B$5:$B$2004,B1540,$D$5:$D$2004,D1540)&gt;1,"DUPLICATE",IF(ISNA(MATCH(D1540,Players!$B$5:$B$304,0)),"UID not found",IF(INDEX(Players!$H$5:$H$304,MATCH(D1540,Players!$B$5:$B$304,0))&lt;0,"LOW BALANCE","OK"))))</f>
        <v/>
      </c>
      <c r="G1540" s="1"/>
      <c r="H1540" s="1"/>
      <c r="I1540" s="1"/>
    </row>
    <row r="1541" customFormat="false" ht="21.75" hidden="false" customHeight="true" outlineLevel="0" collapsed="false">
      <c r="A1541" s="1"/>
      <c r="B1541" s="16"/>
      <c r="C1541" s="16"/>
      <c r="D1541" s="15"/>
      <c r="E1541" s="11" t="str">
        <f aca="false">IF(D1541="","",IFERROR(INDEX(Players!$C$5:$C$304,MATCH(D1541,Players!$B$5:$B$304,0)),""))</f>
        <v/>
      </c>
      <c r="F1541" s="22" t="str">
        <f aca="false">IF(D1541="","",IF(COUNTIFS($B$5:$B$2004,B1541,$D$5:$D$2004,D1541)&gt;1,"DUPLICATE",IF(ISNA(MATCH(D1541,Players!$B$5:$B$304,0)),"UID not found",IF(INDEX(Players!$H$5:$H$304,MATCH(D1541,Players!$B$5:$B$304,0))&lt;0,"LOW BALANCE","OK"))))</f>
        <v/>
      </c>
      <c r="G1541" s="1"/>
      <c r="H1541" s="1"/>
      <c r="I1541" s="1"/>
    </row>
    <row r="1542" customFormat="false" ht="21.75" hidden="false" customHeight="true" outlineLevel="0" collapsed="false">
      <c r="A1542" s="1"/>
      <c r="B1542" s="16"/>
      <c r="C1542" s="16"/>
      <c r="D1542" s="15"/>
      <c r="E1542" s="11" t="str">
        <f aca="false">IF(D1542="","",IFERROR(INDEX(Players!$C$5:$C$304,MATCH(D1542,Players!$B$5:$B$304,0)),""))</f>
        <v/>
      </c>
      <c r="F1542" s="22" t="str">
        <f aca="false">IF(D1542="","",IF(COUNTIFS($B$5:$B$2004,B1542,$D$5:$D$2004,D1542)&gt;1,"DUPLICATE",IF(ISNA(MATCH(D1542,Players!$B$5:$B$304,0)),"UID not found",IF(INDEX(Players!$H$5:$H$304,MATCH(D1542,Players!$B$5:$B$304,0))&lt;0,"LOW BALANCE","OK"))))</f>
        <v/>
      </c>
      <c r="G1542" s="1"/>
      <c r="H1542" s="1"/>
      <c r="I1542" s="1"/>
    </row>
    <row r="1543" customFormat="false" ht="21.75" hidden="false" customHeight="true" outlineLevel="0" collapsed="false">
      <c r="A1543" s="1"/>
      <c r="B1543" s="16"/>
      <c r="C1543" s="16"/>
      <c r="D1543" s="15"/>
      <c r="E1543" s="11" t="str">
        <f aca="false">IF(D1543="","",IFERROR(INDEX(Players!$C$5:$C$304,MATCH(D1543,Players!$B$5:$B$304,0)),""))</f>
        <v/>
      </c>
      <c r="F1543" s="22" t="str">
        <f aca="false">IF(D1543="","",IF(COUNTIFS($B$5:$B$2004,B1543,$D$5:$D$2004,D1543)&gt;1,"DUPLICATE",IF(ISNA(MATCH(D1543,Players!$B$5:$B$304,0)),"UID not found",IF(INDEX(Players!$H$5:$H$304,MATCH(D1543,Players!$B$5:$B$304,0))&lt;0,"LOW BALANCE","OK"))))</f>
        <v/>
      </c>
      <c r="G1543" s="1"/>
      <c r="H1543" s="1"/>
      <c r="I1543" s="1"/>
    </row>
    <row r="1544" customFormat="false" ht="21.75" hidden="false" customHeight="true" outlineLevel="0" collapsed="false">
      <c r="A1544" s="1"/>
      <c r="B1544" s="16"/>
      <c r="C1544" s="16"/>
      <c r="D1544" s="15"/>
      <c r="E1544" s="11" t="str">
        <f aca="false">IF(D1544="","",IFERROR(INDEX(Players!$C$5:$C$304,MATCH(D1544,Players!$B$5:$B$304,0)),""))</f>
        <v/>
      </c>
      <c r="F1544" s="22" t="str">
        <f aca="false">IF(D1544="","",IF(COUNTIFS($B$5:$B$2004,B1544,$D$5:$D$2004,D1544)&gt;1,"DUPLICATE",IF(ISNA(MATCH(D1544,Players!$B$5:$B$304,0)),"UID not found",IF(INDEX(Players!$H$5:$H$304,MATCH(D1544,Players!$B$5:$B$304,0))&lt;0,"LOW BALANCE","OK"))))</f>
        <v/>
      </c>
      <c r="G1544" s="1"/>
      <c r="H1544" s="1"/>
      <c r="I1544" s="1"/>
    </row>
    <row r="1545" customFormat="false" ht="21.75" hidden="false" customHeight="true" outlineLevel="0" collapsed="false">
      <c r="A1545" s="1"/>
      <c r="B1545" s="16"/>
      <c r="C1545" s="16"/>
      <c r="D1545" s="15"/>
      <c r="E1545" s="11" t="str">
        <f aca="false">IF(D1545="","",IFERROR(INDEX(Players!$C$5:$C$304,MATCH(D1545,Players!$B$5:$B$304,0)),""))</f>
        <v/>
      </c>
      <c r="F1545" s="22" t="str">
        <f aca="false">IF(D1545="","",IF(COUNTIFS($B$5:$B$2004,B1545,$D$5:$D$2004,D1545)&gt;1,"DUPLICATE",IF(ISNA(MATCH(D1545,Players!$B$5:$B$304,0)),"UID not found",IF(INDEX(Players!$H$5:$H$304,MATCH(D1545,Players!$B$5:$B$304,0))&lt;0,"LOW BALANCE","OK"))))</f>
        <v/>
      </c>
      <c r="G1545" s="1"/>
      <c r="H1545" s="1"/>
      <c r="I1545" s="1"/>
    </row>
    <row r="1546" customFormat="false" ht="21.75" hidden="false" customHeight="true" outlineLevel="0" collapsed="false">
      <c r="A1546" s="1"/>
      <c r="B1546" s="16"/>
      <c r="C1546" s="16"/>
      <c r="D1546" s="15"/>
      <c r="E1546" s="11" t="str">
        <f aca="false">IF(D1546="","",IFERROR(INDEX(Players!$C$5:$C$304,MATCH(D1546,Players!$B$5:$B$304,0)),""))</f>
        <v/>
      </c>
      <c r="F1546" s="22" t="str">
        <f aca="false">IF(D1546="","",IF(COUNTIFS($B$5:$B$2004,B1546,$D$5:$D$2004,D1546)&gt;1,"DUPLICATE",IF(ISNA(MATCH(D1546,Players!$B$5:$B$304,0)),"UID not found",IF(INDEX(Players!$H$5:$H$304,MATCH(D1546,Players!$B$5:$B$304,0))&lt;0,"LOW BALANCE","OK"))))</f>
        <v/>
      </c>
      <c r="G1546" s="1"/>
      <c r="H1546" s="1"/>
      <c r="I1546" s="1"/>
    </row>
    <row r="1547" customFormat="false" ht="21.75" hidden="false" customHeight="true" outlineLevel="0" collapsed="false">
      <c r="A1547" s="1"/>
      <c r="B1547" s="16"/>
      <c r="C1547" s="16"/>
      <c r="D1547" s="15"/>
      <c r="E1547" s="11" t="str">
        <f aca="false">IF(D1547="","",IFERROR(INDEX(Players!$C$5:$C$304,MATCH(D1547,Players!$B$5:$B$304,0)),""))</f>
        <v/>
      </c>
      <c r="F1547" s="22" t="str">
        <f aca="false">IF(D1547="","",IF(COUNTIFS($B$5:$B$2004,B1547,$D$5:$D$2004,D1547)&gt;1,"DUPLICATE",IF(ISNA(MATCH(D1547,Players!$B$5:$B$304,0)),"UID not found",IF(INDEX(Players!$H$5:$H$304,MATCH(D1547,Players!$B$5:$B$304,0))&lt;0,"LOW BALANCE","OK"))))</f>
        <v/>
      </c>
      <c r="G1547" s="1"/>
      <c r="H1547" s="1"/>
      <c r="I1547" s="1"/>
    </row>
    <row r="1548" customFormat="false" ht="21.75" hidden="false" customHeight="true" outlineLevel="0" collapsed="false">
      <c r="A1548" s="1"/>
      <c r="B1548" s="16"/>
      <c r="C1548" s="16"/>
      <c r="D1548" s="15"/>
      <c r="E1548" s="11" t="str">
        <f aca="false">IF(D1548="","",IFERROR(INDEX(Players!$C$5:$C$304,MATCH(D1548,Players!$B$5:$B$304,0)),""))</f>
        <v/>
      </c>
      <c r="F1548" s="22" t="str">
        <f aca="false">IF(D1548="","",IF(COUNTIFS($B$5:$B$2004,B1548,$D$5:$D$2004,D1548)&gt;1,"DUPLICATE",IF(ISNA(MATCH(D1548,Players!$B$5:$B$304,0)),"UID not found",IF(INDEX(Players!$H$5:$H$304,MATCH(D1548,Players!$B$5:$B$304,0))&lt;0,"LOW BALANCE","OK"))))</f>
        <v/>
      </c>
      <c r="G1548" s="1"/>
      <c r="H1548" s="1"/>
      <c r="I1548" s="1"/>
    </row>
    <row r="1549" customFormat="false" ht="21.75" hidden="false" customHeight="true" outlineLevel="0" collapsed="false">
      <c r="A1549" s="1"/>
      <c r="B1549" s="16"/>
      <c r="C1549" s="16"/>
      <c r="D1549" s="15"/>
      <c r="E1549" s="11" t="str">
        <f aca="false">IF(D1549="","",IFERROR(INDEX(Players!$C$5:$C$304,MATCH(D1549,Players!$B$5:$B$304,0)),""))</f>
        <v/>
      </c>
      <c r="F1549" s="22" t="str">
        <f aca="false">IF(D1549="","",IF(COUNTIFS($B$5:$B$2004,B1549,$D$5:$D$2004,D1549)&gt;1,"DUPLICATE",IF(ISNA(MATCH(D1549,Players!$B$5:$B$304,0)),"UID not found",IF(INDEX(Players!$H$5:$H$304,MATCH(D1549,Players!$B$5:$B$304,0))&lt;0,"LOW BALANCE","OK"))))</f>
        <v/>
      </c>
      <c r="G1549" s="1"/>
      <c r="H1549" s="1"/>
      <c r="I1549" s="1"/>
    </row>
    <row r="1550" customFormat="false" ht="21.75" hidden="false" customHeight="true" outlineLevel="0" collapsed="false">
      <c r="A1550" s="1"/>
      <c r="B1550" s="16"/>
      <c r="C1550" s="16"/>
      <c r="D1550" s="15"/>
      <c r="E1550" s="11" t="str">
        <f aca="false">IF(D1550="","",IFERROR(INDEX(Players!$C$5:$C$304,MATCH(D1550,Players!$B$5:$B$304,0)),""))</f>
        <v/>
      </c>
      <c r="F1550" s="22" t="str">
        <f aca="false">IF(D1550="","",IF(COUNTIFS($B$5:$B$2004,B1550,$D$5:$D$2004,D1550)&gt;1,"DUPLICATE",IF(ISNA(MATCH(D1550,Players!$B$5:$B$304,0)),"UID not found",IF(INDEX(Players!$H$5:$H$304,MATCH(D1550,Players!$B$5:$B$304,0))&lt;0,"LOW BALANCE","OK"))))</f>
        <v/>
      </c>
      <c r="G1550" s="1"/>
      <c r="H1550" s="1"/>
      <c r="I1550" s="1"/>
    </row>
    <row r="1551" customFormat="false" ht="21.75" hidden="false" customHeight="true" outlineLevel="0" collapsed="false">
      <c r="A1551" s="1"/>
      <c r="B1551" s="16"/>
      <c r="C1551" s="16"/>
      <c r="D1551" s="15"/>
      <c r="E1551" s="11" t="str">
        <f aca="false">IF(D1551="","",IFERROR(INDEX(Players!$C$5:$C$304,MATCH(D1551,Players!$B$5:$B$304,0)),""))</f>
        <v/>
      </c>
      <c r="F1551" s="22" t="str">
        <f aca="false">IF(D1551="","",IF(COUNTIFS($B$5:$B$2004,B1551,$D$5:$D$2004,D1551)&gt;1,"DUPLICATE",IF(ISNA(MATCH(D1551,Players!$B$5:$B$304,0)),"UID not found",IF(INDEX(Players!$H$5:$H$304,MATCH(D1551,Players!$B$5:$B$304,0))&lt;0,"LOW BALANCE","OK"))))</f>
        <v/>
      </c>
      <c r="G1551" s="1"/>
      <c r="H1551" s="1"/>
      <c r="I1551" s="1"/>
    </row>
    <row r="1552" customFormat="false" ht="21.75" hidden="false" customHeight="true" outlineLevel="0" collapsed="false">
      <c r="A1552" s="1"/>
      <c r="B1552" s="16"/>
      <c r="C1552" s="16"/>
      <c r="D1552" s="15"/>
      <c r="E1552" s="11" t="str">
        <f aca="false">IF(D1552="","",IFERROR(INDEX(Players!$C$5:$C$304,MATCH(D1552,Players!$B$5:$B$304,0)),""))</f>
        <v/>
      </c>
      <c r="F1552" s="22" t="str">
        <f aca="false">IF(D1552="","",IF(COUNTIFS($B$5:$B$2004,B1552,$D$5:$D$2004,D1552)&gt;1,"DUPLICATE",IF(ISNA(MATCH(D1552,Players!$B$5:$B$304,0)),"UID not found",IF(INDEX(Players!$H$5:$H$304,MATCH(D1552,Players!$B$5:$B$304,0))&lt;0,"LOW BALANCE","OK"))))</f>
        <v/>
      </c>
      <c r="G1552" s="1"/>
      <c r="H1552" s="1"/>
      <c r="I1552" s="1"/>
    </row>
    <row r="1553" customFormat="false" ht="21.75" hidden="false" customHeight="true" outlineLevel="0" collapsed="false">
      <c r="A1553" s="1"/>
      <c r="B1553" s="16"/>
      <c r="C1553" s="16"/>
      <c r="D1553" s="15"/>
      <c r="E1553" s="11" t="str">
        <f aca="false">IF(D1553="","",IFERROR(INDEX(Players!$C$5:$C$304,MATCH(D1553,Players!$B$5:$B$304,0)),""))</f>
        <v/>
      </c>
      <c r="F1553" s="22" t="str">
        <f aca="false">IF(D1553="","",IF(COUNTIFS($B$5:$B$2004,B1553,$D$5:$D$2004,D1553)&gt;1,"DUPLICATE",IF(ISNA(MATCH(D1553,Players!$B$5:$B$304,0)),"UID not found",IF(INDEX(Players!$H$5:$H$304,MATCH(D1553,Players!$B$5:$B$304,0))&lt;0,"LOW BALANCE","OK"))))</f>
        <v/>
      </c>
      <c r="G1553" s="1"/>
      <c r="H1553" s="1"/>
      <c r="I1553" s="1"/>
    </row>
    <row r="1554" customFormat="false" ht="21.75" hidden="false" customHeight="true" outlineLevel="0" collapsed="false">
      <c r="A1554" s="1"/>
      <c r="B1554" s="16"/>
      <c r="C1554" s="16"/>
      <c r="D1554" s="15"/>
      <c r="E1554" s="11" t="str">
        <f aca="false">IF(D1554="","",IFERROR(INDEX(Players!$C$5:$C$304,MATCH(D1554,Players!$B$5:$B$304,0)),""))</f>
        <v/>
      </c>
      <c r="F1554" s="22" t="str">
        <f aca="false">IF(D1554="","",IF(COUNTIFS($B$5:$B$2004,B1554,$D$5:$D$2004,D1554)&gt;1,"DUPLICATE",IF(ISNA(MATCH(D1554,Players!$B$5:$B$304,0)),"UID not found",IF(INDEX(Players!$H$5:$H$304,MATCH(D1554,Players!$B$5:$B$304,0))&lt;0,"LOW BALANCE","OK"))))</f>
        <v/>
      </c>
      <c r="G1554" s="1"/>
      <c r="H1554" s="1"/>
      <c r="I1554" s="1"/>
    </row>
    <row r="1555" customFormat="false" ht="21.75" hidden="false" customHeight="true" outlineLevel="0" collapsed="false">
      <c r="A1555" s="1"/>
      <c r="B1555" s="16"/>
      <c r="C1555" s="16"/>
      <c r="D1555" s="15"/>
      <c r="E1555" s="11" t="str">
        <f aca="false">IF(D1555="","",IFERROR(INDEX(Players!$C$5:$C$304,MATCH(D1555,Players!$B$5:$B$304,0)),""))</f>
        <v/>
      </c>
      <c r="F1555" s="22" t="str">
        <f aca="false">IF(D1555="","",IF(COUNTIFS($B$5:$B$2004,B1555,$D$5:$D$2004,D1555)&gt;1,"DUPLICATE",IF(ISNA(MATCH(D1555,Players!$B$5:$B$304,0)),"UID not found",IF(INDEX(Players!$H$5:$H$304,MATCH(D1555,Players!$B$5:$B$304,0))&lt;0,"LOW BALANCE","OK"))))</f>
        <v/>
      </c>
      <c r="G1555" s="1"/>
      <c r="H1555" s="1"/>
      <c r="I1555" s="1"/>
    </row>
    <row r="1556" customFormat="false" ht="21.75" hidden="false" customHeight="true" outlineLevel="0" collapsed="false">
      <c r="A1556" s="1"/>
      <c r="B1556" s="16"/>
      <c r="C1556" s="16"/>
      <c r="D1556" s="15"/>
      <c r="E1556" s="11" t="str">
        <f aca="false">IF(D1556="","",IFERROR(INDEX(Players!$C$5:$C$304,MATCH(D1556,Players!$B$5:$B$304,0)),""))</f>
        <v/>
      </c>
      <c r="F1556" s="22" t="str">
        <f aca="false">IF(D1556="","",IF(COUNTIFS($B$5:$B$2004,B1556,$D$5:$D$2004,D1556)&gt;1,"DUPLICATE",IF(ISNA(MATCH(D1556,Players!$B$5:$B$304,0)),"UID not found",IF(INDEX(Players!$H$5:$H$304,MATCH(D1556,Players!$B$5:$B$304,0))&lt;0,"LOW BALANCE","OK"))))</f>
        <v/>
      </c>
      <c r="G1556" s="1"/>
      <c r="H1556" s="1"/>
      <c r="I1556" s="1"/>
    </row>
    <row r="1557" customFormat="false" ht="21.75" hidden="false" customHeight="true" outlineLevel="0" collapsed="false">
      <c r="A1557" s="1"/>
      <c r="B1557" s="16"/>
      <c r="C1557" s="16"/>
      <c r="D1557" s="15"/>
      <c r="E1557" s="11" t="str">
        <f aca="false">IF(D1557="","",IFERROR(INDEX(Players!$C$5:$C$304,MATCH(D1557,Players!$B$5:$B$304,0)),""))</f>
        <v/>
      </c>
      <c r="F1557" s="22" t="str">
        <f aca="false">IF(D1557="","",IF(COUNTIFS($B$5:$B$2004,B1557,$D$5:$D$2004,D1557)&gt;1,"DUPLICATE",IF(ISNA(MATCH(D1557,Players!$B$5:$B$304,0)),"UID not found",IF(INDEX(Players!$H$5:$H$304,MATCH(D1557,Players!$B$5:$B$304,0))&lt;0,"LOW BALANCE","OK"))))</f>
        <v/>
      </c>
      <c r="G1557" s="1"/>
      <c r="H1557" s="1"/>
      <c r="I1557" s="1"/>
    </row>
    <row r="1558" customFormat="false" ht="21.75" hidden="false" customHeight="true" outlineLevel="0" collapsed="false">
      <c r="A1558" s="1"/>
      <c r="B1558" s="16"/>
      <c r="C1558" s="16"/>
      <c r="D1558" s="15"/>
      <c r="E1558" s="11" t="str">
        <f aca="false">IF(D1558="","",IFERROR(INDEX(Players!$C$5:$C$304,MATCH(D1558,Players!$B$5:$B$304,0)),""))</f>
        <v/>
      </c>
      <c r="F1558" s="22" t="str">
        <f aca="false">IF(D1558="","",IF(COUNTIFS($B$5:$B$2004,B1558,$D$5:$D$2004,D1558)&gt;1,"DUPLICATE",IF(ISNA(MATCH(D1558,Players!$B$5:$B$304,0)),"UID not found",IF(INDEX(Players!$H$5:$H$304,MATCH(D1558,Players!$B$5:$B$304,0))&lt;0,"LOW BALANCE","OK"))))</f>
        <v/>
      </c>
      <c r="G1558" s="1"/>
      <c r="H1558" s="1"/>
      <c r="I1558" s="1"/>
    </row>
    <row r="1559" customFormat="false" ht="21.75" hidden="false" customHeight="true" outlineLevel="0" collapsed="false">
      <c r="A1559" s="1"/>
      <c r="B1559" s="16"/>
      <c r="C1559" s="16"/>
      <c r="D1559" s="15"/>
      <c r="E1559" s="11" t="str">
        <f aca="false">IF(D1559="","",IFERROR(INDEX(Players!$C$5:$C$304,MATCH(D1559,Players!$B$5:$B$304,0)),""))</f>
        <v/>
      </c>
      <c r="F1559" s="22" t="str">
        <f aca="false">IF(D1559="","",IF(COUNTIFS($B$5:$B$2004,B1559,$D$5:$D$2004,D1559)&gt;1,"DUPLICATE",IF(ISNA(MATCH(D1559,Players!$B$5:$B$304,0)),"UID not found",IF(INDEX(Players!$H$5:$H$304,MATCH(D1559,Players!$B$5:$B$304,0))&lt;0,"LOW BALANCE","OK"))))</f>
        <v/>
      </c>
      <c r="G1559" s="1"/>
      <c r="H1559" s="1"/>
      <c r="I1559" s="1"/>
    </row>
    <row r="1560" customFormat="false" ht="21.75" hidden="false" customHeight="true" outlineLevel="0" collapsed="false">
      <c r="A1560" s="1"/>
      <c r="B1560" s="16"/>
      <c r="C1560" s="16"/>
      <c r="D1560" s="15"/>
      <c r="E1560" s="11" t="str">
        <f aca="false">IF(D1560="","",IFERROR(INDEX(Players!$C$5:$C$304,MATCH(D1560,Players!$B$5:$B$304,0)),""))</f>
        <v/>
      </c>
      <c r="F1560" s="22" t="str">
        <f aca="false">IF(D1560="","",IF(COUNTIFS($B$5:$B$2004,B1560,$D$5:$D$2004,D1560)&gt;1,"DUPLICATE",IF(ISNA(MATCH(D1560,Players!$B$5:$B$304,0)),"UID not found",IF(INDEX(Players!$H$5:$H$304,MATCH(D1560,Players!$B$5:$B$304,0))&lt;0,"LOW BALANCE","OK"))))</f>
        <v/>
      </c>
      <c r="G1560" s="1"/>
      <c r="H1560" s="1"/>
      <c r="I1560" s="1"/>
    </row>
    <row r="1561" customFormat="false" ht="21.75" hidden="false" customHeight="true" outlineLevel="0" collapsed="false">
      <c r="A1561" s="1"/>
      <c r="B1561" s="16"/>
      <c r="C1561" s="16"/>
      <c r="D1561" s="15"/>
      <c r="E1561" s="11" t="str">
        <f aca="false">IF(D1561="","",IFERROR(INDEX(Players!$C$5:$C$304,MATCH(D1561,Players!$B$5:$B$304,0)),""))</f>
        <v/>
      </c>
      <c r="F1561" s="22" t="str">
        <f aca="false">IF(D1561="","",IF(COUNTIFS($B$5:$B$2004,B1561,$D$5:$D$2004,D1561)&gt;1,"DUPLICATE",IF(ISNA(MATCH(D1561,Players!$B$5:$B$304,0)),"UID not found",IF(INDEX(Players!$H$5:$H$304,MATCH(D1561,Players!$B$5:$B$304,0))&lt;0,"LOW BALANCE","OK"))))</f>
        <v/>
      </c>
      <c r="G1561" s="1"/>
      <c r="H1561" s="1"/>
      <c r="I1561" s="1"/>
    </row>
    <row r="1562" customFormat="false" ht="21.75" hidden="false" customHeight="true" outlineLevel="0" collapsed="false">
      <c r="A1562" s="1"/>
      <c r="B1562" s="16"/>
      <c r="C1562" s="16"/>
      <c r="D1562" s="15"/>
      <c r="E1562" s="11" t="str">
        <f aca="false">IF(D1562="","",IFERROR(INDEX(Players!$C$5:$C$304,MATCH(D1562,Players!$B$5:$B$304,0)),""))</f>
        <v/>
      </c>
      <c r="F1562" s="22" t="str">
        <f aca="false">IF(D1562="","",IF(COUNTIFS($B$5:$B$2004,B1562,$D$5:$D$2004,D1562)&gt;1,"DUPLICATE",IF(ISNA(MATCH(D1562,Players!$B$5:$B$304,0)),"UID not found",IF(INDEX(Players!$H$5:$H$304,MATCH(D1562,Players!$B$5:$B$304,0))&lt;0,"LOW BALANCE","OK"))))</f>
        <v/>
      </c>
      <c r="G1562" s="1"/>
      <c r="H1562" s="1"/>
      <c r="I1562" s="1"/>
    </row>
    <row r="1563" customFormat="false" ht="21.75" hidden="false" customHeight="true" outlineLevel="0" collapsed="false">
      <c r="A1563" s="1"/>
      <c r="B1563" s="16"/>
      <c r="C1563" s="16"/>
      <c r="D1563" s="15"/>
      <c r="E1563" s="11" t="str">
        <f aca="false">IF(D1563="","",IFERROR(INDEX(Players!$C$5:$C$304,MATCH(D1563,Players!$B$5:$B$304,0)),""))</f>
        <v/>
      </c>
      <c r="F1563" s="22" t="str">
        <f aca="false">IF(D1563="","",IF(COUNTIFS($B$5:$B$2004,B1563,$D$5:$D$2004,D1563)&gt;1,"DUPLICATE",IF(ISNA(MATCH(D1563,Players!$B$5:$B$304,0)),"UID not found",IF(INDEX(Players!$H$5:$H$304,MATCH(D1563,Players!$B$5:$B$304,0))&lt;0,"LOW BALANCE","OK"))))</f>
        <v/>
      </c>
      <c r="G1563" s="1"/>
      <c r="H1563" s="1"/>
      <c r="I1563" s="1"/>
    </row>
    <row r="1564" customFormat="false" ht="21.75" hidden="false" customHeight="true" outlineLevel="0" collapsed="false">
      <c r="A1564" s="1"/>
      <c r="B1564" s="16"/>
      <c r="C1564" s="16"/>
      <c r="D1564" s="15"/>
      <c r="E1564" s="11" t="str">
        <f aca="false">IF(D1564="","",IFERROR(INDEX(Players!$C$5:$C$304,MATCH(D1564,Players!$B$5:$B$304,0)),""))</f>
        <v/>
      </c>
      <c r="F1564" s="22" t="str">
        <f aca="false">IF(D1564="","",IF(COUNTIFS($B$5:$B$2004,B1564,$D$5:$D$2004,D1564)&gt;1,"DUPLICATE",IF(ISNA(MATCH(D1564,Players!$B$5:$B$304,0)),"UID not found",IF(INDEX(Players!$H$5:$H$304,MATCH(D1564,Players!$B$5:$B$304,0))&lt;0,"LOW BALANCE","OK"))))</f>
        <v/>
      </c>
      <c r="G1564" s="1"/>
      <c r="H1564" s="1"/>
      <c r="I1564" s="1"/>
    </row>
    <row r="1565" customFormat="false" ht="21.75" hidden="false" customHeight="true" outlineLevel="0" collapsed="false">
      <c r="A1565" s="1"/>
      <c r="B1565" s="16"/>
      <c r="C1565" s="16"/>
      <c r="D1565" s="15"/>
      <c r="E1565" s="11" t="str">
        <f aca="false">IF(D1565="","",IFERROR(INDEX(Players!$C$5:$C$304,MATCH(D1565,Players!$B$5:$B$304,0)),""))</f>
        <v/>
      </c>
      <c r="F1565" s="22" t="str">
        <f aca="false">IF(D1565="","",IF(COUNTIFS($B$5:$B$2004,B1565,$D$5:$D$2004,D1565)&gt;1,"DUPLICATE",IF(ISNA(MATCH(D1565,Players!$B$5:$B$304,0)),"UID not found",IF(INDEX(Players!$H$5:$H$304,MATCH(D1565,Players!$B$5:$B$304,0))&lt;0,"LOW BALANCE","OK"))))</f>
        <v/>
      </c>
      <c r="G1565" s="1"/>
      <c r="H1565" s="1"/>
      <c r="I1565" s="1"/>
    </row>
    <row r="1566" customFormat="false" ht="21.75" hidden="false" customHeight="true" outlineLevel="0" collapsed="false">
      <c r="A1566" s="1"/>
      <c r="B1566" s="16"/>
      <c r="C1566" s="16"/>
      <c r="D1566" s="15"/>
      <c r="E1566" s="11" t="str">
        <f aca="false">IF(D1566="","",IFERROR(INDEX(Players!$C$5:$C$304,MATCH(D1566,Players!$B$5:$B$304,0)),""))</f>
        <v/>
      </c>
      <c r="F1566" s="22" t="str">
        <f aca="false">IF(D1566="","",IF(COUNTIFS($B$5:$B$2004,B1566,$D$5:$D$2004,D1566)&gt;1,"DUPLICATE",IF(ISNA(MATCH(D1566,Players!$B$5:$B$304,0)),"UID not found",IF(INDEX(Players!$H$5:$H$304,MATCH(D1566,Players!$B$5:$B$304,0))&lt;0,"LOW BALANCE","OK"))))</f>
        <v/>
      </c>
      <c r="G1566" s="1"/>
      <c r="H1566" s="1"/>
      <c r="I1566" s="1"/>
    </row>
    <row r="1567" customFormat="false" ht="21.75" hidden="false" customHeight="true" outlineLevel="0" collapsed="false">
      <c r="A1567" s="1"/>
      <c r="B1567" s="16"/>
      <c r="C1567" s="16"/>
      <c r="D1567" s="15"/>
      <c r="E1567" s="11" t="str">
        <f aca="false">IF(D1567="","",IFERROR(INDEX(Players!$C$5:$C$304,MATCH(D1567,Players!$B$5:$B$304,0)),""))</f>
        <v/>
      </c>
      <c r="F1567" s="22" t="str">
        <f aca="false">IF(D1567="","",IF(COUNTIFS($B$5:$B$2004,B1567,$D$5:$D$2004,D1567)&gt;1,"DUPLICATE",IF(ISNA(MATCH(D1567,Players!$B$5:$B$304,0)),"UID not found",IF(INDEX(Players!$H$5:$H$304,MATCH(D1567,Players!$B$5:$B$304,0))&lt;0,"LOW BALANCE","OK"))))</f>
        <v/>
      </c>
      <c r="G1567" s="1"/>
      <c r="H1567" s="1"/>
      <c r="I1567" s="1"/>
    </row>
    <row r="1568" customFormat="false" ht="21.75" hidden="false" customHeight="true" outlineLevel="0" collapsed="false">
      <c r="A1568" s="1"/>
      <c r="B1568" s="16"/>
      <c r="C1568" s="16"/>
      <c r="D1568" s="15"/>
      <c r="E1568" s="11" t="str">
        <f aca="false">IF(D1568="","",IFERROR(INDEX(Players!$C$5:$C$304,MATCH(D1568,Players!$B$5:$B$304,0)),""))</f>
        <v/>
      </c>
      <c r="F1568" s="22" t="str">
        <f aca="false">IF(D1568="","",IF(COUNTIFS($B$5:$B$2004,B1568,$D$5:$D$2004,D1568)&gt;1,"DUPLICATE",IF(ISNA(MATCH(D1568,Players!$B$5:$B$304,0)),"UID not found",IF(INDEX(Players!$H$5:$H$304,MATCH(D1568,Players!$B$5:$B$304,0))&lt;0,"LOW BALANCE","OK"))))</f>
        <v/>
      </c>
      <c r="G1568" s="1"/>
      <c r="H1568" s="1"/>
      <c r="I1568" s="1"/>
    </row>
    <row r="1569" customFormat="false" ht="21.75" hidden="false" customHeight="true" outlineLevel="0" collapsed="false">
      <c r="A1569" s="1"/>
      <c r="B1569" s="16"/>
      <c r="C1569" s="16"/>
      <c r="D1569" s="15"/>
      <c r="E1569" s="11" t="str">
        <f aca="false">IF(D1569="","",IFERROR(INDEX(Players!$C$5:$C$304,MATCH(D1569,Players!$B$5:$B$304,0)),""))</f>
        <v/>
      </c>
      <c r="F1569" s="22" t="str">
        <f aca="false">IF(D1569="","",IF(COUNTIFS($B$5:$B$2004,B1569,$D$5:$D$2004,D1569)&gt;1,"DUPLICATE",IF(ISNA(MATCH(D1569,Players!$B$5:$B$304,0)),"UID not found",IF(INDEX(Players!$H$5:$H$304,MATCH(D1569,Players!$B$5:$B$304,0))&lt;0,"LOW BALANCE","OK"))))</f>
        <v/>
      </c>
      <c r="G1569" s="1"/>
      <c r="H1569" s="1"/>
      <c r="I1569" s="1"/>
    </row>
    <row r="1570" customFormat="false" ht="21.75" hidden="false" customHeight="true" outlineLevel="0" collapsed="false">
      <c r="A1570" s="1"/>
      <c r="B1570" s="16"/>
      <c r="C1570" s="16"/>
      <c r="D1570" s="15"/>
      <c r="E1570" s="11" t="str">
        <f aca="false">IF(D1570="","",IFERROR(INDEX(Players!$C$5:$C$304,MATCH(D1570,Players!$B$5:$B$304,0)),""))</f>
        <v/>
      </c>
      <c r="F1570" s="22" t="str">
        <f aca="false">IF(D1570="","",IF(COUNTIFS($B$5:$B$2004,B1570,$D$5:$D$2004,D1570)&gt;1,"DUPLICATE",IF(ISNA(MATCH(D1570,Players!$B$5:$B$304,0)),"UID not found",IF(INDEX(Players!$H$5:$H$304,MATCH(D1570,Players!$B$5:$B$304,0))&lt;0,"LOW BALANCE","OK"))))</f>
        <v/>
      </c>
      <c r="G1570" s="1"/>
      <c r="H1570" s="1"/>
      <c r="I1570" s="1"/>
    </row>
    <row r="1571" customFormat="false" ht="21.75" hidden="false" customHeight="true" outlineLevel="0" collapsed="false">
      <c r="A1571" s="1"/>
      <c r="B1571" s="16"/>
      <c r="C1571" s="16"/>
      <c r="D1571" s="15"/>
      <c r="E1571" s="11" t="str">
        <f aca="false">IF(D1571="","",IFERROR(INDEX(Players!$C$5:$C$304,MATCH(D1571,Players!$B$5:$B$304,0)),""))</f>
        <v/>
      </c>
      <c r="F1571" s="22" t="str">
        <f aca="false">IF(D1571="","",IF(COUNTIFS($B$5:$B$2004,B1571,$D$5:$D$2004,D1571)&gt;1,"DUPLICATE",IF(ISNA(MATCH(D1571,Players!$B$5:$B$304,0)),"UID not found",IF(INDEX(Players!$H$5:$H$304,MATCH(D1571,Players!$B$5:$B$304,0))&lt;0,"LOW BALANCE","OK"))))</f>
        <v/>
      </c>
      <c r="G1571" s="1"/>
      <c r="H1571" s="1"/>
      <c r="I1571" s="1"/>
    </row>
    <row r="1572" customFormat="false" ht="21.75" hidden="false" customHeight="true" outlineLevel="0" collapsed="false">
      <c r="A1572" s="1"/>
      <c r="B1572" s="16"/>
      <c r="C1572" s="16"/>
      <c r="D1572" s="15"/>
      <c r="E1572" s="11" t="str">
        <f aca="false">IF(D1572="","",IFERROR(INDEX(Players!$C$5:$C$304,MATCH(D1572,Players!$B$5:$B$304,0)),""))</f>
        <v/>
      </c>
      <c r="F1572" s="22" t="str">
        <f aca="false">IF(D1572="","",IF(COUNTIFS($B$5:$B$2004,B1572,$D$5:$D$2004,D1572)&gt;1,"DUPLICATE",IF(ISNA(MATCH(D1572,Players!$B$5:$B$304,0)),"UID not found",IF(INDEX(Players!$H$5:$H$304,MATCH(D1572,Players!$B$5:$B$304,0))&lt;0,"LOW BALANCE","OK"))))</f>
        <v/>
      </c>
      <c r="G1572" s="1"/>
      <c r="H1572" s="1"/>
      <c r="I1572" s="1"/>
    </row>
    <row r="1573" customFormat="false" ht="21.75" hidden="false" customHeight="true" outlineLevel="0" collapsed="false">
      <c r="A1573" s="1"/>
      <c r="B1573" s="16"/>
      <c r="C1573" s="16"/>
      <c r="D1573" s="15"/>
      <c r="E1573" s="11" t="str">
        <f aca="false">IF(D1573="","",IFERROR(INDEX(Players!$C$5:$C$304,MATCH(D1573,Players!$B$5:$B$304,0)),""))</f>
        <v/>
      </c>
      <c r="F1573" s="22" t="str">
        <f aca="false">IF(D1573="","",IF(COUNTIFS($B$5:$B$2004,B1573,$D$5:$D$2004,D1573)&gt;1,"DUPLICATE",IF(ISNA(MATCH(D1573,Players!$B$5:$B$304,0)),"UID not found",IF(INDEX(Players!$H$5:$H$304,MATCH(D1573,Players!$B$5:$B$304,0))&lt;0,"LOW BALANCE","OK"))))</f>
        <v/>
      </c>
      <c r="G1573" s="1"/>
      <c r="H1573" s="1"/>
      <c r="I1573" s="1"/>
    </row>
    <row r="1574" customFormat="false" ht="21.75" hidden="false" customHeight="true" outlineLevel="0" collapsed="false">
      <c r="A1574" s="1"/>
      <c r="B1574" s="16"/>
      <c r="C1574" s="16"/>
      <c r="D1574" s="15"/>
      <c r="E1574" s="11" t="str">
        <f aca="false">IF(D1574="","",IFERROR(INDEX(Players!$C$5:$C$304,MATCH(D1574,Players!$B$5:$B$304,0)),""))</f>
        <v/>
      </c>
      <c r="F1574" s="22" t="str">
        <f aca="false">IF(D1574="","",IF(COUNTIFS($B$5:$B$2004,B1574,$D$5:$D$2004,D1574)&gt;1,"DUPLICATE",IF(ISNA(MATCH(D1574,Players!$B$5:$B$304,0)),"UID not found",IF(INDEX(Players!$H$5:$H$304,MATCH(D1574,Players!$B$5:$B$304,0))&lt;0,"LOW BALANCE","OK"))))</f>
        <v/>
      </c>
      <c r="G1574" s="1"/>
      <c r="H1574" s="1"/>
      <c r="I1574" s="1"/>
    </row>
    <row r="1575" customFormat="false" ht="21.75" hidden="false" customHeight="true" outlineLevel="0" collapsed="false">
      <c r="A1575" s="1"/>
      <c r="B1575" s="16"/>
      <c r="C1575" s="16"/>
      <c r="D1575" s="15"/>
      <c r="E1575" s="11" t="str">
        <f aca="false">IF(D1575="","",IFERROR(INDEX(Players!$C$5:$C$304,MATCH(D1575,Players!$B$5:$B$304,0)),""))</f>
        <v/>
      </c>
      <c r="F1575" s="22" t="str">
        <f aca="false">IF(D1575="","",IF(COUNTIFS($B$5:$B$2004,B1575,$D$5:$D$2004,D1575)&gt;1,"DUPLICATE",IF(ISNA(MATCH(D1575,Players!$B$5:$B$304,0)),"UID not found",IF(INDEX(Players!$H$5:$H$304,MATCH(D1575,Players!$B$5:$B$304,0))&lt;0,"LOW BALANCE","OK"))))</f>
        <v/>
      </c>
      <c r="G1575" s="1"/>
      <c r="H1575" s="1"/>
      <c r="I1575" s="1"/>
    </row>
    <row r="1576" customFormat="false" ht="21.75" hidden="false" customHeight="true" outlineLevel="0" collapsed="false">
      <c r="A1576" s="1"/>
      <c r="B1576" s="16"/>
      <c r="C1576" s="16"/>
      <c r="D1576" s="15"/>
      <c r="E1576" s="11" t="str">
        <f aca="false">IF(D1576="","",IFERROR(INDEX(Players!$C$5:$C$304,MATCH(D1576,Players!$B$5:$B$304,0)),""))</f>
        <v/>
      </c>
      <c r="F1576" s="22" t="str">
        <f aca="false">IF(D1576="","",IF(COUNTIFS($B$5:$B$2004,B1576,$D$5:$D$2004,D1576)&gt;1,"DUPLICATE",IF(ISNA(MATCH(D1576,Players!$B$5:$B$304,0)),"UID not found",IF(INDEX(Players!$H$5:$H$304,MATCH(D1576,Players!$B$5:$B$304,0))&lt;0,"LOW BALANCE","OK"))))</f>
        <v/>
      </c>
      <c r="G1576" s="1"/>
      <c r="H1576" s="1"/>
      <c r="I1576" s="1"/>
    </row>
    <row r="1577" customFormat="false" ht="21.75" hidden="false" customHeight="true" outlineLevel="0" collapsed="false">
      <c r="A1577" s="1"/>
      <c r="B1577" s="16"/>
      <c r="C1577" s="16"/>
      <c r="D1577" s="15"/>
      <c r="E1577" s="11" t="str">
        <f aca="false">IF(D1577="","",IFERROR(INDEX(Players!$C$5:$C$304,MATCH(D1577,Players!$B$5:$B$304,0)),""))</f>
        <v/>
      </c>
      <c r="F1577" s="22" t="str">
        <f aca="false">IF(D1577="","",IF(COUNTIFS($B$5:$B$2004,B1577,$D$5:$D$2004,D1577)&gt;1,"DUPLICATE",IF(ISNA(MATCH(D1577,Players!$B$5:$B$304,0)),"UID not found",IF(INDEX(Players!$H$5:$H$304,MATCH(D1577,Players!$B$5:$B$304,0))&lt;0,"LOW BALANCE","OK"))))</f>
        <v/>
      </c>
      <c r="G1577" s="1"/>
      <c r="H1577" s="1"/>
      <c r="I1577" s="1"/>
    </row>
    <row r="1578" customFormat="false" ht="21.75" hidden="false" customHeight="true" outlineLevel="0" collapsed="false">
      <c r="A1578" s="1"/>
      <c r="B1578" s="16"/>
      <c r="C1578" s="16"/>
      <c r="D1578" s="15"/>
      <c r="E1578" s="11" t="str">
        <f aca="false">IF(D1578="","",IFERROR(INDEX(Players!$C$5:$C$304,MATCH(D1578,Players!$B$5:$B$304,0)),""))</f>
        <v/>
      </c>
      <c r="F1578" s="22" t="str">
        <f aca="false">IF(D1578="","",IF(COUNTIFS($B$5:$B$2004,B1578,$D$5:$D$2004,D1578)&gt;1,"DUPLICATE",IF(ISNA(MATCH(D1578,Players!$B$5:$B$304,0)),"UID not found",IF(INDEX(Players!$H$5:$H$304,MATCH(D1578,Players!$B$5:$B$304,0))&lt;0,"LOW BALANCE","OK"))))</f>
        <v/>
      </c>
      <c r="G1578" s="1"/>
      <c r="H1578" s="1"/>
      <c r="I1578" s="1"/>
    </row>
    <row r="1579" customFormat="false" ht="21.75" hidden="false" customHeight="true" outlineLevel="0" collapsed="false">
      <c r="A1579" s="1"/>
      <c r="B1579" s="16"/>
      <c r="C1579" s="16"/>
      <c r="D1579" s="15"/>
      <c r="E1579" s="11" t="str">
        <f aca="false">IF(D1579="","",IFERROR(INDEX(Players!$C$5:$C$304,MATCH(D1579,Players!$B$5:$B$304,0)),""))</f>
        <v/>
      </c>
      <c r="F1579" s="22" t="str">
        <f aca="false">IF(D1579="","",IF(COUNTIFS($B$5:$B$2004,B1579,$D$5:$D$2004,D1579)&gt;1,"DUPLICATE",IF(ISNA(MATCH(D1579,Players!$B$5:$B$304,0)),"UID not found",IF(INDEX(Players!$H$5:$H$304,MATCH(D1579,Players!$B$5:$B$304,0))&lt;0,"LOW BALANCE","OK"))))</f>
        <v/>
      </c>
      <c r="G1579" s="1"/>
      <c r="H1579" s="1"/>
      <c r="I1579" s="1"/>
    </row>
    <row r="1580" customFormat="false" ht="21.75" hidden="false" customHeight="true" outlineLevel="0" collapsed="false">
      <c r="A1580" s="1"/>
      <c r="B1580" s="16"/>
      <c r="C1580" s="16"/>
      <c r="D1580" s="15"/>
      <c r="E1580" s="11" t="str">
        <f aca="false">IF(D1580="","",IFERROR(INDEX(Players!$C$5:$C$304,MATCH(D1580,Players!$B$5:$B$304,0)),""))</f>
        <v/>
      </c>
      <c r="F1580" s="22" t="str">
        <f aca="false">IF(D1580="","",IF(COUNTIFS($B$5:$B$2004,B1580,$D$5:$D$2004,D1580)&gt;1,"DUPLICATE",IF(ISNA(MATCH(D1580,Players!$B$5:$B$304,0)),"UID not found",IF(INDEX(Players!$H$5:$H$304,MATCH(D1580,Players!$B$5:$B$304,0))&lt;0,"LOW BALANCE","OK"))))</f>
        <v/>
      </c>
      <c r="G1580" s="1"/>
      <c r="H1580" s="1"/>
      <c r="I1580" s="1"/>
    </row>
    <row r="1581" customFormat="false" ht="21.75" hidden="false" customHeight="true" outlineLevel="0" collapsed="false">
      <c r="A1581" s="1"/>
      <c r="B1581" s="16"/>
      <c r="C1581" s="16"/>
      <c r="D1581" s="15"/>
      <c r="E1581" s="11" t="str">
        <f aca="false">IF(D1581="","",IFERROR(INDEX(Players!$C$5:$C$304,MATCH(D1581,Players!$B$5:$B$304,0)),""))</f>
        <v/>
      </c>
      <c r="F1581" s="22" t="str">
        <f aca="false">IF(D1581="","",IF(COUNTIFS($B$5:$B$2004,B1581,$D$5:$D$2004,D1581)&gt;1,"DUPLICATE",IF(ISNA(MATCH(D1581,Players!$B$5:$B$304,0)),"UID not found",IF(INDEX(Players!$H$5:$H$304,MATCH(D1581,Players!$B$5:$B$304,0))&lt;0,"LOW BALANCE","OK"))))</f>
        <v/>
      </c>
      <c r="G1581" s="1"/>
      <c r="H1581" s="1"/>
      <c r="I1581" s="1"/>
    </row>
    <row r="1582" customFormat="false" ht="21.75" hidden="false" customHeight="true" outlineLevel="0" collapsed="false">
      <c r="A1582" s="1"/>
      <c r="B1582" s="16"/>
      <c r="C1582" s="16"/>
      <c r="D1582" s="15"/>
      <c r="E1582" s="11" t="str">
        <f aca="false">IF(D1582="","",IFERROR(INDEX(Players!$C$5:$C$304,MATCH(D1582,Players!$B$5:$B$304,0)),""))</f>
        <v/>
      </c>
      <c r="F1582" s="22" t="str">
        <f aca="false">IF(D1582="","",IF(COUNTIFS($B$5:$B$2004,B1582,$D$5:$D$2004,D1582)&gt;1,"DUPLICATE",IF(ISNA(MATCH(D1582,Players!$B$5:$B$304,0)),"UID not found",IF(INDEX(Players!$H$5:$H$304,MATCH(D1582,Players!$B$5:$B$304,0))&lt;0,"LOW BALANCE","OK"))))</f>
        <v/>
      </c>
      <c r="G1582" s="1"/>
      <c r="H1582" s="1"/>
      <c r="I1582" s="1"/>
    </row>
    <row r="1583" customFormat="false" ht="21.75" hidden="false" customHeight="true" outlineLevel="0" collapsed="false">
      <c r="A1583" s="1"/>
      <c r="B1583" s="16"/>
      <c r="C1583" s="16"/>
      <c r="D1583" s="15"/>
      <c r="E1583" s="11" t="str">
        <f aca="false">IF(D1583="","",IFERROR(INDEX(Players!$C$5:$C$304,MATCH(D1583,Players!$B$5:$B$304,0)),""))</f>
        <v/>
      </c>
      <c r="F1583" s="22" t="str">
        <f aca="false">IF(D1583="","",IF(COUNTIFS($B$5:$B$2004,B1583,$D$5:$D$2004,D1583)&gt;1,"DUPLICATE",IF(ISNA(MATCH(D1583,Players!$B$5:$B$304,0)),"UID not found",IF(INDEX(Players!$H$5:$H$304,MATCH(D1583,Players!$B$5:$B$304,0))&lt;0,"LOW BALANCE","OK"))))</f>
        <v/>
      </c>
      <c r="G1583" s="1"/>
      <c r="H1583" s="1"/>
      <c r="I1583" s="1"/>
    </row>
    <row r="1584" customFormat="false" ht="21.75" hidden="false" customHeight="true" outlineLevel="0" collapsed="false">
      <c r="A1584" s="1"/>
      <c r="B1584" s="16"/>
      <c r="C1584" s="16"/>
      <c r="D1584" s="15"/>
      <c r="E1584" s="11" t="str">
        <f aca="false">IF(D1584="","",IFERROR(INDEX(Players!$C$5:$C$304,MATCH(D1584,Players!$B$5:$B$304,0)),""))</f>
        <v/>
      </c>
      <c r="F1584" s="22" t="str">
        <f aca="false">IF(D1584="","",IF(COUNTIFS($B$5:$B$2004,B1584,$D$5:$D$2004,D1584)&gt;1,"DUPLICATE",IF(ISNA(MATCH(D1584,Players!$B$5:$B$304,0)),"UID not found",IF(INDEX(Players!$H$5:$H$304,MATCH(D1584,Players!$B$5:$B$304,0))&lt;0,"LOW BALANCE","OK"))))</f>
        <v/>
      </c>
      <c r="G1584" s="1"/>
      <c r="H1584" s="1"/>
      <c r="I1584" s="1"/>
    </row>
    <row r="1585" customFormat="false" ht="21.75" hidden="false" customHeight="true" outlineLevel="0" collapsed="false">
      <c r="A1585" s="1"/>
      <c r="B1585" s="16"/>
      <c r="C1585" s="16"/>
      <c r="D1585" s="15"/>
      <c r="E1585" s="11" t="str">
        <f aca="false">IF(D1585="","",IFERROR(INDEX(Players!$C$5:$C$304,MATCH(D1585,Players!$B$5:$B$304,0)),""))</f>
        <v/>
      </c>
      <c r="F1585" s="22" t="str">
        <f aca="false">IF(D1585="","",IF(COUNTIFS($B$5:$B$2004,B1585,$D$5:$D$2004,D1585)&gt;1,"DUPLICATE",IF(ISNA(MATCH(D1585,Players!$B$5:$B$304,0)),"UID not found",IF(INDEX(Players!$H$5:$H$304,MATCH(D1585,Players!$B$5:$B$304,0))&lt;0,"LOW BALANCE","OK"))))</f>
        <v/>
      </c>
      <c r="G1585" s="1"/>
      <c r="H1585" s="1"/>
      <c r="I1585" s="1"/>
    </row>
    <row r="1586" customFormat="false" ht="21.75" hidden="false" customHeight="true" outlineLevel="0" collapsed="false">
      <c r="A1586" s="1"/>
      <c r="B1586" s="16"/>
      <c r="C1586" s="16"/>
      <c r="D1586" s="15"/>
      <c r="E1586" s="11" t="str">
        <f aca="false">IF(D1586="","",IFERROR(INDEX(Players!$C$5:$C$304,MATCH(D1586,Players!$B$5:$B$304,0)),""))</f>
        <v/>
      </c>
      <c r="F1586" s="22" t="str">
        <f aca="false">IF(D1586="","",IF(COUNTIFS($B$5:$B$2004,B1586,$D$5:$D$2004,D1586)&gt;1,"DUPLICATE",IF(ISNA(MATCH(D1586,Players!$B$5:$B$304,0)),"UID not found",IF(INDEX(Players!$H$5:$H$304,MATCH(D1586,Players!$B$5:$B$304,0))&lt;0,"LOW BALANCE","OK"))))</f>
        <v/>
      </c>
      <c r="G1586" s="1"/>
      <c r="H1586" s="1"/>
      <c r="I1586" s="1"/>
    </row>
    <row r="1587" customFormat="false" ht="21.75" hidden="false" customHeight="true" outlineLevel="0" collapsed="false">
      <c r="A1587" s="1"/>
      <c r="B1587" s="16"/>
      <c r="C1587" s="16"/>
      <c r="D1587" s="15"/>
      <c r="E1587" s="11" t="str">
        <f aca="false">IF(D1587="","",IFERROR(INDEX(Players!$C$5:$C$304,MATCH(D1587,Players!$B$5:$B$304,0)),""))</f>
        <v/>
      </c>
      <c r="F1587" s="22" t="str">
        <f aca="false">IF(D1587="","",IF(COUNTIFS($B$5:$B$2004,B1587,$D$5:$D$2004,D1587)&gt;1,"DUPLICATE",IF(ISNA(MATCH(D1587,Players!$B$5:$B$304,0)),"UID not found",IF(INDEX(Players!$H$5:$H$304,MATCH(D1587,Players!$B$5:$B$304,0))&lt;0,"LOW BALANCE","OK"))))</f>
        <v/>
      </c>
      <c r="G1587" s="1"/>
      <c r="H1587" s="1"/>
      <c r="I1587" s="1"/>
    </row>
    <row r="1588" customFormat="false" ht="21.75" hidden="false" customHeight="true" outlineLevel="0" collapsed="false">
      <c r="A1588" s="1"/>
      <c r="B1588" s="16"/>
      <c r="C1588" s="16"/>
      <c r="D1588" s="15"/>
      <c r="E1588" s="11" t="str">
        <f aca="false">IF(D1588="","",IFERROR(INDEX(Players!$C$5:$C$304,MATCH(D1588,Players!$B$5:$B$304,0)),""))</f>
        <v/>
      </c>
      <c r="F1588" s="22" t="str">
        <f aca="false">IF(D1588="","",IF(COUNTIFS($B$5:$B$2004,B1588,$D$5:$D$2004,D1588)&gt;1,"DUPLICATE",IF(ISNA(MATCH(D1588,Players!$B$5:$B$304,0)),"UID not found",IF(INDEX(Players!$H$5:$H$304,MATCH(D1588,Players!$B$5:$B$304,0))&lt;0,"LOW BALANCE","OK"))))</f>
        <v/>
      </c>
      <c r="G1588" s="1"/>
      <c r="H1588" s="1"/>
      <c r="I1588" s="1"/>
    </row>
    <row r="1589" customFormat="false" ht="21.75" hidden="false" customHeight="true" outlineLevel="0" collapsed="false">
      <c r="A1589" s="1"/>
      <c r="B1589" s="16"/>
      <c r="C1589" s="16"/>
      <c r="D1589" s="15"/>
      <c r="E1589" s="11" t="str">
        <f aca="false">IF(D1589="","",IFERROR(INDEX(Players!$C$5:$C$304,MATCH(D1589,Players!$B$5:$B$304,0)),""))</f>
        <v/>
      </c>
      <c r="F1589" s="22" t="str">
        <f aca="false">IF(D1589="","",IF(COUNTIFS($B$5:$B$2004,B1589,$D$5:$D$2004,D1589)&gt;1,"DUPLICATE",IF(ISNA(MATCH(D1589,Players!$B$5:$B$304,0)),"UID not found",IF(INDEX(Players!$H$5:$H$304,MATCH(D1589,Players!$B$5:$B$304,0))&lt;0,"LOW BALANCE","OK"))))</f>
        <v/>
      </c>
      <c r="G1589" s="1"/>
      <c r="H1589" s="1"/>
      <c r="I1589" s="1"/>
    </row>
    <row r="1590" customFormat="false" ht="21.75" hidden="false" customHeight="true" outlineLevel="0" collapsed="false">
      <c r="A1590" s="1"/>
      <c r="B1590" s="16"/>
      <c r="C1590" s="16"/>
      <c r="D1590" s="15"/>
      <c r="E1590" s="11" t="str">
        <f aca="false">IF(D1590="","",IFERROR(INDEX(Players!$C$5:$C$304,MATCH(D1590,Players!$B$5:$B$304,0)),""))</f>
        <v/>
      </c>
      <c r="F1590" s="22" t="str">
        <f aca="false">IF(D1590="","",IF(COUNTIFS($B$5:$B$2004,B1590,$D$5:$D$2004,D1590)&gt;1,"DUPLICATE",IF(ISNA(MATCH(D1590,Players!$B$5:$B$304,0)),"UID not found",IF(INDEX(Players!$H$5:$H$304,MATCH(D1590,Players!$B$5:$B$304,0))&lt;0,"LOW BALANCE","OK"))))</f>
        <v/>
      </c>
      <c r="G1590" s="1"/>
      <c r="H1590" s="1"/>
      <c r="I1590" s="1"/>
    </row>
    <row r="1591" customFormat="false" ht="21.75" hidden="false" customHeight="true" outlineLevel="0" collapsed="false">
      <c r="A1591" s="1"/>
      <c r="B1591" s="16"/>
      <c r="C1591" s="16"/>
      <c r="D1591" s="15"/>
      <c r="E1591" s="11" t="str">
        <f aca="false">IF(D1591="","",IFERROR(INDEX(Players!$C$5:$C$304,MATCH(D1591,Players!$B$5:$B$304,0)),""))</f>
        <v/>
      </c>
      <c r="F1591" s="22" t="str">
        <f aca="false">IF(D1591="","",IF(COUNTIFS($B$5:$B$2004,B1591,$D$5:$D$2004,D1591)&gt;1,"DUPLICATE",IF(ISNA(MATCH(D1591,Players!$B$5:$B$304,0)),"UID not found",IF(INDEX(Players!$H$5:$H$304,MATCH(D1591,Players!$B$5:$B$304,0))&lt;0,"LOW BALANCE","OK"))))</f>
        <v/>
      </c>
      <c r="G1591" s="1"/>
      <c r="H1591" s="1"/>
      <c r="I1591" s="1"/>
    </row>
    <row r="1592" customFormat="false" ht="21.75" hidden="false" customHeight="true" outlineLevel="0" collapsed="false">
      <c r="A1592" s="1"/>
      <c r="B1592" s="16"/>
      <c r="C1592" s="16"/>
      <c r="D1592" s="15"/>
      <c r="E1592" s="11" t="str">
        <f aca="false">IF(D1592="","",IFERROR(INDEX(Players!$C$5:$C$304,MATCH(D1592,Players!$B$5:$B$304,0)),""))</f>
        <v/>
      </c>
      <c r="F1592" s="22" t="str">
        <f aca="false">IF(D1592="","",IF(COUNTIFS($B$5:$B$2004,B1592,$D$5:$D$2004,D1592)&gt;1,"DUPLICATE",IF(ISNA(MATCH(D1592,Players!$B$5:$B$304,0)),"UID not found",IF(INDEX(Players!$H$5:$H$304,MATCH(D1592,Players!$B$5:$B$304,0))&lt;0,"LOW BALANCE","OK"))))</f>
        <v/>
      </c>
      <c r="G1592" s="1"/>
      <c r="H1592" s="1"/>
      <c r="I1592" s="1"/>
    </row>
    <row r="1593" customFormat="false" ht="21.75" hidden="false" customHeight="true" outlineLevel="0" collapsed="false">
      <c r="A1593" s="1"/>
      <c r="B1593" s="16"/>
      <c r="C1593" s="16"/>
      <c r="D1593" s="15"/>
      <c r="E1593" s="11" t="str">
        <f aca="false">IF(D1593="","",IFERROR(INDEX(Players!$C$5:$C$304,MATCH(D1593,Players!$B$5:$B$304,0)),""))</f>
        <v/>
      </c>
      <c r="F1593" s="22" t="str">
        <f aca="false">IF(D1593="","",IF(COUNTIFS($B$5:$B$2004,B1593,$D$5:$D$2004,D1593)&gt;1,"DUPLICATE",IF(ISNA(MATCH(D1593,Players!$B$5:$B$304,0)),"UID not found",IF(INDEX(Players!$H$5:$H$304,MATCH(D1593,Players!$B$5:$B$304,0))&lt;0,"LOW BALANCE","OK"))))</f>
        <v/>
      </c>
      <c r="G1593" s="1"/>
      <c r="H1593" s="1"/>
      <c r="I1593" s="1"/>
    </row>
    <row r="1594" customFormat="false" ht="21.75" hidden="false" customHeight="true" outlineLevel="0" collapsed="false">
      <c r="A1594" s="1"/>
      <c r="B1594" s="16"/>
      <c r="C1594" s="16"/>
      <c r="D1594" s="15"/>
      <c r="E1594" s="11" t="str">
        <f aca="false">IF(D1594="","",IFERROR(INDEX(Players!$C$5:$C$304,MATCH(D1594,Players!$B$5:$B$304,0)),""))</f>
        <v/>
      </c>
      <c r="F1594" s="22" t="str">
        <f aca="false">IF(D1594="","",IF(COUNTIFS($B$5:$B$2004,B1594,$D$5:$D$2004,D1594)&gt;1,"DUPLICATE",IF(ISNA(MATCH(D1594,Players!$B$5:$B$304,0)),"UID not found",IF(INDEX(Players!$H$5:$H$304,MATCH(D1594,Players!$B$5:$B$304,0))&lt;0,"LOW BALANCE","OK"))))</f>
        <v/>
      </c>
      <c r="G1594" s="1"/>
      <c r="H1594" s="1"/>
      <c r="I1594" s="1"/>
    </row>
    <row r="1595" customFormat="false" ht="21.75" hidden="false" customHeight="true" outlineLevel="0" collapsed="false">
      <c r="A1595" s="1"/>
      <c r="B1595" s="16"/>
      <c r="C1595" s="16"/>
      <c r="D1595" s="15"/>
      <c r="E1595" s="11" t="str">
        <f aca="false">IF(D1595="","",IFERROR(INDEX(Players!$C$5:$C$304,MATCH(D1595,Players!$B$5:$B$304,0)),""))</f>
        <v/>
      </c>
      <c r="F1595" s="22" t="str">
        <f aca="false">IF(D1595="","",IF(COUNTIFS($B$5:$B$2004,B1595,$D$5:$D$2004,D1595)&gt;1,"DUPLICATE",IF(ISNA(MATCH(D1595,Players!$B$5:$B$304,0)),"UID not found",IF(INDEX(Players!$H$5:$H$304,MATCH(D1595,Players!$B$5:$B$304,0))&lt;0,"LOW BALANCE","OK"))))</f>
        <v/>
      </c>
      <c r="G1595" s="1"/>
      <c r="H1595" s="1"/>
      <c r="I1595" s="1"/>
    </row>
    <row r="1596" customFormat="false" ht="21.75" hidden="false" customHeight="true" outlineLevel="0" collapsed="false">
      <c r="A1596" s="1"/>
      <c r="B1596" s="16"/>
      <c r="C1596" s="16"/>
      <c r="D1596" s="15"/>
      <c r="E1596" s="11" t="str">
        <f aca="false">IF(D1596="","",IFERROR(INDEX(Players!$C$5:$C$304,MATCH(D1596,Players!$B$5:$B$304,0)),""))</f>
        <v/>
      </c>
      <c r="F1596" s="22" t="str">
        <f aca="false">IF(D1596="","",IF(COUNTIFS($B$5:$B$2004,B1596,$D$5:$D$2004,D1596)&gt;1,"DUPLICATE",IF(ISNA(MATCH(D1596,Players!$B$5:$B$304,0)),"UID not found",IF(INDEX(Players!$H$5:$H$304,MATCH(D1596,Players!$B$5:$B$304,0))&lt;0,"LOW BALANCE","OK"))))</f>
        <v/>
      </c>
      <c r="G1596" s="1"/>
      <c r="H1596" s="1"/>
      <c r="I1596" s="1"/>
    </row>
    <row r="1597" customFormat="false" ht="21.75" hidden="false" customHeight="true" outlineLevel="0" collapsed="false">
      <c r="A1597" s="1"/>
      <c r="B1597" s="16"/>
      <c r="C1597" s="16"/>
      <c r="D1597" s="15"/>
      <c r="E1597" s="11" t="str">
        <f aca="false">IF(D1597="","",IFERROR(INDEX(Players!$C$5:$C$304,MATCH(D1597,Players!$B$5:$B$304,0)),""))</f>
        <v/>
      </c>
      <c r="F1597" s="22" t="str">
        <f aca="false">IF(D1597="","",IF(COUNTIFS($B$5:$B$2004,B1597,$D$5:$D$2004,D1597)&gt;1,"DUPLICATE",IF(ISNA(MATCH(D1597,Players!$B$5:$B$304,0)),"UID not found",IF(INDEX(Players!$H$5:$H$304,MATCH(D1597,Players!$B$5:$B$304,0))&lt;0,"LOW BALANCE","OK"))))</f>
        <v/>
      </c>
      <c r="G1597" s="1"/>
      <c r="H1597" s="1"/>
      <c r="I1597" s="1"/>
    </row>
    <row r="1598" customFormat="false" ht="21.75" hidden="false" customHeight="true" outlineLevel="0" collapsed="false">
      <c r="A1598" s="1"/>
      <c r="B1598" s="16"/>
      <c r="C1598" s="16"/>
      <c r="D1598" s="15"/>
      <c r="E1598" s="11" t="str">
        <f aca="false">IF(D1598="","",IFERROR(INDEX(Players!$C$5:$C$304,MATCH(D1598,Players!$B$5:$B$304,0)),""))</f>
        <v/>
      </c>
      <c r="F1598" s="22" t="str">
        <f aca="false">IF(D1598="","",IF(COUNTIFS($B$5:$B$2004,B1598,$D$5:$D$2004,D1598)&gt;1,"DUPLICATE",IF(ISNA(MATCH(D1598,Players!$B$5:$B$304,0)),"UID not found",IF(INDEX(Players!$H$5:$H$304,MATCH(D1598,Players!$B$5:$B$304,0))&lt;0,"LOW BALANCE","OK"))))</f>
        <v/>
      </c>
      <c r="G1598" s="1"/>
      <c r="H1598" s="1"/>
      <c r="I1598" s="1"/>
    </row>
    <row r="1599" customFormat="false" ht="21.75" hidden="false" customHeight="true" outlineLevel="0" collapsed="false">
      <c r="A1599" s="1"/>
      <c r="B1599" s="16"/>
      <c r="C1599" s="16"/>
      <c r="D1599" s="15"/>
      <c r="E1599" s="11" t="str">
        <f aca="false">IF(D1599="","",IFERROR(INDEX(Players!$C$5:$C$304,MATCH(D1599,Players!$B$5:$B$304,0)),""))</f>
        <v/>
      </c>
      <c r="F1599" s="22" t="str">
        <f aca="false">IF(D1599="","",IF(COUNTIFS($B$5:$B$2004,B1599,$D$5:$D$2004,D1599)&gt;1,"DUPLICATE",IF(ISNA(MATCH(D1599,Players!$B$5:$B$304,0)),"UID not found",IF(INDEX(Players!$H$5:$H$304,MATCH(D1599,Players!$B$5:$B$304,0))&lt;0,"LOW BALANCE","OK"))))</f>
        <v/>
      </c>
      <c r="G1599" s="1"/>
      <c r="H1599" s="1"/>
      <c r="I1599" s="1"/>
    </row>
    <row r="1600" customFormat="false" ht="21.75" hidden="false" customHeight="true" outlineLevel="0" collapsed="false">
      <c r="A1600" s="1"/>
      <c r="B1600" s="16"/>
      <c r="C1600" s="16"/>
      <c r="D1600" s="15"/>
      <c r="E1600" s="11" t="str">
        <f aca="false">IF(D1600="","",IFERROR(INDEX(Players!$C$5:$C$304,MATCH(D1600,Players!$B$5:$B$304,0)),""))</f>
        <v/>
      </c>
      <c r="F1600" s="22" t="str">
        <f aca="false">IF(D1600="","",IF(COUNTIFS($B$5:$B$2004,B1600,$D$5:$D$2004,D1600)&gt;1,"DUPLICATE",IF(ISNA(MATCH(D1600,Players!$B$5:$B$304,0)),"UID not found",IF(INDEX(Players!$H$5:$H$304,MATCH(D1600,Players!$B$5:$B$304,0))&lt;0,"LOW BALANCE","OK"))))</f>
        <v/>
      </c>
      <c r="G1600" s="1"/>
      <c r="H1600" s="1"/>
      <c r="I1600" s="1"/>
    </row>
    <row r="1601" customFormat="false" ht="21.75" hidden="false" customHeight="true" outlineLevel="0" collapsed="false">
      <c r="A1601" s="1"/>
      <c r="B1601" s="16"/>
      <c r="C1601" s="16"/>
      <c r="D1601" s="15"/>
      <c r="E1601" s="11" t="str">
        <f aca="false">IF(D1601="","",IFERROR(INDEX(Players!$C$5:$C$304,MATCH(D1601,Players!$B$5:$B$304,0)),""))</f>
        <v/>
      </c>
      <c r="F1601" s="22" t="str">
        <f aca="false">IF(D1601="","",IF(COUNTIFS($B$5:$B$2004,B1601,$D$5:$D$2004,D1601)&gt;1,"DUPLICATE",IF(ISNA(MATCH(D1601,Players!$B$5:$B$304,0)),"UID not found",IF(INDEX(Players!$H$5:$H$304,MATCH(D1601,Players!$B$5:$B$304,0))&lt;0,"LOW BALANCE","OK"))))</f>
        <v/>
      </c>
      <c r="G1601" s="1"/>
      <c r="H1601" s="1"/>
      <c r="I1601" s="1"/>
    </row>
    <row r="1602" customFormat="false" ht="21.75" hidden="false" customHeight="true" outlineLevel="0" collapsed="false">
      <c r="A1602" s="1"/>
      <c r="B1602" s="16"/>
      <c r="C1602" s="16"/>
      <c r="D1602" s="15"/>
      <c r="E1602" s="11" t="str">
        <f aca="false">IF(D1602="","",IFERROR(INDEX(Players!$C$5:$C$304,MATCH(D1602,Players!$B$5:$B$304,0)),""))</f>
        <v/>
      </c>
      <c r="F1602" s="22" t="str">
        <f aca="false">IF(D1602="","",IF(COUNTIFS($B$5:$B$2004,B1602,$D$5:$D$2004,D1602)&gt;1,"DUPLICATE",IF(ISNA(MATCH(D1602,Players!$B$5:$B$304,0)),"UID not found",IF(INDEX(Players!$H$5:$H$304,MATCH(D1602,Players!$B$5:$B$304,0))&lt;0,"LOW BALANCE","OK"))))</f>
        <v/>
      </c>
      <c r="G1602" s="1"/>
      <c r="H1602" s="1"/>
      <c r="I1602" s="1"/>
    </row>
    <row r="1603" customFormat="false" ht="21.75" hidden="false" customHeight="true" outlineLevel="0" collapsed="false">
      <c r="A1603" s="1"/>
      <c r="B1603" s="16"/>
      <c r="C1603" s="16"/>
      <c r="D1603" s="15"/>
      <c r="E1603" s="11" t="str">
        <f aca="false">IF(D1603="","",IFERROR(INDEX(Players!$C$5:$C$304,MATCH(D1603,Players!$B$5:$B$304,0)),""))</f>
        <v/>
      </c>
      <c r="F1603" s="22" t="str">
        <f aca="false">IF(D1603="","",IF(COUNTIFS($B$5:$B$2004,B1603,$D$5:$D$2004,D1603)&gt;1,"DUPLICATE",IF(ISNA(MATCH(D1603,Players!$B$5:$B$304,0)),"UID not found",IF(INDEX(Players!$H$5:$H$304,MATCH(D1603,Players!$B$5:$B$304,0))&lt;0,"LOW BALANCE","OK"))))</f>
        <v/>
      </c>
      <c r="G1603" s="1"/>
      <c r="H1603" s="1"/>
      <c r="I1603" s="1"/>
    </row>
    <row r="1604" customFormat="false" ht="21.75" hidden="false" customHeight="true" outlineLevel="0" collapsed="false">
      <c r="A1604" s="1"/>
      <c r="B1604" s="16"/>
      <c r="C1604" s="16"/>
      <c r="D1604" s="15"/>
      <c r="E1604" s="11" t="str">
        <f aca="false">IF(D1604="","",IFERROR(INDEX(Players!$C$5:$C$304,MATCH(D1604,Players!$B$5:$B$304,0)),""))</f>
        <v/>
      </c>
      <c r="F1604" s="22" t="str">
        <f aca="false">IF(D1604="","",IF(COUNTIFS($B$5:$B$2004,B1604,$D$5:$D$2004,D1604)&gt;1,"DUPLICATE",IF(ISNA(MATCH(D1604,Players!$B$5:$B$304,0)),"UID not found",IF(INDEX(Players!$H$5:$H$304,MATCH(D1604,Players!$B$5:$B$304,0))&lt;0,"LOW BALANCE","OK"))))</f>
        <v/>
      </c>
      <c r="G1604" s="1"/>
      <c r="H1604" s="1"/>
      <c r="I1604" s="1"/>
    </row>
    <row r="1605" customFormat="false" ht="21.75" hidden="false" customHeight="true" outlineLevel="0" collapsed="false">
      <c r="A1605" s="1"/>
      <c r="B1605" s="16"/>
      <c r="C1605" s="16"/>
      <c r="D1605" s="15"/>
      <c r="E1605" s="11" t="str">
        <f aca="false">IF(D1605="","",IFERROR(INDEX(Players!$C$5:$C$304,MATCH(D1605,Players!$B$5:$B$304,0)),""))</f>
        <v/>
      </c>
      <c r="F1605" s="22" t="str">
        <f aca="false">IF(D1605="","",IF(COUNTIFS($B$5:$B$2004,B1605,$D$5:$D$2004,D1605)&gt;1,"DUPLICATE",IF(ISNA(MATCH(D1605,Players!$B$5:$B$304,0)),"UID not found",IF(INDEX(Players!$H$5:$H$304,MATCH(D1605,Players!$B$5:$B$304,0))&lt;0,"LOW BALANCE","OK"))))</f>
        <v/>
      </c>
      <c r="G1605" s="1"/>
      <c r="H1605" s="1"/>
      <c r="I1605" s="1"/>
    </row>
    <row r="1606" customFormat="false" ht="21.75" hidden="false" customHeight="true" outlineLevel="0" collapsed="false">
      <c r="A1606" s="1"/>
      <c r="B1606" s="16"/>
      <c r="C1606" s="16"/>
      <c r="D1606" s="15"/>
      <c r="E1606" s="11" t="str">
        <f aca="false">IF(D1606="","",IFERROR(INDEX(Players!$C$5:$C$304,MATCH(D1606,Players!$B$5:$B$304,0)),""))</f>
        <v/>
      </c>
      <c r="F1606" s="22" t="str">
        <f aca="false">IF(D1606="","",IF(COUNTIFS($B$5:$B$2004,B1606,$D$5:$D$2004,D1606)&gt;1,"DUPLICATE",IF(ISNA(MATCH(D1606,Players!$B$5:$B$304,0)),"UID not found",IF(INDEX(Players!$H$5:$H$304,MATCH(D1606,Players!$B$5:$B$304,0))&lt;0,"LOW BALANCE","OK"))))</f>
        <v/>
      </c>
      <c r="G1606" s="1"/>
      <c r="H1606" s="1"/>
      <c r="I1606" s="1"/>
    </row>
    <row r="1607" customFormat="false" ht="21.75" hidden="false" customHeight="true" outlineLevel="0" collapsed="false">
      <c r="A1607" s="1"/>
      <c r="B1607" s="16"/>
      <c r="C1607" s="16"/>
      <c r="D1607" s="15"/>
      <c r="E1607" s="11" t="str">
        <f aca="false">IF(D1607="","",IFERROR(INDEX(Players!$C$5:$C$304,MATCH(D1607,Players!$B$5:$B$304,0)),""))</f>
        <v/>
      </c>
      <c r="F1607" s="22" t="str">
        <f aca="false">IF(D1607="","",IF(COUNTIFS($B$5:$B$2004,B1607,$D$5:$D$2004,D1607)&gt;1,"DUPLICATE",IF(ISNA(MATCH(D1607,Players!$B$5:$B$304,0)),"UID not found",IF(INDEX(Players!$H$5:$H$304,MATCH(D1607,Players!$B$5:$B$304,0))&lt;0,"LOW BALANCE","OK"))))</f>
        <v/>
      </c>
      <c r="G1607" s="1"/>
      <c r="H1607" s="1"/>
      <c r="I1607" s="1"/>
    </row>
    <row r="1608" customFormat="false" ht="21.75" hidden="false" customHeight="true" outlineLevel="0" collapsed="false">
      <c r="A1608" s="1"/>
      <c r="B1608" s="16"/>
      <c r="C1608" s="16"/>
      <c r="D1608" s="15"/>
      <c r="E1608" s="11" t="str">
        <f aca="false">IF(D1608="","",IFERROR(INDEX(Players!$C$5:$C$304,MATCH(D1608,Players!$B$5:$B$304,0)),""))</f>
        <v/>
      </c>
      <c r="F1608" s="22" t="str">
        <f aca="false">IF(D1608="","",IF(COUNTIFS($B$5:$B$2004,B1608,$D$5:$D$2004,D1608)&gt;1,"DUPLICATE",IF(ISNA(MATCH(D1608,Players!$B$5:$B$304,0)),"UID not found",IF(INDEX(Players!$H$5:$H$304,MATCH(D1608,Players!$B$5:$B$304,0))&lt;0,"LOW BALANCE","OK"))))</f>
        <v/>
      </c>
      <c r="G1608" s="1"/>
      <c r="H1608" s="1"/>
      <c r="I1608" s="1"/>
    </row>
    <row r="1609" customFormat="false" ht="21.75" hidden="false" customHeight="true" outlineLevel="0" collapsed="false">
      <c r="A1609" s="1"/>
      <c r="B1609" s="16"/>
      <c r="C1609" s="16"/>
      <c r="D1609" s="15"/>
      <c r="E1609" s="11" t="str">
        <f aca="false">IF(D1609="","",IFERROR(INDEX(Players!$C$5:$C$304,MATCH(D1609,Players!$B$5:$B$304,0)),""))</f>
        <v/>
      </c>
      <c r="F1609" s="22" t="str">
        <f aca="false">IF(D1609="","",IF(COUNTIFS($B$5:$B$2004,B1609,$D$5:$D$2004,D1609)&gt;1,"DUPLICATE",IF(ISNA(MATCH(D1609,Players!$B$5:$B$304,0)),"UID not found",IF(INDEX(Players!$H$5:$H$304,MATCH(D1609,Players!$B$5:$B$304,0))&lt;0,"LOW BALANCE","OK"))))</f>
        <v/>
      </c>
      <c r="G1609" s="1"/>
      <c r="H1609" s="1"/>
      <c r="I1609" s="1"/>
    </row>
    <row r="1610" customFormat="false" ht="21.75" hidden="false" customHeight="true" outlineLevel="0" collapsed="false">
      <c r="A1610" s="1"/>
      <c r="B1610" s="16"/>
      <c r="C1610" s="16"/>
      <c r="D1610" s="15"/>
      <c r="E1610" s="11" t="str">
        <f aca="false">IF(D1610="","",IFERROR(INDEX(Players!$C$5:$C$304,MATCH(D1610,Players!$B$5:$B$304,0)),""))</f>
        <v/>
      </c>
      <c r="F1610" s="22" t="str">
        <f aca="false">IF(D1610="","",IF(COUNTIFS($B$5:$B$2004,B1610,$D$5:$D$2004,D1610)&gt;1,"DUPLICATE",IF(ISNA(MATCH(D1610,Players!$B$5:$B$304,0)),"UID not found",IF(INDEX(Players!$H$5:$H$304,MATCH(D1610,Players!$B$5:$B$304,0))&lt;0,"LOW BALANCE","OK"))))</f>
        <v/>
      </c>
      <c r="G1610" s="1"/>
      <c r="H1610" s="1"/>
      <c r="I1610" s="1"/>
    </row>
    <row r="1611" customFormat="false" ht="21.75" hidden="false" customHeight="true" outlineLevel="0" collapsed="false">
      <c r="A1611" s="1"/>
      <c r="B1611" s="16"/>
      <c r="C1611" s="16"/>
      <c r="D1611" s="15"/>
      <c r="E1611" s="11" t="str">
        <f aca="false">IF(D1611="","",IFERROR(INDEX(Players!$C$5:$C$304,MATCH(D1611,Players!$B$5:$B$304,0)),""))</f>
        <v/>
      </c>
      <c r="F1611" s="22" t="str">
        <f aca="false">IF(D1611="","",IF(COUNTIFS($B$5:$B$2004,B1611,$D$5:$D$2004,D1611)&gt;1,"DUPLICATE",IF(ISNA(MATCH(D1611,Players!$B$5:$B$304,0)),"UID not found",IF(INDEX(Players!$H$5:$H$304,MATCH(D1611,Players!$B$5:$B$304,0))&lt;0,"LOW BALANCE","OK"))))</f>
        <v/>
      </c>
      <c r="G1611" s="1"/>
      <c r="H1611" s="1"/>
      <c r="I1611" s="1"/>
    </row>
    <row r="1612" customFormat="false" ht="21.75" hidden="false" customHeight="true" outlineLevel="0" collapsed="false">
      <c r="A1612" s="1"/>
      <c r="B1612" s="16"/>
      <c r="C1612" s="16"/>
      <c r="D1612" s="15"/>
      <c r="E1612" s="11" t="str">
        <f aca="false">IF(D1612="","",IFERROR(INDEX(Players!$C$5:$C$304,MATCH(D1612,Players!$B$5:$B$304,0)),""))</f>
        <v/>
      </c>
      <c r="F1612" s="22" t="str">
        <f aca="false">IF(D1612="","",IF(COUNTIFS($B$5:$B$2004,B1612,$D$5:$D$2004,D1612)&gt;1,"DUPLICATE",IF(ISNA(MATCH(D1612,Players!$B$5:$B$304,0)),"UID not found",IF(INDEX(Players!$H$5:$H$304,MATCH(D1612,Players!$B$5:$B$304,0))&lt;0,"LOW BALANCE","OK"))))</f>
        <v/>
      </c>
      <c r="G1612" s="1"/>
      <c r="H1612" s="1"/>
      <c r="I1612" s="1"/>
    </row>
    <row r="1613" customFormat="false" ht="21.75" hidden="false" customHeight="true" outlineLevel="0" collapsed="false">
      <c r="A1613" s="1"/>
      <c r="B1613" s="16"/>
      <c r="C1613" s="16"/>
      <c r="D1613" s="15"/>
      <c r="E1613" s="11" t="str">
        <f aca="false">IF(D1613="","",IFERROR(INDEX(Players!$C$5:$C$304,MATCH(D1613,Players!$B$5:$B$304,0)),""))</f>
        <v/>
      </c>
      <c r="F1613" s="22" t="str">
        <f aca="false">IF(D1613="","",IF(COUNTIFS($B$5:$B$2004,B1613,$D$5:$D$2004,D1613)&gt;1,"DUPLICATE",IF(ISNA(MATCH(D1613,Players!$B$5:$B$304,0)),"UID not found",IF(INDEX(Players!$H$5:$H$304,MATCH(D1613,Players!$B$5:$B$304,0))&lt;0,"LOW BALANCE","OK"))))</f>
        <v/>
      </c>
      <c r="G1613" s="1"/>
      <c r="H1613" s="1"/>
      <c r="I1613" s="1"/>
    </row>
    <row r="1614" customFormat="false" ht="21.75" hidden="false" customHeight="true" outlineLevel="0" collapsed="false">
      <c r="A1614" s="1"/>
      <c r="B1614" s="16"/>
      <c r="C1614" s="16"/>
      <c r="D1614" s="15"/>
      <c r="E1614" s="11" t="str">
        <f aca="false">IF(D1614="","",IFERROR(INDEX(Players!$C$5:$C$304,MATCH(D1614,Players!$B$5:$B$304,0)),""))</f>
        <v/>
      </c>
      <c r="F1614" s="22" t="str">
        <f aca="false">IF(D1614="","",IF(COUNTIFS($B$5:$B$2004,B1614,$D$5:$D$2004,D1614)&gt;1,"DUPLICATE",IF(ISNA(MATCH(D1614,Players!$B$5:$B$304,0)),"UID not found",IF(INDEX(Players!$H$5:$H$304,MATCH(D1614,Players!$B$5:$B$304,0))&lt;0,"LOW BALANCE","OK"))))</f>
        <v/>
      </c>
      <c r="G1614" s="1"/>
      <c r="H1614" s="1"/>
      <c r="I1614" s="1"/>
    </row>
    <row r="1615" customFormat="false" ht="21.75" hidden="false" customHeight="true" outlineLevel="0" collapsed="false">
      <c r="A1615" s="1"/>
      <c r="B1615" s="16"/>
      <c r="C1615" s="16"/>
      <c r="D1615" s="15"/>
      <c r="E1615" s="11" t="str">
        <f aca="false">IF(D1615="","",IFERROR(INDEX(Players!$C$5:$C$304,MATCH(D1615,Players!$B$5:$B$304,0)),""))</f>
        <v/>
      </c>
      <c r="F1615" s="22" t="str">
        <f aca="false">IF(D1615="","",IF(COUNTIFS($B$5:$B$2004,B1615,$D$5:$D$2004,D1615)&gt;1,"DUPLICATE",IF(ISNA(MATCH(D1615,Players!$B$5:$B$304,0)),"UID not found",IF(INDEX(Players!$H$5:$H$304,MATCH(D1615,Players!$B$5:$B$304,0))&lt;0,"LOW BALANCE","OK"))))</f>
        <v/>
      </c>
      <c r="G1615" s="1"/>
      <c r="H1615" s="1"/>
      <c r="I1615" s="1"/>
    </row>
    <row r="1616" customFormat="false" ht="21.75" hidden="false" customHeight="true" outlineLevel="0" collapsed="false">
      <c r="A1616" s="1"/>
      <c r="B1616" s="16"/>
      <c r="C1616" s="16"/>
      <c r="D1616" s="15"/>
      <c r="E1616" s="11" t="str">
        <f aca="false">IF(D1616="","",IFERROR(INDEX(Players!$C$5:$C$304,MATCH(D1616,Players!$B$5:$B$304,0)),""))</f>
        <v/>
      </c>
      <c r="F1616" s="22" t="str">
        <f aca="false">IF(D1616="","",IF(COUNTIFS($B$5:$B$2004,B1616,$D$5:$D$2004,D1616)&gt;1,"DUPLICATE",IF(ISNA(MATCH(D1616,Players!$B$5:$B$304,0)),"UID not found",IF(INDEX(Players!$H$5:$H$304,MATCH(D1616,Players!$B$5:$B$304,0))&lt;0,"LOW BALANCE","OK"))))</f>
        <v/>
      </c>
      <c r="G1616" s="1"/>
      <c r="H1616" s="1"/>
      <c r="I1616" s="1"/>
    </row>
    <row r="1617" customFormat="false" ht="21.75" hidden="false" customHeight="true" outlineLevel="0" collapsed="false">
      <c r="A1617" s="1"/>
      <c r="B1617" s="16"/>
      <c r="C1617" s="16"/>
      <c r="D1617" s="15"/>
      <c r="E1617" s="11" t="str">
        <f aca="false">IF(D1617="","",IFERROR(INDEX(Players!$C$5:$C$304,MATCH(D1617,Players!$B$5:$B$304,0)),""))</f>
        <v/>
      </c>
      <c r="F1617" s="22" t="str">
        <f aca="false">IF(D1617="","",IF(COUNTIFS($B$5:$B$2004,B1617,$D$5:$D$2004,D1617)&gt;1,"DUPLICATE",IF(ISNA(MATCH(D1617,Players!$B$5:$B$304,0)),"UID not found",IF(INDEX(Players!$H$5:$H$304,MATCH(D1617,Players!$B$5:$B$304,0))&lt;0,"LOW BALANCE","OK"))))</f>
        <v/>
      </c>
      <c r="G1617" s="1"/>
      <c r="H1617" s="1"/>
      <c r="I1617" s="1"/>
    </row>
    <row r="1618" customFormat="false" ht="21.75" hidden="false" customHeight="true" outlineLevel="0" collapsed="false">
      <c r="A1618" s="1"/>
      <c r="B1618" s="16"/>
      <c r="C1618" s="16"/>
      <c r="D1618" s="15"/>
      <c r="E1618" s="11" t="str">
        <f aca="false">IF(D1618="","",IFERROR(INDEX(Players!$C$5:$C$304,MATCH(D1618,Players!$B$5:$B$304,0)),""))</f>
        <v/>
      </c>
      <c r="F1618" s="22" t="str">
        <f aca="false">IF(D1618="","",IF(COUNTIFS($B$5:$B$2004,B1618,$D$5:$D$2004,D1618)&gt;1,"DUPLICATE",IF(ISNA(MATCH(D1618,Players!$B$5:$B$304,0)),"UID not found",IF(INDEX(Players!$H$5:$H$304,MATCH(D1618,Players!$B$5:$B$304,0))&lt;0,"LOW BALANCE","OK"))))</f>
        <v/>
      </c>
      <c r="G1618" s="1"/>
      <c r="H1618" s="1"/>
      <c r="I1618" s="1"/>
    </row>
    <row r="1619" customFormat="false" ht="21.75" hidden="false" customHeight="true" outlineLevel="0" collapsed="false">
      <c r="A1619" s="1"/>
      <c r="B1619" s="16"/>
      <c r="C1619" s="16"/>
      <c r="D1619" s="15"/>
      <c r="E1619" s="11" t="str">
        <f aca="false">IF(D1619="","",IFERROR(INDEX(Players!$C$5:$C$304,MATCH(D1619,Players!$B$5:$B$304,0)),""))</f>
        <v/>
      </c>
      <c r="F1619" s="22" t="str">
        <f aca="false">IF(D1619="","",IF(COUNTIFS($B$5:$B$2004,B1619,$D$5:$D$2004,D1619)&gt;1,"DUPLICATE",IF(ISNA(MATCH(D1619,Players!$B$5:$B$304,0)),"UID not found",IF(INDEX(Players!$H$5:$H$304,MATCH(D1619,Players!$B$5:$B$304,0))&lt;0,"LOW BALANCE","OK"))))</f>
        <v/>
      </c>
      <c r="G1619" s="1"/>
      <c r="H1619" s="1"/>
      <c r="I1619" s="1"/>
    </row>
    <row r="1620" customFormat="false" ht="21.75" hidden="false" customHeight="true" outlineLevel="0" collapsed="false">
      <c r="A1620" s="1"/>
      <c r="B1620" s="16"/>
      <c r="C1620" s="16"/>
      <c r="D1620" s="15"/>
      <c r="E1620" s="11" t="str">
        <f aca="false">IF(D1620="","",IFERROR(INDEX(Players!$C$5:$C$304,MATCH(D1620,Players!$B$5:$B$304,0)),""))</f>
        <v/>
      </c>
      <c r="F1620" s="22" t="str">
        <f aca="false">IF(D1620="","",IF(COUNTIFS($B$5:$B$2004,B1620,$D$5:$D$2004,D1620)&gt;1,"DUPLICATE",IF(ISNA(MATCH(D1620,Players!$B$5:$B$304,0)),"UID not found",IF(INDEX(Players!$H$5:$H$304,MATCH(D1620,Players!$B$5:$B$304,0))&lt;0,"LOW BALANCE","OK"))))</f>
        <v/>
      </c>
      <c r="G1620" s="1"/>
      <c r="H1620" s="1"/>
      <c r="I1620" s="1"/>
    </row>
    <row r="1621" customFormat="false" ht="21.75" hidden="false" customHeight="true" outlineLevel="0" collapsed="false">
      <c r="A1621" s="1"/>
      <c r="B1621" s="16"/>
      <c r="C1621" s="16"/>
      <c r="D1621" s="15"/>
      <c r="E1621" s="11" t="str">
        <f aca="false">IF(D1621="","",IFERROR(INDEX(Players!$C$5:$C$304,MATCH(D1621,Players!$B$5:$B$304,0)),""))</f>
        <v/>
      </c>
      <c r="F1621" s="22" t="str">
        <f aca="false">IF(D1621="","",IF(COUNTIFS($B$5:$B$2004,B1621,$D$5:$D$2004,D1621)&gt;1,"DUPLICATE",IF(ISNA(MATCH(D1621,Players!$B$5:$B$304,0)),"UID not found",IF(INDEX(Players!$H$5:$H$304,MATCH(D1621,Players!$B$5:$B$304,0))&lt;0,"LOW BALANCE","OK"))))</f>
        <v/>
      </c>
      <c r="G1621" s="1"/>
      <c r="H1621" s="1"/>
      <c r="I1621" s="1"/>
    </row>
    <row r="1622" customFormat="false" ht="21.75" hidden="false" customHeight="true" outlineLevel="0" collapsed="false">
      <c r="A1622" s="1"/>
      <c r="B1622" s="16"/>
      <c r="C1622" s="16"/>
      <c r="D1622" s="15"/>
      <c r="E1622" s="11" t="str">
        <f aca="false">IF(D1622="","",IFERROR(INDEX(Players!$C$5:$C$304,MATCH(D1622,Players!$B$5:$B$304,0)),""))</f>
        <v/>
      </c>
      <c r="F1622" s="22" t="str">
        <f aca="false">IF(D1622="","",IF(COUNTIFS($B$5:$B$2004,B1622,$D$5:$D$2004,D1622)&gt;1,"DUPLICATE",IF(ISNA(MATCH(D1622,Players!$B$5:$B$304,0)),"UID not found",IF(INDEX(Players!$H$5:$H$304,MATCH(D1622,Players!$B$5:$B$304,0))&lt;0,"LOW BALANCE","OK"))))</f>
        <v/>
      </c>
      <c r="G1622" s="1"/>
      <c r="H1622" s="1"/>
      <c r="I1622" s="1"/>
    </row>
    <row r="1623" customFormat="false" ht="21.75" hidden="false" customHeight="true" outlineLevel="0" collapsed="false">
      <c r="A1623" s="1"/>
      <c r="B1623" s="16"/>
      <c r="C1623" s="16"/>
      <c r="D1623" s="15"/>
      <c r="E1623" s="11" t="str">
        <f aca="false">IF(D1623="","",IFERROR(INDEX(Players!$C$5:$C$304,MATCH(D1623,Players!$B$5:$B$304,0)),""))</f>
        <v/>
      </c>
      <c r="F1623" s="22" t="str">
        <f aca="false">IF(D1623="","",IF(COUNTIFS($B$5:$B$2004,B1623,$D$5:$D$2004,D1623)&gt;1,"DUPLICATE",IF(ISNA(MATCH(D1623,Players!$B$5:$B$304,0)),"UID not found",IF(INDEX(Players!$H$5:$H$304,MATCH(D1623,Players!$B$5:$B$304,0))&lt;0,"LOW BALANCE","OK"))))</f>
        <v/>
      </c>
      <c r="G1623" s="1"/>
      <c r="H1623" s="1"/>
      <c r="I1623" s="1"/>
    </row>
    <row r="1624" customFormat="false" ht="21.75" hidden="false" customHeight="true" outlineLevel="0" collapsed="false">
      <c r="A1624" s="1"/>
      <c r="B1624" s="16"/>
      <c r="C1624" s="16"/>
      <c r="D1624" s="15"/>
      <c r="E1624" s="11" t="str">
        <f aca="false">IF(D1624="","",IFERROR(INDEX(Players!$C$5:$C$304,MATCH(D1624,Players!$B$5:$B$304,0)),""))</f>
        <v/>
      </c>
      <c r="F1624" s="22" t="str">
        <f aca="false">IF(D1624="","",IF(COUNTIFS($B$5:$B$2004,B1624,$D$5:$D$2004,D1624)&gt;1,"DUPLICATE",IF(ISNA(MATCH(D1624,Players!$B$5:$B$304,0)),"UID not found",IF(INDEX(Players!$H$5:$H$304,MATCH(D1624,Players!$B$5:$B$304,0))&lt;0,"LOW BALANCE","OK"))))</f>
        <v/>
      </c>
      <c r="G1624" s="1"/>
      <c r="H1624" s="1"/>
      <c r="I1624" s="1"/>
    </row>
    <row r="1625" customFormat="false" ht="21.75" hidden="false" customHeight="true" outlineLevel="0" collapsed="false">
      <c r="A1625" s="1"/>
      <c r="B1625" s="16"/>
      <c r="C1625" s="16"/>
      <c r="D1625" s="15"/>
      <c r="E1625" s="11" t="str">
        <f aca="false">IF(D1625="","",IFERROR(INDEX(Players!$C$5:$C$304,MATCH(D1625,Players!$B$5:$B$304,0)),""))</f>
        <v/>
      </c>
      <c r="F1625" s="22" t="str">
        <f aca="false">IF(D1625="","",IF(COUNTIFS($B$5:$B$2004,B1625,$D$5:$D$2004,D1625)&gt;1,"DUPLICATE",IF(ISNA(MATCH(D1625,Players!$B$5:$B$304,0)),"UID not found",IF(INDEX(Players!$H$5:$H$304,MATCH(D1625,Players!$B$5:$B$304,0))&lt;0,"LOW BALANCE","OK"))))</f>
        <v/>
      </c>
      <c r="G1625" s="1"/>
      <c r="H1625" s="1"/>
      <c r="I1625" s="1"/>
    </row>
    <row r="1626" customFormat="false" ht="21.75" hidden="false" customHeight="true" outlineLevel="0" collapsed="false">
      <c r="A1626" s="1"/>
      <c r="B1626" s="16"/>
      <c r="C1626" s="16"/>
      <c r="D1626" s="15"/>
      <c r="E1626" s="11" t="str">
        <f aca="false">IF(D1626="","",IFERROR(INDEX(Players!$C$5:$C$304,MATCH(D1626,Players!$B$5:$B$304,0)),""))</f>
        <v/>
      </c>
      <c r="F1626" s="22" t="str">
        <f aca="false">IF(D1626="","",IF(COUNTIFS($B$5:$B$2004,B1626,$D$5:$D$2004,D1626)&gt;1,"DUPLICATE",IF(ISNA(MATCH(D1626,Players!$B$5:$B$304,0)),"UID not found",IF(INDEX(Players!$H$5:$H$304,MATCH(D1626,Players!$B$5:$B$304,0))&lt;0,"LOW BALANCE","OK"))))</f>
        <v/>
      </c>
      <c r="G1626" s="1"/>
      <c r="H1626" s="1"/>
      <c r="I1626" s="1"/>
    </row>
    <row r="1627" customFormat="false" ht="21.75" hidden="false" customHeight="true" outlineLevel="0" collapsed="false">
      <c r="A1627" s="1"/>
      <c r="B1627" s="16"/>
      <c r="C1627" s="16"/>
      <c r="D1627" s="15"/>
      <c r="E1627" s="11" t="str">
        <f aca="false">IF(D1627="","",IFERROR(INDEX(Players!$C$5:$C$304,MATCH(D1627,Players!$B$5:$B$304,0)),""))</f>
        <v/>
      </c>
      <c r="F1627" s="22" t="str">
        <f aca="false">IF(D1627="","",IF(COUNTIFS($B$5:$B$2004,B1627,$D$5:$D$2004,D1627)&gt;1,"DUPLICATE",IF(ISNA(MATCH(D1627,Players!$B$5:$B$304,0)),"UID not found",IF(INDEX(Players!$H$5:$H$304,MATCH(D1627,Players!$B$5:$B$304,0))&lt;0,"LOW BALANCE","OK"))))</f>
        <v/>
      </c>
      <c r="G1627" s="1"/>
      <c r="H1627" s="1"/>
      <c r="I1627" s="1"/>
    </row>
    <row r="1628" customFormat="false" ht="21.75" hidden="false" customHeight="true" outlineLevel="0" collapsed="false">
      <c r="A1628" s="1"/>
      <c r="B1628" s="16"/>
      <c r="C1628" s="16"/>
      <c r="D1628" s="15"/>
      <c r="E1628" s="11" t="str">
        <f aca="false">IF(D1628="","",IFERROR(INDEX(Players!$C$5:$C$304,MATCH(D1628,Players!$B$5:$B$304,0)),""))</f>
        <v/>
      </c>
      <c r="F1628" s="22" t="str">
        <f aca="false">IF(D1628="","",IF(COUNTIFS($B$5:$B$2004,B1628,$D$5:$D$2004,D1628)&gt;1,"DUPLICATE",IF(ISNA(MATCH(D1628,Players!$B$5:$B$304,0)),"UID not found",IF(INDEX(Players!$H$5:$H$304,MATCH(D1628,Players!$B$5:$B$304,0))&lt;0,"LOW BALANCE","OK"))))</f>
        <v/>
      </c>
      <c r="G1628" s="1"/>
      <c r="H1628" s="1"/>
      <c r="I1628" s="1"/>
    </row>
    <row r="1629" customFormat="false" ht="21.75" hidden="false" customHeight="true" outlineLevel="0" collapsed="false">
      <c r="A1629" s="1"/>
      <c r="B1629" s="16"/>
      <c r="C1629" s="16"/>
      <c r="D1629" s="15"/>
      <c r="E1629" s="11" t="str">
        <f aca="false">IF(D1629="","",IFERROR(INDEX(Players!$C$5:$C$304,MATCH(D1629,Players!$B$5:$B$304,0)),""))</f>
        <v/>
      </c>
      <c r="F1629" s="22" t="str">
        <f aca="false">IF(D1629="","",IF(COUNTIFS($B$5:$B$2004,B1629,$D$5:$D$2004,D1629)&gt;1,"DUPLICATE",IF(ISNA(MATCH(D1629,Players!$B$5:$B$304,0)),"UID not found",IF(INDEX(Players!$H$5:$H$304,MATCH(D1629,Players!$B$5:$B$304,0))&lt;0,"LOW BALANCE","OK"))))</f>
        <v/>
      </c>
      <c r="G1629" s="1"/>
      <c r="H1629" s="1"/>
      <c r="I1629" s="1"/>
    </row>
    <row r="1630" customFormat="false" ht="21.75" hidden="false" customHeight="true" outlineLevel="0" collapsed="false">
      <c r="A1630" s="1"/>
      <c r="B1630" s="16"/>
      <c r="C1630" s="16"/>
      <c r="D1630" s="15"/>
      <c r="E1630" s="11" t="str">
        <f aca="false">IF(D1630="","",IFERROR(INDEX(Players!$C$5:$C$304,MATCH(D1630,Players!$B$5:$B$304,0)),""))</f>
        <v/>
      </c>
      <c r="F1630" s="22" t="str">
        <f aca="false">IF(D1630="","",IF(COUNTIFS($B$5:$B$2004,B1630,$D$5:$D$2004,D1630)&gt;1,"DUPLICATE",IF(ISNA(MATCH(D1630,Players!$B$5:$B$304,0)),"UID not found",IF(INDEX(Players!$H$5:$H$304,MATCH(D1630,Players!$B$5:$B$304,0))&lt;0,"LOW BALANCE","OK"))))</f>
        <v/>
      </c>
      <c r="G1630" s="1"/>
      <c r="H1630" s="1"/>
      <c r="I1630" s="1"/>
    </row>
    <row r="1631" customFormat="false" ht="21.75" hidden="false" customHeight="true" outlineLevel="0" collapsed="false">
      <c r="A1631" s="1"/>
      <c r="B1631" s="16"/>
      <c r="C1631" s="16"/>
      <c r="D1631" s="15"/>
      <c r="E1631" s="11" t="str">
        <f aca="false">IF(D1631="","",IFERROR(INDEX(Players!$C$5:$C$304,MATCH(D1631,Players!$B$5:$B$304,0)),""))</f>
        <v/>
      </c>
      <c r="F1631" s="22" t="str">
        <f aca="false">IF(D1631="","",IF(COUNTIFS($B$5:$B$2004,B1631,$D$5:$D$2004,D1631)&gt;1,"DUPLICATE",IF(ISNA(MATCH(D1631,Players!$B$5:$B$304,0)),"UID not found",IF(INDEX(Players!$H$5:$H$304,MATCH(D1631,Players!$B$5:$B$304,0))&lt;0,"LOW BALANCE","OK"))))</f>
        <v/>
      </c>
      <c r="G1631" s="1"/>
      <c r="H1631" s="1"/>
      <c r="I1631" s="1"/>
    </row>
    <row r="1632" customFormat="false" ht="21.75" hidden="false" customHeight="true" outlineLevel="0" collapsed="false">
      <c r="A1632" s="1"/>
      <c r="B1632" s="16"/>
      <c r="C1632" s="16"/>
      <c r="D1632" s="15"/>
      <c r="E1632" s="11" t="str">
        <f aca="false">IF(D1632="","",IFERROR(INDEX(Players!$C$5:$C$304,MATCH(D1632,Players!$B$5:$B$304,0)),""))</f>
        <v/>
      </c>
      <c r="F1632" s="22" t="str">
        <f aca="false">IF(D1632="","",IF(COUNTIFS($B$5:$B$2004,B1632,$D$5:$D$2004,D1632)&gt;1,"DUPLICATE",IF(ISNA(MATCH(D1632,Players!$B$5:$B$304,0)),"UID not found",IF(INDEX(Players!$H$5:$H$304,MATCH(D1632,Players!$B$5:$B$304,0))&lt;0,"LOW BALANCE","OK"))))</f>
        <v/>
      </c>
      <c r="G1632" s="1"/>
      <c r="H1632" s="1"/>
      <c r="I1632" s="1"/>
    </row>
    <row r="1633" customFormat="false" ht="21.75" hidden="false" customHeight="true" outlineLevel="0" collapsed="false">
      <c r="A1633" s="1"/>
      <c r="B1633" s="16"/>
      <c r="C1633" s="16"/>
      <c r="D1633" s="15"/>
      <c r="E1633" s="11" t="str">
        <f aca="false">IF(D1633="","",IFERROR(INDEX(Players!$C$5:$C$304,MATCH(D1633,Players!$B$5:$B$304,0)),""))</f>
        <v/>
      </c>
      <c r="F1633" s="22" t="str">
        <f aca="false">IF(D1633="","",IF(COUNTIFS($B$5:$B$2004,B1633,$D$5:$D$2004,D1633)&gt;1,"DUPLICATE",IF(ISNA(MATCH(D1633,Players!$B$5:$B$304,0)),"UID not found",IF(INDEX(Players!$H$5:$H$304,MATCH(D1633,Players!$B$5:$B$304,0))&lt;0,"LOW BALANCE","OK"))))</f>
        <v/>
      </c>
      <c r="G1633" s="1"/>
      <c r="H1633" s="1"/>
      <c r="I1633" s="1"/>
    </row>
    <row r="1634" customFormat="false" ht="21.75" hidden="false" customHeight="true" outlineLevel="0" collapsed="false">
      <c r="A1634" s="1"/>
      <c r="B1634" s="16"/>
      <c r="C1634" s="16"/>
      <c r="D1634" s="15"/>
      <c r="E1634" s="11" t="str">
        <f aca="false">IF(D1634="","",IFERROR(INDEX(Players!$C$5:$C$304,MATCH(D1634,Players!$B$5:$B$304,0)),""))</f>
        <v/>
      </c>
      <c r="F1634" s="22" t="str">
        <f aca="false">IF(D1634="","",IF(COUNTIFS($B$5:$B$2004,B1634,$D$5:$D$2004,D1634)&gt;1,"DUPLICATE",IF(ISNA(MATCH(D1634,Players!$B$5:$B$304,0)),"UID not found",IF(INDEX(Players!$H$5:$H$304,MATCH(D1634,Players!$B$5:$B$304,0))&lt;0,"LOW BALANCE","OK"))))</f>
        <v/>
      </c>
      <c r="G1634" s="1"/>
      <c r="H1634" s="1"/>
      <c r="I1634" s="1"/>
    </row>
    <row r="1635" customFormat="false" ht="21.75" hidden="false" customHeight="true" outlineLevel="0" collapsed="false">
      <c r="A1635" s="1"/>
      <c r="B1635" s="16"/>
      <c r="C1635" s="16"/>
      <c r="D1635" s="15"/>
      <c r="E1635" s="11" t="str">
        <f aca="false">IF(D1635="","",IFERROR(INDEX(Players!$C$5:$C$304,MATCH(D1635,Players!$B$5:$B$304,0)),""))</f>
        <v/>
      </c>
      <c r="F1635" s="22" t="str">
        <f aca="false">IF(D1635="","",IF(COUNTIFS($B$5:$B$2004,B1635,$D$5:$D$2004,D1635)&gt;1,"DUPLICATE",IF(ISNA(MATCH(D1635,Players!$B$5:$B$304,0)),"UID not found",IF(INDEX(Players!$H$5:$H$304,MATCH(D1635,Players!$B$5:$B$304,0))&lt;0,"LOW BALANCE","OK"))))</f>
        <v/>
      </c>
      <c r="G1635" s="1"/>
      <c r="H1635" s="1"/>
      <c r="I1635" s="1"/>
    </row>
    <row r="1636" customFormat="false" ht="21.75" hidden="false" customHeight="true" outlineLevel="0" collapsed="false">
      <c r="A1636" s="1"/>
      <c r="B1636" s="16"/>
      <c r="C1636" s="16"/>
      <c r="D1636" s="15"/>
      <c r="E1636" s="11" t="str">
        <f aca="false">IF(D1636="","",IFERROR(INDEX(Players!$C$5:$C$304,MATCH(D1636,Players!$B$5:$B$304,0)),""))</f>
        <v/>
      </c>
      <c r="F1636" s="22" t="str">
        <f aca="false">IF(D1636="","",IF(COUNTIFS($B$5:$B$2004,B1636,$D$5:$D$2004,D1636)&gt;1,"DUPLICATE",IF(ISNA(MATCH(D1636,Players!$B$5:$B$304,0)),"UID not found",IF(INDEX(Players!$H$5:$H$304,MATCH(D1636,Players!$B$5:$B$304,0))&lt;0,"LOW BALANCE","OK"))))</f>
        <v/>
      </c>
      <c r="G1636" s="1"/>
      <c r="H1636" s="1"/>
      <c r="I1636" s="1"/>
    </row>
    <row r="1637" customFormat="false" ht="21.75" hidden="false" customHeight="true" outlineLevel="0" collapsed="false">
      <c r="A1637" s="1"/>
      <c r="B1637" s="16"/>
      <c r="C1637" s="16"/>
      <c r="D1637" s="15"/>
      <c r="E1637" s="11" t="str">
        <f aca="false">IF(D1637="","",IFERROR(INDEX(Players!$C$5:$C$304,MATCH(D1637,Players!$B$5:$B$304,0)),""))</f>
        <v/>
      </c>
      <c r="F1637" s="22" t="str">
        <f aca="false">IF(D1637="","",IF(COUNTIFS($B$5:$B$2004,B1637,$D$5:$D$2004,D1637)&gt;1,"DUPLICATE",IF(ISNA(MATCH(D1637,Players!$B$5:$B$304,0)),"UID not found",IF(INDEX(Players!$H$5:$H$304,MATCH(D1637,Players!$B$5:$B$304,0))&lt;0,"LOW BALANCE","OK"))))</f>
        <v/>
      </c>
      <c r="G1637" s="1"/>
      <c r="H1637" s="1"/>
      <c r="I1637" s="1"/>
    </row>
    <row r="1638" customFormat="false" ht="21.75" hidden="false" customHeight="true" outlineLevel="0" collapsed="false">
      <c r="A1638" s="1"/>
      <c r="B1638" s="16"/>
      <c r="C1638" s="16"/>
      <c r="D1638" s="15"/>
      <c r="E1638" s="11" t="str">
        <f aca="false">IF(D1638="","",IFERROR(INDEX(Players!$C$5:$C$304,MATCH(D1638,Players!$B$5:$B$304,0)),""))</f>
        <v/>
      </c>
      <c r="F1638" s="22" t="str">
        <f aca="false">IF(D1638="","",IF(COUNTIFS($B$5:$B$2004,B1638,$D$5:$D$2004,D1638)&gt;1,"DUPLICATE",IF(ISNA(MATCH(D1638,Players!$B$5:$B$304,0)),"UID not found",IF(INDEX(Players!$H$5:$H$304,MATCH(D1638,Players!$B$5:$B$304,0))&lt;0,"LOW BALANCE","OK"))))</f>
        <v/>
      </c>
      <c r="G1638" s="1"/>
      <c r="H1638" s="1"/>
      <c r="I1638" s="1"/>
    </row>
    <row r="1639" customFormat="false" ht="21.75" hidden="false" customHeight="true" outlineLevel="0" collapsed="false">
      <c r="A1639" s="1"/>
      <c r="B1639" s="16"/>
      <c r="C1639" s="16"/>
      <c r="D1639" s="15"/>
      <c r="E1639" s="11" t="str">
        <f aca="false">IF(D1639="","",IFERROR(INDEX(Players!$C$5:$C$304,MATCH(D1639,Players!$B$5:$B$304,0)),""))</f>
        <v/>
      </c>
      <c r="F1639" s="22" t="str">
        <f aca="false">IF(D1639="","",IF(COUNTIFS($B$5:$B$2004,B1639,$D$5:$D$2004,D1639)&gt;1,"DUPLICATE",IF(ISNA(MATCH(D1639,Players!$B$5:$B$304,0)),"UID not found",IF(INDEX(Players!$H$5:$H$304,MATCH(D1639,Players!$B$5:$B$304,0))&lt;0,"LOW BALANCE","OK"))))</f>
        <v/>
      </c>
      <c r="G1639" s="1"/>
      <c r="H1639" s="1"/>
      <c r="I1639" s="1"/>
    </row>
    <row r="1640" customFormat="false" ht="21.75" hidden="false" customHeight="true" outlineLevel="0" collapsed="false">
      <c r="A1640" s="1"/>
      <c r="B1640" s="16"/>
      <c r="C1640" s="16"/>
      <c r="D1640" s="15"/>
      <c r="E1640" s="11" t="str">
        <f aca="false">IF(D1640="","",IFERROR(INDEX(Players!$C$5:$C$304,MATCH(D1640,Players!$B$5:$B$304,0)),""))</f>
        <v/>
      </c>
      <c r="F1640" s="22" t="str">
        <f aca="false">IF(D1640="","",IF(COUNTIFS($B$5:$B$2004,B1640,$D$5:$D$2004,D1640)&gt;1,"DUPLICATE",IF(ISNA(MATCH(D1640,Players!$B$5:$B$304,0)),"UID not found",IF(INDEX(Players!$H$5:$H$304,MATCH(D1640,Players!$B$5:$B$304,0))&lt;0,"LOW BALANCE","OK"))))</f>
        <v/>
      </c>
      <c r="G1640" s="1"/>
      <c r="H1640" s="1"/>
      <c r="I1640" s="1"/>
    </row>
    <row r="1641" customFormat="false" ht="21.75" hidden="false" customHeight="true" outlineLevel="0" collapsed="false">
      <c r="A1641" s="1"/>
      <c r="B1641" s="16"/>
      <c r="C1641" s="16"/>
      <c r="D1641" s="15"/>
      <c r="E1641" s="11" t="str">
        <f aca="false">IF(D1641="","",IFERROR(INDEX(Players!$C$5:$C$304,MATCH(D1641,Players!$B$5:$B$304,0)),""))</f>
        <v/>
      </c>
      <c r="F1641" s="22" t="str">
        <f aca="false">IF(D1641="","",IF(COUNTIFS($B$5:$B$2004,B1641,$D$5:$D$2004,D1641)&gt;1,"DUPLICATE",IF(ISNA(MATCH(D1641,Players!$B$5:$B$304,0)),"UID not found",IF(INDEX(Players!$H$5:$H$304,MATCH(D1641,Players!$B$5:$B$304,0))&lt;0,"LOW BALANCE","OK"))))</f>
        <v/>
      </c>
      <c r="G1641" s="1"/>
      <c r="H1641" s="1"/>
      <c r="I1641" s="1"/>
    </row>
    <row r="1642" customFormat="false" ht="21.75" hidden="false" customHeight="true" outlineLevel="0" collapsed="false">
      <c r="A1642" s="1"/>
      <c r="B1642" s="16"/>
      <c r="C1642" s="16"/>
      <c r="D1642" s="15"/>
      <c r="E1642" s="11" t="str">
        <f aca="false">IF(D1642="","",IFERROR(INDEX(Players!$C$5:$C$304,MATCH(D1642,Players!$B$5:$B$304,0)),""))</f>
        <v/>
      </c>
      <c r="F1642" s="22" t="str">
        <f aca="false">IF(D1642="","",IF(COUNTIFS($B$5:$B$2004,B1642,$D$5:$D$2004,D1642)&gt;1,"DUPLICATE",IF(ISNA(MATCH(D1642,Players!$B$5:$B$304,0)),"UID not found",IF(INDEX(Players!$H$5:$H$304,MATCH(D1642,Players!$B$5:$B$304,0))&lt;0,"LOW BALANCE","OK"))))</f>
        <v/>
      </c>
      <c r="G1642" s="1"/>
      <c r="H1642" s="1"/>
      <c r="I1642" s="1"/>
    </row>
    <row r="1643" customFormat="false" ht="21.75" hidden="false" customHeight="true" outlineLevel="0" collapsed="false">
      <c r="A1643" s="1"/>
      <c r="B1643" s="16"/>
      <c r="C1643" s="16"/>
      <c r="D1643" s="15"/>
      <c r="E1643" s="11" t="str">
        <f aca="false">IF(D1643="","",IFERROR(INDEX(Players!$C$5:$C$304,MATCH(D1643,Players!$B$5:$B$304,0)),""))</f>
        <v/>
      </c>
      <c r="F1643" s="22" t="str">
        <f aca="false">IF(D1643="","",IF(COUNTIFS($B$5:$B$2004,B1643,$D$5:$D$2004,D1643)&gt;1,"DUPLICATE",IF(ISNA(MATCH(D1643,Players!$B$5:$B$304,0)),"UID not found",IF(INDEX(Players!$H$5:$H$304,MATCH(D1643,Players!$B$5:$B$304,0))&lt;0,"LOW BALANCE","OK"))))</f>
        <v/>
      </c>
      <c r="G1643" s="1"/>
      <c r="H1643" s="1"/>
      <c r="I1643" s="1"/>
    </row>
    <row r="1644" customFormat="false" ht="21.75" hidden="false" customHeight="true" outlineLevel="0" collapsed="false">
      <c r="A1644" s="1"/>
      <c r="B1644" s="16"/>
      <c r="C1644" s="16"/>
      <c r="D1644" s="15"/>
      <c r="E1644" s="11" t="str">
        <f aca="false">IF(D1644="","",IFERROR(INDEX(Players!$C$5:$C$304,MATCH(D1644,Players!$B$5:$B$304,0)),""))</f>
        <v/>
      </c>
      <c r="F1644" s="22" t="str">
        <f aca="false">IF(D1644="","",IF(COUNTIFS($B$5:$B$2004,B1644,$D$5:$D$2004,D1644)&gt;1,"DUPLICATE",IF(ISNA(MATCH(D1644,Players!$B$5:$B$304,0)),"UID not found",IF(INDEX(Players!$H$5:$H$304,MATCH(D1644,Players!$B$5:$B$304,0))&lt;0,"LOW BALANCE","OK"))))</f>
        <v/>
      </c>
      <c r="G1644" s="1"/>
      <c r="H1644" s="1"/>
      <c r="I1644" s="1"/>
    </row>
    <row r="1645" customFormat="false" ht="21.75" hidden="false" customHeight="true" outlineLevel="0" collapsed="false">
      <c r="A1645" s="1"/>
      <c r="B1645" s="16"/>
      <c r="C1645" s="16"/>
      <c r="D1645" s="15"/>
      <c r="E1645" s="11" t="str">
        <f aca="false">IF(D1645="","",IFERROR(INDEX(Players!$C$5:$C$304,MATCH(D1645,Players!$B$5:$B$304,0)),""))</f>
        <v/>
      </c>
      <c r="F1645" s="22" t="str">
        <f aca="false">IF(D1645="","",IF(COUNTIFS($B$5:$B$2004,B1645,$D$5:$D$2004,D1645)&gt;1,"DUPLICATE",IF(ISNA(MATCH(D1645,Players!$B$5:$B$304,0)),"UID not found",IF(INDEX(Players!$H$5:$H$304,MATCH(D1645,Players!$B$5:$B$304,0))&lt;0,"LOW BALANCE","OK"))))</f>
        <v/>
      </c>
      <c r="G1645" s="1"/>
      <c r="H1645" s="1"/>
      <c r="I1645" s="1"/>
    </row>
    <row r="1646" customFormat="false" ht="21.75" hidden="false" customHeight="true" outlineLevel="0" collapsed="false">
      <c r="A1646" s="1"/>
      <c r="B1646" s="16"/>
      <c r="C1646" s="16"/>
      <c r="D1646" s="15"/>
      <c r="E1646" s="11" t="str">
        <f aca="false">IF(D1646="","",IFERROR(INDEX(Players!$C$5:$C$304,MATCH(D1646,Players!$B$5:$B$304,0)),""))</f>
        <v/>
      </c>
      <c r="F1646" s="22" t="str">
        <f aca="false">IF(D1646="","",IF(COUNTIFS($B$5:$B$2004,B1646,$D$5:$D$2004,D1646)&gt;1,"DUPLICATE",IF(ISNA(MATCH(D1646,Players!$B$5:$B$304,0)),"UID not found",IF(INDEX(Players!$H$5:$H$304,MATCH(D1646,Players!$B$5:$B$304,0))&lt;0,"LOW BALANCE","OK"))))</f>
        <v/>
      </c>
      <c r="G1646" s="1"/>
      <c r="H1646" s="1"/>
      <c r="I1646" s="1"/>
    </row>
    <row r="1647" customFormat="false" ht="21.75" hidden="false" customHeight="true" outlineLevel="0" collapsed="false">
      <c r="A1647" s="1"/>
      <c r="B1647" s="16"/>
      <c r="C1647" s="16"/>
      <c r="D1647" s="15"/>
      <c r="E1647" s="11" t="str">
        <f aca="false">IF(D1647="","",IFERROR(INDEX(Players!$C$5:$C$304,MATCH(D1647,Players!$B$5:$B$304,0)),""))</f>
        <v/>
      </c>
      <c r="F1647" s="22" t="str">
        <f aca="false">IF(D1647="","",IF(COUNTIFS($B$5:$B$2004,B1647,$D$5:$D$2004,D1647)&gt;1,"DUPLICATE",IF(ISNA(MATCH(D1647,Players!$B$5:$B$304,0)),"UID not found",IF(INDEX(Players!$H$5:$H$304,MATCH(D1647,Players!$B$5:$B$304,0))&lt;0,"LOW BALANCE","OK"))))</f>
        <v/>
      </c>
      <c r="G1647" s="1"/>
      <c r="H1647" s="1"/>
      <c r="I1647" s="1"/>
    </row>
    <row r="1648" customFormat="false" ht="21.75" hidden="false" customHeight="true" outlineLevel="0" collapsed="false">
      <c r="A1648" s="1"/>
      <c r="B1648" s="16"/>
      <c r="C1648" s="16"/>
      <c r="D1648" s="15"/>
      <c r="E1648" s="11" t="str">
        <f aca="false">IF(D1648="","",IFERROR(INDEX(Players!$C$5:$C$304,MATCH(D1648,Players!$B$5:$B$304,0)),""))</f>
        <v/>
      </c>
      <c r="F1648" s="22" t="str">
        <f aca="false">IF(D1648="","",IF(COUNTIFS($B$5:$B$2004,B1648,$D$5:$D$2004,D1648)&gt;1,"DUPLICATE",IF(ISNA(MATCH(D1648,Players!$B$5:$B$304,0)),"UID not found",IF(INDEX(Players!$H$5:$H$304,MATCH(D1648,Players!$B$5:$B$304,0))&lt;0,"LOW BALANCE","OK"))))</f>
        <v/>
      </c>
      <c r="G1648" s="1"/>
      <c r="H1648" s="1"/>
      <c r="I1648" s="1"/>
    </row>
    <row r="1649" customFormat="false" ht="21.75" hidden="false" customHeight="true" outlineLevel="0" collapsed="false">
      <c r="A1649" s="1"/>
      <c r="B1649" s="16"/>
      <c r="C1649" s="16"/>
      <c r="D1649" s="15"/>
      <c r="E1649" s="11" t="str">
        <f aca="false">IF(D1649="","",IFERROR(INDEX(Players!$C$5:$C$304,MATCH(D1649,Players!$B$5:$B$304,0)),""))</f>
        <v/>
      </c>
      <c r="F1649" s="22" t="str">
        <f aca="false">IF(D1649="","",IF(COUNTIFS($B$5:$B$2004,B1649,$D$5:$D$2004,D1649)&gt;1,"DUPLICATE",IF(ISNA(MATCH(D1649,Players!$B$5:$B$304,0)),"UID not found",IF(INDEX(Players!$H$5:$H$304,MATCH(D1649,Players!$B$5:$B$304,0))&lt;0,"LOW BALANCE","OK"))))</f>
        <v/>
      </c>
      <c r="G1649" s="1"/>
      <c r="H1649" s="1"/>
      <c r="I1649" s="1"/>
    </row>
    <row r="1650" customFormat="false" ht="21.75" hidden="false" customHeight="true" outlineLevel="0" collapsed="false">
      <c r="A1650" s="1"/>
      <c r="B1650" s="16"/>
      <c r="C1650" s="16"/>
      <c r="D1650" s="15"/>
      <c r="E1650" s="11" t="str">
        <f aca="false">IF(D1650="","",IFERROR(INDEX(Players!$C$5:$C$304,MATCH(D1650,Players!$B$5:$B$304,0)),""))</f>
        <v/>
      </c>
      <c r="F1650" s="22" t="str">
        <f aca="false">IF(D1650="","",IF(COUNTIFS($B$5:$B$2004,B1650,$D$5:$D$2004,D1650)&gt;1,"DUPLICATE",IF(ISNA(MATCH(D1650,Players!$B$5:$B$304,0)),"UID not found",IF(INDEX(Players!$H$5:$H$304,MATCH(D1650,Players!$B$5:$B$304,0))&lt;0,"LOW BALANCE","OK"))))</f>
        <v/>
      </c>
      <c r="G1650" s="1"/>
      <c r="H1650" s="1"/>
      <c r="I1650" s="1"/>
    </row>
    <row r="1651" customFormat="false" ht="21.75" hidden="false" customHeight="true" outlineLevel="0" collapsed="false">
      <c r="A1651" s="1"/>
      <c r="B1651" s="16"/>
      <c r="C1651" s="16"/>
      <c r="D1651" s="15"/>
      <c r="E1651" s="11" t="str">
        <f aca="false">IF(D1651="","",IFERROR(INDEX(Players!$C$5:$C$304,MATCH(D1651,Players!$B$5:$B$304,0)),""))</f>
        <v/>
      </c>
      <c r="F1651" s="22" t="str">
        <f aca="false">IF(D1651="","",IF(COUNTIFS($B$5:$B$2004,B1651,$D$5:$D$2004,D1651)&gt;1,"DUPLICATE",IF(ISNA(MATCH(D1651,Players!$B$5:$B$304,0)),"UID not found",IF(INDEX(Players!$H$5:$H$304,MATCH(D1651,Players!$B$5:$B$304,0))&lt;0,"LOW BALANCE","OK"))))</f>
        <v/>
      </c>
      <c r="G1651" s="1"/>
      <c r="H1651" s="1"/>
      <c r="I1651" s="1"/>
    </row>
    <row r="1652" customFormat="false" ht="21.75" hidden="false" customHeight="true" outlineLevel="0" collapsed="false">
      <c r="A1652" s="1"/>
      <c r="B1652" s="16"/>
      <c r="C1652" s="16"/>
      <c r="D1652" s="15"/>
      <c r="E1652" s="11" t="str">
        <f aca="false">IF(D1652="","",IFERROR(INDEX(Players!$C$5:$C$304,MATCH(D1652,Players!$B$5:$B$304,0)),""))</f>
        <v/>
      </c>
      <c r="F1652" s="22" t="str">
        <f aca="false">IF(D1652="","",IF(COUNTIFS($B$5:$B$2004,B1652,$D$5:$D$2004,D1652)&gt;1,"DUPLICATE",IF(ISNA(MATCH(D1652,Players!$B$5:$B$304,0)),"UID not found",IF(INDEX(Players!$H$5:$H$304,MATCH(D1652,Players!$B$5:$B$304,0))&lt;0,"LOW BALANCE","OK"))))</f>
        <v/>
      </c>
      <c r="G1652" s="1"/>
      <c r="H1652" s="1"/>
      <c r="I1652" s="1"/>
    </row>
    <row r="1653" customFormat="false" ht="21.75" hidden="false" customHeight="true" outlineLevel="0" collapsed="false">
      <c r="A1653" s="1"/>
      <c r="B1653" s="16"/>
      <c r="C1653" s="16"/>
      <c r="D1653" s="15"/>
      <c r="E1653" s="11" t="str">
        <f aca="false">IF(D1653="","",IFERROR(INDEX(Players!$C$5:$C$304,MATCH(D1653,Players!$B$5:$B$304,0)),""))</f>
        <v/>
      </c>
      <c r="F1653" s="22" t="str">
        <f aca="false">IF(D1653="","",IF(COUNTIFS($B$5:$B$2004,B1653,$D$5:$D$2004,D1653)&gt;1,"DUPLICATE",IF(ISNA(MATCH(D1653,Players!$B$5:$B$304,0)),"UID not found",IF(INDEX(Players!$H$5:$H$304,MATCH(D1653,Players!$B$5:$B$304,0))&lt;0,"LOW BALANCE","OK"))))</f>
        <v/>
      </c>
      <c r="G1653" s="1"/>
      <c r="H1653" s="1"/>
      <c r="I1653" s="1"/>
    </row>
    <row r="1654" customFormat="false" ht="21.75" hidden="false" customHeight="true" outlineLevel="0" collapsed="false">
      <c r="A1654" s="1"/>
      <c r="B1654" s="16"/>
      <c r="C1654" s="16"/>
      <c r="D1654" s="15"/>
      <c r="E1654" s="11" t="str">
        <f aca="false">IF(D1654="","",IFERROR(INDEX(Players!$C$5:$C$304,MATCH(D1654,Players!$B$5:$B$304,0)),""))</f>
        <v/>
      </c>
      <c r="F1654" s="22" t="str">
        <f aca="false">IF(D1654="","",IF(COUNTIFS($B$5:$B$2004,B1654,$D$5:$D$2004,D1654)&gt;1,"DUPLICATE",IF(ISNA(MATCH(D1654,Players!$B$5:$B$304,0)),"UID not found",IF(INDEX(Players!$H$5:$H$304,MATCH(D1654,Players!$B$5:$B$304,0))&lt;0,"LOW BALANCE","OK"))))</f>
        <v/>
      </c>
      <c r="G1654" s="1"/>
      <c r="H1654" s="1"/>
      <c r="I1654" s="1"/>
    </row>
    <row r="1655" customFormat="false" ht="21.75" hidden="false" customHeight="true" outlineLevel="0" collapsed="false">
      <c r="A1655" s="1"/>
      <c r="B1655" s="16"/>
      <c r="C1655" s="16"/>
      <c r="D1655" s="15"/>
      <c r="E1655" s="11" t="str">
        <f aca="false">IF(D1655="","",IFERROR(INDEX(Players!$C$5:$C$304,MATCH(D1655,Players!$B$5:$B$304,0)),""))</f>
        <v/>
      </c>
      <c r="F1655" s="22" t="str">
        <f aca="false">IF(D1655="","",IF(COUNTIFS($B$5:$B$2004,B1655,$D$5:$D$2004,D1655)&gt;1,"DUPLICATE",IF(ISNA(MATCH(D1655,Players!$B$5:$B$304,0)),"UID not found",IF(INDEX(Players!$H$5:$H$304,MATCH(D1655,Players!$B$5:$B$304,0))&lt;0,"LOW BALANCE","OK"))))</f>
        <v/>
      </c>
      <c r="G1655" s="1"/>
      <c r="H1655" s="1"/>
      <c r="I1655" s="1"/>
    </row>
    <row r="1656" customFormat="false" ht="21.75" hidden="false" customHeight="true" outlineLevel="0" collapsed="false">
      <c r="A1656" s="1"/>
      <c r="B1656" s="16"/>
      <c r="C1656" s="16"/>
      <c r="D1656" s="15"/>
      <c r="E1656" s="11" t="str">
        <f aca="false">IF(D1656="","",IFERROR(INDEX(Players!$C$5:$C$304,MATCH(D1656,Players!$B$5:$B$304,0)),""))</f>
        <v/>
      </c>
      <c r="F1656" s="22" t="str">
        <f aca="false">IF(D1656="","",IF(COUNTIFS($B$5:$B$2004,B1656,$D$5:$D$2004,D1656)&gt;1,"DUPLICATE",IF(ISNA(MATCH(D1656,Players!$B$5:$B$304,0)),"UID not found",IF(INDEX(Players!$H$5:$H$304,MATCH(D1656,Players!$B$5:$B$304,0))&lt;0,"LOW BALANCE","OK"))))</f>
        <v/>
      </c>
      <c r="G1656" s="1"/>
      <c r="H1656" s="1"/>
      <c r="I1656" s="1"/>
    </row>
    <row r="1657" customFormat="false" ht="21.75" hidden="false" customHeight="true" outlineLevel="0" collapsed="false">
      <c r="A1657" s="1"/>
      <c r="B1657" s="16"/>
      <c r="C1657" s="16"/>
      <c r="D1657" s="15"/>
      <c r="E1657" s="11" t="str">
        <f aca="false">IF(D1657="","",IFERROR(INDEX(Players!$C$5:$C$304,MATCH(D1657,Players!$B$5:$B$304,0)),""))</f>
        <v/>
      </c>
      <c r="F1657" s="22" t="str">
        <f aca="false">IF(D1657="","",IF(COUNTIFS($B$5:$B$2004,B1657,$D$5:$D$2004,D1657)&gt;1,"DUPLICATE",IF(ISNA(MATCH(D1657,Players!$B$5:$B$304,0)),"UID not found",IF(INDEX(Players!$H$5:$H$304,MATCH(D1657,Players!$B$5:$B$304,0))&lt;0,"LOW BALANCE","OK"))))</f>
        <v/>
      </c>
      <c r="G1657" s="1"/>
      <c r="H1657" s="1"/>
      <c r="I1657" s="1"/>
    </row>
    <row r="1658" customFormat="false" ht="21.75" hidden="false" customHeight="true" outlineLevel="0" collapsed="false">
      <c r="A1658" s="1"/>
      <c r="B1658" s="16"/>
      <c r="C1658" s="16"/>
      <c r="D1658" s="15"/>
      <c r="E1658" s="11" t="str">
        <f aca="false">IF(D1658="","",IFERROR(INDEX(Players!$C$5:$C$304,MATCH(D1658,Players!$B$5:$B$304,0)),""))</f>
        <v/>
      </c>
      <c r="F1658" s="22" t="str">
        <f aca="false">IF(D1658="","",IF(COUNTIFS($B$5:$B$2004,B1658,$D$5:$D$2004,D1658)&gt;1,"DUPLICATE",IF(ISNA(MATCH(D1658,Players!$B$5:$B$304,0)),"UID not found",IF(INDEX(Players!$H$5:$H$304,MATCH(D1658,Players!$B$5:$B$304,0))&lt;0,"LOW BALANCE","OK"))))</f>
        <v/>
      </c>
      <c r="G1658" s="1"/>
      <c r="H1658" s="1"/>
      <c r="I1658" s="1"/>
    </row>
    <row r="1659" customFormat="false" ht="21.75" hidden="false" customHeight="true" outlineLevel="0" collapsed="false">
      <c r="A1659" s="1"/>
      <c r="B1659" s="16"/>
      <c r="C1659" s="16"/>
      <c r="D1659" s="15"/>
      <c r="E1659" s="11" t="str">
        <f aca="false">IF(D1659="","",IFERROR(INDEX(Players!$C$5:$C$304,MATCH(D1659,Players!$B$5:$B$304,0)),""))</f>
        <v/>
      </c>
      <c r="F1659" s="22" t="str">
        <f aca="false">IF(D1659="","",IF(COUNTIFS($B$5:$B$2004,B1659,$D$5:$D$2004,D1659)&gt;1,"DUPLICATE",IF(ISNA(MATCH(D1659,Players!$B$5:$B$304,0)),"UID not found",IF(INDEX(Players!$H$5:$H$304,MATCH(D1659,Players!$B$5:$B$304,0))&lt;0,"LOW BALANCE","OK"))))</f>
        <v/>
      </c>
      <c r="G1659" s="1"/>
      <c r="H1659" s="1"/>
      <c r="I1659" s="1"/>
    </row>
    <row r="1660" customFormat="false" ht="21.75" hidden="false" customHeight="true" outlineLevel="0" collapsed="false">
      <c r="A1660" s="1"/>
      <c r="B1660" s="16"/>
      <c r="C1660" s="16"/>
      <c r="D1660" s="15"/>
      <c r="E1660" s="11" t="str">
        <f aca="false">IF(D1660="","",IFERROR(INDEX(Players!$C$5:$C$304,MATCH(D1660,Players!$B$5:$B$304,0)),""))</f>
        <v/>
      </c>
      <c r="F1660" s="22" t="str">
        <f aca="false">IF(D1660="","",IF(COUNTIFS($B$5:$B$2004,B1660,$D$5:$D$2004,D1660)&gt;1,"DUPLICATE",IF(ISNA(MATCH(D1660,Players!$B$5:$B$304,0)),"UID not found",IF(INDEX(Players!$H$5:$H$304,MATCH(D1660,Players!$B$5:$B$304,0))&lt;0,"LOW BALANCE","OK"))))</f>
        <v/>
      </c>
      <c r="G1660" s="1"/>
      <c r="H1660" s="1"/>
      <c r="I1660" s="1"/>
    </row>
    <row r="1661" customFormat="false" ht="21.75" hidden="false" customHeight="true" outlineLevel="0" collapsed="false">
      <c r="A1661" s="1"/>
      <c r="B1661" s="16"/>
      <c r="C1661" s="16"/>
      <c r="D1661" s="15"/>
      <c r="E1661" s="11" t="str">
        <f aca="false">IF(D1661="","",IFERROR(INDEX(Players!$C$5:$C$304,MATCH(D1661,Players!$B$5:$B$304,0)),""))</f>
        <v/>
      </c>
      <c r="F1661" s="22" t="str">
        <f aca="false">IF(D1661="","",IF(COUNTIFS($B$5:$B$2004,B1661,$D$5:$D$2004,D1661)&gt;1,"DUPLICATE",IF(ISNA(MATCH(D1661,Players!$B$5:$B$304,0)),"UID not found",IF(INDEX(Players!$H$5:$H$304,MATCH(D1661,Players!$B$5:$B$304,0))&lt;0,"LOW BALANCE","OK"))))</f>
        <v/>
      </c>
      <c r="G1661" s="1"/>
      <c r="H1661" s="1"/>
      <c r="I1661" s="1"/>
    </row>
    <row r="1662" customFormat="false" ht="21.75" hidden="false" customHeight="true" outlineLevel="0" collapsed="false">
      <c r="A1662" s="1"/>
      <c r="B1662" s="16"/>
      <c r="C1662" s="16"/>
      <c r="D1662" s="15"/>
      <c r="E1662" s="11" t="str">
        <f aca="false">IF(D1662="","",IFERROR(INDEX(Players!$C$5:$C$304,MATCH(D1662,Players!$B$5:$B$304,0)),""))</f>
        <v/>
      </c>
      <c r="F1662" s="22" t="str">
        <f aca="false">IF(D1662="","",IF(COUNTIFS($B$5:$B$2004,B1662,$D$5:$D$2004,D1662)&gt;1,"DUPLICATE",IF(ISNA(MATCH(D1662,Players!$B$5:$B$304,0)),"UID not found",IF(INDEX(Players!$H$5:$H$304,MATCH(D1662,Players!$B$5:$B$304,0))&lt;0,"LOW BALANCE","OK"))))</f>
        <v/>
      </c>
      <c r="G1662" s="1"/>
      <c r="H1662" s="1"/>
      <c r="I1662" s="1"/>
    </row>
    <row r="1663" customFormat="false" ht="21.75" hidden="false" customHeight="true" outlineLevel="0" collapsed="false">
      <c r="A1663" s="1"/>
      <c r="B1663" s="16"/>
      <c r="C1663" s="16"/>
      <c r="D1663" s="15"/>
      <c r="E1663" s="11" t="str">
        <f aca="false">IF(D1663="","",IFERROR(INDEX(Players!$C$5:$C$304,MATCH(D1663,Players!$B$5:$B$304,0)),""))</f>
        <v/>
      </c>
      <c r="F1663" s="22" t="str">
        <f aca="false">IF(D1663="","",IF(COUNTIFS($B$5:$B$2004,B1663,$D$5:$D$2004,D1663)&gt;1,"DUPLICATE",IF(ISNA(MATCH(D1663,Players!$B$5:$B$304,0)),"UID not found",IF(INDEX(Players!$H$5:$H$304,MATCH(D1663,Players!$B$5:$B$304,0))&lt;0,"LOW BALANCE","OK"))))</f>
        <v/>
      </c>
      <c r="G1663" s="1"/>
      <c r="H1663" s="1"/>
      <c r="I1663" s="1"/>
    </row>
    <row r="1664" customFormat="false" ht="21.75" hidden="false" customHeight="true" outlineLevel="0" collapsed="false">
      <c r="A1664" s="1"/>
      <c r="B1664" s="16"/>
      <c r="C1664" s="16"/>
      <c r="D1664" s="15"/>
      <c r="E1664" s="11" t="str">
        <f aca="false">IF(D1664="","",IFERROR(INDEX(Players!$C$5:$C$304,MATCH(D1664,Players!$B$5:$B$304,0)),""))</f>
        <v/>
      </c>
      <c r="F1664" s="22" t="str">
        <f aca="false">IF(D1664="","",IF(COUNTIFS($B$5:$B$2004,B1664,$D$5:$D$2004,D1664)&gt;1,"DUPLICATE",IF(ISNA(MATCH(D1664,Players!$B$5:$B$304,0)),"UID not found",IF(INDEX(Players!$H$5:$H$304,MATCH(D1664,Players!$B$5:$B$304,0))&lt;0,"LOW BALANCE","OK"))))</f>
        <v/>
      </c>
      <c r="G1664" s="1"/>
      <c r="H1664" s="1"/>
      <c r="I1664" s="1"/>
    </row>
    <row r="1665" customFormat="false" ht="21.75" hidden="false" customHeight="true" outlineLevel="0" collapsed="false">
      <c r="A1665" s="1"/>
      <c r="B1665" s="16"/>
      <c r="C1665" s="16"/>
      <c r="D1665" s="15"/>
      <c r="E1665" s="11" t="str">
        <f aca="false">IF(D1665="","",IFERROR(INDEX(Players!$C$5:$C$304,MATCH(D1665,Players!$B$5:$B$304,0)),""))</f>
        <v/>
      </c>
      <c r="F1665" s="22" t="str">
        <f aca="false">IF(D1665="","",IF(COUNTIFS($B$5:$B$2004,B1665,$D$5:$D$2004,D1665)&gt;1,"DUPLICATE",IF(ISNA(MATCH(D1665,Players!$B$5:$B$304,0)),"UID not found",IF(INDEX(Players!$H$5:$H$304,MATCH(D1665,Players!$B$5:$B$304,0))&lt;0,"LOW BALANCE","OK"))))</f>
        <v/>
      </c>
      <c r="G1665" s="1"/>
      <c r="H1665" s="1"/>
      <c r="I1665" s="1"/>
    </row>
    <row r="1666" customFormat="false" ht="21.75" hidden="false" customHeight="true" outlineLevel="0" collapsed="false">
      <c r="A1666" s="1"/>
      <c r="B1666" s="16"/>
      <c r="C1666" s="16"/>
      <c r="D1666" s="15"/>
      <c r="E1666" s="11" t="str">
        <f aca="false">IF(D1666="","",IFERROR(INDEX(Players!$C$5:$C$304,MATCH(D1666,Players!$B$5:$B$304,0)),""))</f>
        <v/>
      </c>
      <c r="F1666" s="22" t="str">
        <f aca="false">IF(D1666="","",IF(COUNTIFS($B$5:$B$2004,B1666,$D$5:$D$2004,D1666)&gt;1,"DUPLICATE",IF(ISNA(MATCH(D1666,Players!$B$5:$B$304,0)),"UID not found",IF(INDEX(Players!$H$5:$H$304,MATCH(D1666,Players!$B$5:$B$304,0))&lt;0,"LOW BALANCE","OK"))))</f>
        <v/>
      </c>
      <c r="G1666" s="1"/>
      <c r="H1666" s="1"/>
      <c r="I1666" s="1"/>
    </row>
    <row r="1667" customFormat="false" ht="21.75" hidden="false" customHeight="true" outlineLevel="0" collapsed="false">
      <c r="A1667" s="1"/>
      <c r="B1667" s="16"/>
      <c r="C1667" s="16"/>
      <c r="D1667" s="15"/>
      <c r="E1667" s="11" t="str">
        <f aca="false">IF(D1667="","",IFERROR(INDEX(Players!$C$5:$C$304,MATCH(D1667,Players!$B$5:$B$304,0)),""))</f>
        <v/>
      </c>
      <c r="F1667" s="22" t="str">
        <f aca="false">IF(D1667="","",IF(COUNTIFS($B$5:$B$2004,B1667,$D$5:$D$2004,D1667)&gt;1,"DUPLICATE",IF(ISNA(MATCH(D1667,Players!$B$5:$B$304,0)),"UID not found",IF(INDEX(Players!$H$5:$H$304,MATCH(D1667,Players!$B$5:$B$304,0))&lt;0,"LOW BALANCE","OK"))))</f>
        <v/>
      </c>
      <c r="G1667" s="1"/>
      <c r="H1667" s="1"/>
      <c r="I1667" s="1"/>
    </row>
    <row r="1668" customFormat="false" ht="21.75" hidden="false" customHeight="true" outlineLevel="0" collapsed="false">
      <c r="A1668" s="1"/>
      <c r="B1668" s="16"/>
      <c r="C1668" s="16"/>
      <c r="D1668" s="15"/>
      <c r="E1668" s="11" t="str">
        <f aca="false">IF(D1668="","",IFERROR(INDEX(Players!$C$5:$C$304,MATCH(D1668,Players!$B$5:$B$304,0)),""))</f>
        <v/>
      </c>
      <c r="F1668" s="22" t="str">
        <f aca="false">IF(D1668="","",IF(COUNTIFS($B$5:$B$2004,B1668,$D$5:$D$2004,D1668)&gt;1,"DUPLICATE",IF(ISNA(MATCH(D1668,Players!$B$5:$B$304,0)),"UID not found",IF(INDEX(Players!$H$5:$H$304,MATCH(D1668,Players!$B$5:$B$304,0))&lt;0,"LOW BALANCE","OK"))))</f>
        <v/>
      </c>
      <c r="G1668" s="1"/>
      <c r="H1668" s="1"/>
      <c r="I1668" s="1"/>
    </row>
    <row r="1669" customFormat="false" ht="21.75" hidden="false" customHeight="true" outlineLevel="0" collapsed="false">
      <c r="A1669" s="1"/>
      <c r="B1669" s="16"/>
      <c r="C1669" s="16"/>
      <c r="D1669" s="15"/>
      <c r="E1669" s="11" t="str">
        <f aca="false">IF(D1669="","",IFERROR(INDEX(Players!$C$5:$C$304,MATCH(D1669,Players!$B$5:$B$304,0)),""))</f>
        <v/>
      </c>
      <c r="F1669" s="22" t="str">
        <f aca="false">IF(D1669="","",IF(COUNTIFS($B$5:$B$2004,B1669,$D$5:$D$2004,D1669)&gt;1,"DUPLICATE",IF(ISNA(MATCH(D1669,Players!$B$5:$B$304,0)),"UID not found",IF(INDEX(Players!$H$5:$H$304,MATCH(D1669,Players!$B$5:$B$304,0))&lt;0,"LOW BALANCE","OK"))))</f>
        <v/>
      </c>
      <c r="G1669" s="1"/>
      <c r="H1669" s="1"/>
      <c r="I1669" s="1"/>
    </row>
    <row r="1670" customFormat="false" ht="21.75" hidden="false" customHeight="true" outlineLevel="0" collapsed="false">
      <c r="A1670" s="1"/>
      <c r="B1670" s="16"/>
      <c r="C1670" s="16"/>
      <c r="D1670" s="15"/>
      <c r="E1670" s="11" t="str">
        <f aca="false">IF(D1670="","",IFERROR(INDEX(Players!$C$5:$C$304,MATCH(D1670,Players!$B$5:$B$304,0)),""))</f>
        <v/>
      </c>
      <c r="F1670" s="22" t="str">
        <f aca="false">IF(D1670="","",IF(COUNTIFS($B$5:$B$2004,B1670,$D$5:$D$2004,D1670)&gt;1,"DUPLICATE",IF(ISNA(MATCH(D1670,Players!$B$5:$B$304,0)),"UID not found",IF(INDEX(Players!$H$5:$H$304,MATCH(D1670,Players!$B$5:$B$304,0))&lt;0,"LOW BALANCE","OK"))))</f>
        <v/>
      </c>
      <c r="G1670" s="1"/>
      <c r="H1670" s="1"/>
      <c r="I1670" s="1"/>
    </row>
    <row r="1671" customFormat="false" ht="21.75" hidden="false" customHeight="true" outlineLevel="0" collapsed="false">
      <c r="A1671" s="1"/>
      <c r="B1671" s="16"/>
      <c r="C1671" s="16"/>
      <c r="D1671" s="15"/>
      <c r="E1671" s="11" t="str">
        <f aca="false">IF(D1671="","",IFERROR(INDEX(Players!$C$5:$C$304,MATCH(D1671,Players!$B$5:$B$304,0)),""))</f>
        <v/>
      </c>
      <c r="F1671" s="22" t="str">
        <f aca="false">IF(D1671="","",IF(COUNTIFS($B$5:$B$2004,B1671,$D$5:$D$2004,D1671)&gt;1,"DUPLICATE",IF(ISNA(MATCH(D1671,Players!$B$5:$B$304,0)),"UID not found",IF(INDEX(Players!$H$5:$H$304,MATCH(D1671,Players!$B$5:$B$304,0))&lt;0,"LOW BALANCE","OK"))))</f>
        <v/>
      </c>
      <c r="G1671" s="1"/>
      <c r="H1671" s="1"/>
      <c r="I1671" s="1"/>
    </row>
    <row r="1672" customFormat="false" ht="21.75" hidden="false" customHeight="true" outlineLevel="0" collapsed="false">
      <c r="A1672" s="1"/>
      <c r="B1672" s="16"/>
      <c r="C1672" s="16"/>
      <c r="D1672" s="15"/>
      <c r="E1672" s="11" t="str">
        <f aca="false">IF(D1672="","",IFERROR(INDEX(Players!$C$5:$C$304,MATCH(D1672,Players!$B$5:$B$304,0)),""))</f>
        <v/>
      </c>
      <c r="F1672" s="22" t="str">
        <f aca="false">IF(D1672="","",IF(COUNTIFS($B$5:$B$2004,B1672,$D$5:$D$2004,D1672)&gt;1,"DUPLICATE",IF(ISNA(MATCH(D1672,Players!$B$5:$B$304,0)),"UID not found",IF(INDEX(Players!$H$5:$H$304,MATCH(D1672,Players!$B$5:$B$304,0))&lt;0,"LOW BALANCE","OK"))))</f>
        <v/>
      </c>
      <c r="G1672" s="1"/>
      <c r="H1672" s="1"/>
      <c r="I1672" s="1"/>
    </row>
    <row r="1673" customFormat="false" ht="21.75" hidden="false" customHeight="true" outlineLevel="0" collapsed="false">
      <c r="A1673" s="1"/>
      <c r="B1673" s="16"/>
      <c r="C1673" s="16"/>
      <c r="D1673" s="15"/>
      <c r="E1673" s="11" t="str">
        <f aca="false">IF(D1673="","",IFERROR(INDEX(Players!$C$5:$C$304,MATCH(D1673,Players!$B$5:$B$304,0)),""))</f>
        <v/>
      </c>
      <c r="F1673" s="22" t="str">
        <f aca="false">IF(D1673="","",IF(COUNTIFS($B$5:$B$2004,B1673,$D$5:$D$2004,D1673)&gt;1,"DUPLICATE",IF(ISNA(MATCH(D1673,Players!$B$5:$B$304,0)),"UID not found",IF(INDEX(Players!$H$5:$H$304,MATCH(D1673,Players!$B$5:$B$304,0))&lt;0,"LOW BALANCE","OK"))))</f>
        <v/>
      </c>
      <c r="G1673" s="1"/>
      <c r="H1673" s="1"/>
      <c r="I1673" s="1"/>
    </row>
    <row r="1674" customFormat="false" ht="21.75" hidden="false" customHeight="true" outlineLevel="0" collapsed="false">
      <c r="A1674" s="1"/>
      <c r="B1674" s="16"/>
      <c r="C1674" s="16"/>
      <c r="D1674" s="15"/>
      <c r="E1674" s="11" t="str">
        <f aca="false">IF(D1674="","",IFERROR(INDEX(Players!$C$5:$C$304,MATCH(D1674,Players!$B$5:$B$304,0)),""))</f>
        <v/>
      </c>
      <c r="F1674" s="22" t="str">
        <f aca="false">IF(D1674="","",IF(COUNTIFS($B$5:$B$2004,B1674,$D$5:$D$2004,D1674)&gt;1,"DUPLICATE",IF(ISNA(MATCH(D1674,Players!$B$5:$B$304,0)),"UID not found",IF(INDEX(Players!$H$5:$H$304,MATCH(D1674,Players!$B$5:$B$304,0))&lt;0,"LOW BALANCE","OK"))))</f>
        <v/>
      </c>
      <c r="G1674" s="1"/>
      <c r="H1674" s="1"/>
      <c r="I1674" s="1"/>
    </row>
    <row r="1675" customFormat="false" ht="21.75" hidden="false" customHeight="true" outlineLevel="0" collapsed="false">
      <c r="A1675" s="1"/>
      <c r="B1675" s="16"/>
      <c r="C1675" s="16"/>
      <c r="D1675" s="15"/>
      <c r="E1675" s="11" t="str">
        <f aca="false">IF(D1675="","",IFERROR(INDEX(Players!$C$5:$C$304,MATCH(D1675,Players!$B$5:$B$304,0)),""))</f>
        <v/>
      </c>
      <c r="F1675" s="22" t="str">
        <f aca="false">IF(D1675="","",IF(COUNTIFS($B$5:$B$2004,B1675,$D$5:$D$2004,D1675)&gt;1,"DUPLICATE",IF(ISNA(MATCH(D1675,Players!$B$5:$B$304,0)),"UID not found",IF(INDEX(Players!$H$5:$H$304,MATCH(D1675,Players!$B$5:$B$304,0))&lt;0,"LOW BALANCE","OK"))))</f>
        <v/>
      </c>
      <c r="G1675" s="1"/>
      <c r="H1675" s="1"/>
      <c r="I1675" s="1"/>
    </row>
    <row r="1676" customFormat="false" ht="21.75" hidden="false" customHeight="true" outlineLevel="0" collapsed="false">
      <c r="A1676" s="1"/>
      <c r="B1676" s="16"/>
      <c r="C1676" s="16"/>
      <c r="D1676" s="15"/>
      <c r="E1676" s="11" t="str">
        <f aca="false">IF(D1676="","",IFERROR(INDEX(Players!$C$5:$C$304,MATCH(D1676,Players!$B$5:$B$304,0)),""))</f>
        <v/>
      </c>
      <c r="F1676" s="22" t="str">
        <f aca="false">IF(D1676="","",IF(COUNTIFS($B$5:$B$2004,B1676,$D$5:$D$2004,D1676)&gt;1,"DUPLICATE",IF(ISNA(MATCH(D1676,Players!$B$5:$B$304,0)),"UID not found",IF(INDEX(Players!$H$5:$H$304,MATCH(D1676,Players!$B$5:$B$304,0))&lt;0,"LOW BALANCE","OK"))))</f>
        <v/>
      </c>
      <c r="G1676" s="1"/>
      <c r="H1676" s="1"/>
      <c r="I1676" s="1"/>
    </row>
    <row r="1677" customFormat="false" ht="21.75" hidden="false" customHeight="true" outlineLevel="0" collapsed="false">
      <c r="A1677" s="1"/>
      <c r="B1677" s="16"/>
      <c r="C1677" s="16"/>
      <c r="D1677" s="15"/>
      <c r="E1677" s="11" t="str">
        <f aca="false">IF(D1677="","",IFERROR(INDEX(Players!$C$5:$C$304,MATCH(D1677,Players!$B$5:$B$304,0)),""))</f>
        <v/>
      </c>
      <c r="F1677" s="22" t="str">
        <f aca="false">IF(D1677="","",IF(COUNTIFS($B$5:$B$2004,B1677,$D$5:$D$2004,D1677)&gt;1,"DUPLICATE",IF(ISNA(MATCH(D1677,Players!$B$5:$B$304,0)),"UID not found",IF(INDEX(Players!$H$5:$H$304,MATCH(D1677,Players!$B$5:$B$304,0))&lt;0,"LOW BALANCE","OK"))))</f>
        <v/>
      </c>
      <c r="G1677" s="1"/>
      <c r="H1677" s="1"/>
      <c r="I1677" s="1"/>
    </row>
    <row r="1678" customFormat="false" ht="21.75" hidden="false" customHeight="true" outlineLevel="0" collapsed="false">
      <c r="A1678" s="1"/>
      <c r="B1678" s="16"/>
      <c r="C1678" s="16"/>
      <c r="D1678" s="15"/>
      <c r="E1678" s="11" t="str">
        <f aca="false">IF(D1678="","",IFERROR(INDEX(Players!$C$5:$C$304,MATCH(D1678,Players!$B$5:$B$304,0)),""))</f>
        <v/>
      </c>
      <c r="F1678" s="22" t="str">
        <f aca="false">IF(D1678="","",IF(COUNTIFS($B$5:$B$2004,B1678,$D$5:$D$2004,D1678)&gt;1,"DUPLICATE",IF(ISNA(MATCH(D1678,Players!$B$5:$B$304,0)),"UID not found",IF(INDEX(Players!$H$5:$H$304,MATCH(D1678,Players!$B$5:$B$304,0))&lt;0,"LOW BALANCE","OK"))))</f>
        <v/>
      </c>
      <c r="G1678" s="1"/>
      <c r="H1678" s="1"/>
      <c r="I1678" s="1"/>
    </row>
    <row r="1679" customFormat="false" ht="21.75" hidden="false" customHeight="true" outlineLevel="0" collapsed="false">
      <c r="A1679" s="1"/>
      <c r="B1679" s="16"/>
      <c r="C1679" s="16"/>
      <c r="D1679" s="15"/>
      <c r="E1679" s="11" t="str">
        <f aca="false">IF(D1679="","",IFERROR(INDEX(Players!$C$5:$C$304,MATCH(D1679,Players!$B$5:$B$304,0)),""))</f>
        <v/>
      </c>
      <c r="F1679" s="22" t="str">
        <f aca="false">IF(D1679="","",IF(COUNTIFS($B$5:$B$2004,B1679,$D$5:$D$2004,D1679)&gt;1,"DUPLICATE",IF(ISNA(MATCH(D1679,Players!$B$5:$B$304,0)),"UID not found",IF(INDEX(Players!$H$5:$H$304,MATCH(D1679,Players!$B$5:$B$304,0))&lt;0,"LOW BALANCE","OK"))))</f>
        <v/>
      </c>
      <c r="G1679" s="1"/>
      <c r="H1679" s="1"/>
      <c r="I1679" s="1"/>
    </row>
    <row r="1680" customFormat="false" ht="21.75" hidden="false" customHeight="true" outlineLevel="0" collapsed="false">
      <c r="A1680" s="1"/>
      <c r="B1680" s="16"/>
      <c r="C1680" s="16"/>
      <c r="D1680" s="15"/>
      <c r="E1680" s="11" t="str">
        <f aca="false">IF(D1680="","",IFERROR(INDEX(Players!$C$5:$C$304,MATCH(D1680,Players!$B$5:$B$304,0)),""))</f>
        <v/>
      </c>
      <c r="F1680" s="22" t="str">
        <f aca="false">IF(D1680="","",IF(COUNTIFS($B$5:$B$2004,B1680,$D$5:$D$2004,D1680)&gt;1,"DUPLICATE",IF(ISNA(MATCH(D1680,Players!$B$5:$B$304,0)),"UID not found",IF(INDEX(Players!$H$5:$H$304,MATCH(D1680,Players!$B$5:$B$304,0))&lt;0,"LOW BALANCE","OK"))))</f>
        <v/>
      </c>
      <c r="G1680" s="1"/>
      <c r="H1680" s="1"/>
      <c r="I1680" s="1"/>
    </row>
    <row r="1681" customFormat="false" ht="21.75" hidden="false" customHeight="true" outlineLevel="0" collapsed="false">
      <c r="A1681" s="1"/>
      <c r="B1681" s="16"/>
      <c r="C1681" s="16"/>
      <c r="D1681" s="15"/>
      <c r="E1681" s="11" t="str">
        <f aca="false">IF(D1681="","",IFERROR(INDEX(Players!$C$5:$C$304,MATCH(D1681,Players!$B$5:$B$304,0)),""))</f>
        <v/>
      </c>
      <c r="F1681" s="22" t="str">
        <f aca="false">IF(D1681="","",IF(COUNTIFS($B$5:$B$2004,B1681,$D$5:$D$2004,D1681)&gt;1,"DUPLICATE",IF(ISNA(MATCH(D1681,Players!$B$5:$B$304,0)),"UID not found",IF(INDEX(Players!$H$5:$H$304,MATCH(D1681,Players!$B$5:$B$304,0))&lt;0,"LOW BALANCE","OK"))))</f>
        <v/>
      </c>
      <c r="G1681" s="1"/>
      <c r="H1681" s="1"/>
      <c r="I1681" s="1"/>
    </row>
    <row r="1682" customFormat="false" ht="21.75" hidden="false" customHeight="true" outlineLevel="0" collapsed="false">
      <c r="A1682" s="1"/>
      <c r="B1682" s="16"/>
      <c r="C1682" s="16"/>
      <c r="D1682" s="15"/>
      <c r="E1682" s="11" t="str">
        <f aca="false">IF(D1682="","",IFERROR(INDEX(Players!$C$5:$C$304,MATCH(D1682,Players!$B$5:$B$304,0)),""))</f>
        <v/>
      </c>
      <c r="F1682" s="22" t="str">
        <f aca="false">IF(D1682="","",IF(COUNTIFS($B$5:$B$2004,B1682,$D$5:$D$2004,D1682)&gt;1,"DUPLICATE",IF(ISNA(MATCH(D1682,Players!$B$5:$B$304,0)),"UID not found",IF(INDEX(Players!$H$5:$H$304,MATCH(D1682,Players!$B$5:$B$304,0))&lt;0,"LOW BALANCE","OK"))))</f>
        <v/>
      </c>
      <c r="G1682" s="1"/>
      <c r="H1682" s="1"/>
      <c r="I1682" s="1"/>
    </row>
    <row r="1683" customFormat="false" ht="21.75" hidden="false" customHeight="true" outlineLevel="0" collapsed="false">
      <c r="A1683" s="1"/>
      <c r="B1683" s="16"/>
      <c r="C1683" s="16"/>
      <c r="D1683" s="15"/>
      <c r="E1683" s="11" t="str">
        <f aca="false">IF(D1683="","",IFERROR(INDEX(Players!$C$5:$C$304,MATCH(D1683,Players!$B$5:$B$304,0)),""))</f>
        <v/>
      </c>
      <c r="F1683" s="22" t="str">
        <f aca="false">IF(D1683="","",IF(COUNTIFS($B$5:$B$2004,B1683,$D$5:$D$2004,D1683)&gt;1,"DUPLICATE",IF(ISNA(MATCH(D1683,Players!$B$5:$B$304,0)),"UID not found",IF(INDEX(Players!$H$5:$H$304,MATCH(D1683,Players!$B$5:$B$304,0))&lt;0,"LOW BALANCE","OK"))))</f>
        <v/>
      </c>
      <c r="G1683" s="1"/>
      <c r="H1683" s="1"/>
      <c r="I1683" s="1"/>
    </row>
    <row r="1684" customFormat="false" ht="21.75" hidden="false" customHeight="true" outlineLevel="0" collapsed="false">
      <c r="A1684" s="1"/>
      <c r="B1684" s="16"/>
      <c r="C1684" s="16"/>
      <c r="D1684" s="15"/>
      <c r="E1684" s="11" t="str">
        <f aca="false">IF(D1684="","",IFERROR(INDEX(Players!$C$5:$C$304,MATCH(D1684,Players!$B$5:$B$304,0)),""))</f>
        <v/>
      </c>
      <c r="F1684" s="22" t="str">
        <f aca="false">IF(D1684="","",IF(COUNTIFS($B$5:$B$2004,B1684,$D$5:$D$2004,D1684)&gt;1,"DUPLICATE",IF(ISNA(MATCH(D1684,Players!$B$5:$B$304,0)),"UID not found",IF(INDEX(Players!$H$5:$H$304,MATCH(D1684,Players!$B$5:$B$304,0))&lt;0,"LOW BALANCE","OK"))))</f>
        <v/>
      </c>
      <c r="G1684" s="1"/>
      <c r="H1684" s="1"/>
      <c r="I1684" s="1"/>
    </row>
    <row r="1685" customFormat="false" ht="21.75" hidden="false" customHeight="true" outlineLevel="0" collapsed="false">
      <c r="A1685" s="1"/>
      <c r="B1685" s="16"/>
      <c r="C1685" s="16"/>
      <c r="D1685" s="15"/>
      <c r="E1685" s="11" t="str">
        <f aca="false">IF(D1685="","",IFERROR(INDEX(Players!$C$5:$C$304,MATCH(D1685,Players!$B$5:$B$304,0)),""))</f>
        <v/>
      </c>
      <c r="F1685" s="22" t="str">
        <f aca="false">IF(D1685="","",IF(COUNTIFS($B$5:$B$2004,B1685,$D$5:$D$2004,D1685)&gt;1,"DUPLICATE",IF(ISNA(MATCH(D1685,Players!$B$5:$B$304,0)),"UID not found",IF(INDEX(Players!$H$5:$H$304,MATCH(D1685,Players!$B$5:$B$304,0))&lt;0,"LOW BALANCE","OK"))))</f>
        <v/>
      </c>
      <c r="G1685" s="1"/>
      <c r="H1685" s="1"/>
      <c r="I1685" s="1"/>
    </row>
    <row r="1686" customFormat="false" ht="21.75" hidden="false" customHeight="true" outlineLevel="0" collapsed="false">
      <c r="A1686" s="1"/>
      <c r="B1686" s="16"/>
      <c r="C1686" s="16"/>
      <c r="D1686" s="15"/>
      <c r="E1686" s="11" t="str">
        <f aca="false">IF(D1686="","",IFERROR(INDEX(Players!$C$5:$C$304,MATCH(D1686,Players!$B$5:$B$304,0)),""))</f>
        <v/>
      </c>
      <c r="F1686" s="22" t="str">
        <f aca="false">IF(D1686="","",IF(COUNTIFS($B$5:$B$2004,B1686,$D$5:$D$2004,D1686)&gt;1,"DUPLICATE",IF(ISNA(MATCH(D1686,Players!$B$5:$B$304,0)),"UID not found",IF(INDEX(Players!$H$5:$H$304,MATCH(D1686,Players!$B$5:$B$304,0))&lt;0,"LOW BALANCE","OK"))))</f>
        <v/>
      </c>
      <c r="G1686" s="1"/>
      <c r="H1686" s="1"/>
      <c r="I1686" s="1"/>
    </row>
    <row r="1687" customFormat="false" ht="21.75" hidden="false" customHeight="true" outlineLevel="0" collapsed="false">
      <c r="A1687" s="1"/>
      <c r="B1687" s="16"/>
      <c r="C1687" s="16"/>
      <c r="D1687" s="15"/>
      <c r="E1687" s="11" t="str">
        <f aca="false">IF(D1687="","",IFERROR(INDEX(Players!$C$5:$C$304,MATCH(D1687,Players!$B$5:$B$304,0)),""))</f>
        <v/>
      </c>
      <c r="F1687" s="22" t="str">
        <f aca="false">IF(D1687="","",IF(COUNTIFS($B$5:$B$2004,B1687,$D$5:$D$2004,D1687)&gt;1,"DUPLICATE",IF(ISNA(MATCH(D1687,Players!$B$5:$B$304,0)),"UID not found",IF(INDEX(Players!$H$5:$H$304,MATCH(D1687,Players!$B$5:$B$304,0))&lt;0,"LOW BALANCE","OK"))))</f>
        <v/>
      </c>
      <c r="G1687" s="1"/>
      <c r="H1687" s="1"/>
      <c r="I1687" s="1"/>
    </row>
    <row r="1688" customFormat="false" ht="21.75" hidden="false" customHeight="true" outlineLevel="0" collapsed="false">
      <c r="A1688" s="1"/>
      <c r="B1688" s="16"/>
      <c r="C1688" s="16"/>
      <c r="D1688" s="15"/>
      <c r="E1688" s="11" t="str">
        <f aca="false">IF(D1688="","",IFERROR(INDEX(Players!$C$5:$C$304,MATCH(D1688,Players!$B$5:$B$304,0)),""))</f>
        <v/>
      </c>
      <c r="F1688" s="22" t="str">
        <f aca="false">IF(D1688="","",IF(COUNTIFS($B$5:$B$2004,B1688,$D$5:$D$2004,D1688)&gt;1,"DUPLICATE",IF(ISNA(MATCH(D1688,Players!$B$5:$B$304,0)),"UID not found",IF(INDEX(Players!$H$5:$H$304,MATCH(D1688,Players!$B$5:$B$304,0))&lt;0,"LOW BALANCE","OK"))))</f>
        <v/>
      </c>
      <c r="G1688" s="1"/>
      <c r="H1688" s="1"/>
      <c r="I1688" s="1"/>
    </row>
    <row r="1689" customFormat="false" ht="21.75" hidden="false" customHeight="true" outlineLevel="0" collapsed="false">
      <c r="A1689" s="1"/>
      <c r="B1689" s="16"/>
      <c r="C1689" s="16"/>
      <c r="D1689" s="15"/>
      <c r="E1689" s="11" t="str">
        <f aca="false">IF(D1689="","",IFERROR(INDEX(Players!$C$5:$C$304,MATCH(D1689,Players!$B$5:$B$304,0)),""))</f>
        <v/>
      </c>
      <c r="F1689" s="22" t="str">
        <f aca="false">IF(D1689="","",IF(COUNTIFS($B$5:$B$2004,B1689,$D$5:$D$2004,D1689)&gt;1,"DUPLICATE",IF(ISNA(MATCH(D1689,Players!$B$5:$B$304,0)),"UID not found",IF(INDEX(Players!$H$5:$H$304,MATCH(D1689,Players!$B$5:$B$304,0))&lt;0,"LOW BALANCE","OK"))))</f>
        <v/>
      </c>
      <c r="G1689" s="1"/>
      <c r="H1689" s="1"/>
      <c r="I1689" s="1"/>
    </row>
    <row r="1690" customFormat="false" ht="21.75" hidden="false" customHeight="true" outlineLevel="0" collapsed="false">
      <c r="A1690" s="1"/>
      <c r="B1690" s="16"/>
      <c r="C1690" s="16"/>
      <c r="D1690" s="15"/>
      <c r="E1690" s="11" t="str">
        <f aca="false">IF(D1690="","",IFERROR(INDEX(Players!$C$5:$C$304,MATCH(D1690,Players!$B$5:$B$304,0)),""))</f>
        <v/>
      </c>
      <c r="F1690" s="22" t="str">
        <f aca="false">IF(D1690="","",IF(COUNTIFS($B$5:$B$2004,B1690,$D$5:$D$2004,D1690)&gt;1,"DUPLICATE",IF(ISNA(MATCH(D1690,Players!$B$5:$B$304,0)),"UID not found",IF(INDEX(Players!$H$5:$H$304,MATCH(D1690,Players!$B$5:$B$304,0))&lt;0,"LOW BALANCE","OK"))))</f>
        <v/>
      </c>
      <c r="G1690" s="1"/>
      <c r="H1690" s="1"/>
      <c r="I1690" s="1"/>
    </row>
    <row r="1691" customFormat="false" ht="21.75" hidden="false" customHeight="true" outlineLevel="0" collapsed="false">
      <c r="A1691" s="1"/>
      <c r="B1691" s="16"/>
      <c r="C1691" s="16"/>
      <c r="D1691" s="15"/>
      <c r="E1691" s="11" t="str">
        <f aca="false">IF(D1691="","",IFERROR(INDEX(Players!$C$5:$C$304,MATCH(D1691,Players!$B$5:$B$304,0)),""))</f>
        <v/>
      </c>
      <c r="F1691" s="22" t="str">
        <f aca="false">IF(D1691="","",IF(COUNTIFS($B$5:$B$2004,B1691,$D$5:$D$2004,D1691)&gt;1,"DUPLICATE",IF(ISNA(MATCH(D1691,Players!$B$5:$B$304,0)),"UID not found",IF(INDEX(Players!$H$5:$H$304,MATCH(D1691,Players!$B$5:$B$304,0))&lt;0,"LOW BALANCE","OK"))))</f>
        <v/>
      </c>
      <c r="G1691" s="1"/>
      <c r="H1691" s="1"/>
      <c r="I1691" s="1"/>
    </row>
    <row r="1692" customFormat="false" ht="21.75" hidden="false" customHeight="true" outlineLevel="0" collapsed="false">
      <c r="A1692" s="1"/>
      <c r="B1692" s="16"/>
      <c r="C1692" s="16"/>
      <c r="D1692" s="15"/>
      <c r="E1692" s="11" t="str">
        <f aca="false">IF(D1692="","",IFERROR(INDEX(Players!$C$5:$C$304,MATCH(D1692,Players!$B$5:$B$304,0)),""))</f>
        <v/>
      </c>
      <c r="F1692" s="22" t="str">
        <f aca="false">IF(D1692="","",IF(COUNTIFS($B$5:$B$2004,B1692,$D$5:$D$2004,D1692)&gt;1,"DUPLICATE",IF(ISNA(MATCH(D1692,Players!$B$5:$B$304,0)),"UID not found",IF(INDEX(Players!$H$5:$H$304,MATCH(D1692,Players!$B$5:$B$304,0))&lt;0,"LOW BALANCE","OK"))))</f>
        <v/>
      </c>
      <c r="G1692" s="1"/>
      <c r="H1692" s="1"/>
      <c r="I1692" s="1"/>
    </row>
    <row r="1693" customFormat="false" ht="21.75" hidden="false" customHeight="true" outlineLevel="0" collapsed="false">
      <c r="A1693" s="1"/>
      <c r="B1693" s="16"/>
      <c r="C1693" s="16"/>
      <c r="D1693" s="15"/>
      <c r="E1693" s="11" t="str">
        <f aca="false">IF(D1693="","",IFERROR(INDEX(Players!$C$5:$C$304,MATCH(D1693,Players!$B$5:$B$304,0)),""))</f>
        <v/>
      </c>
      <c r="F1693" s="22" t="str">
        <f aca="false">IF(D1693="","",IF(COUNTIFS($B$5:$B$2004,B1693,$D$5:$D$2004,D1693)&gt;1,"DUPLICATE",IF(ISNA(MATCH(D1693,Players!$B$5:$B$304,0)),"UID not found",IF(INDEX(Players!$H$5:$H$304,MATCH(D1693,Players!$B$5:$B$304,0))&lt;0,"LOW BALANCE","OK"))))</f>
        <v/>
      </c>
      <c r="G1693" s="1"/>
      <c r="H1693" s="1"/>
      <c r="I1693" s="1"/>
    </row>
    <row r="1694" customFormat="false" ht="21.75" hidden="false" customHeight="true" outlineLevel="0" collapsed="false">
      <c r="A1694" s="1"/>
      <c r="B1694" s="16"/>
      <c r="C1694" s="16"/>
      <c r="D1694" s="15"/>
      <c r="E1694" s="11" t="str">
        <f aca="false">IF(D1694="","",IFERROR(INDEX(Players!$C$5:$C$304,MATCH(D1694,Players!$B$5:$B$304,0)),""))</f>
        <v/>
      </c>
      <c r="F1694" s="22" t="str">
        <f aca="false">IF(D1694="","",IF(COUNTIFS($B$5:$B$2004,B1694,$D$5:$D$2004,D1694)&gt;1,"DUPLICATE",IF(ISNA(MATCH(D1694,Players!$B$5:$B$304,0)),"UID not found",IF(INDEX(Players!$H$5:$H$304,MATCH(D1694,Players!$B$5:$B$304,0))&lt;0,"LOW BALANCE","OK"))))</f>
        <v/>
      </c>
      <c r="G1694" s="1"/>
      <c r="H1694" s="1"/>
      <c r="I1694" s="1"/>
    </row>
    <row r="1695" customFormat="false" ht="21.75" hidden="false" customHeight="true" outlineLevel="0" collapsed="false">
      <c r="A1695" s="1"/>
      <c r="B1695" s="16"/>
      <c r="C1695" s="16"/>
      <c r="D1695" s="15"/>
      <c r="E1695" s="11" t="str">
        <f aca="false">IF(D1695="","",IFERROR(INDEX(Players!$C$5:$C$304,MATCH(D1695,Players!$B$5:$B$304,0)),""))</f>
        <v/>
      </c>
      <c r="F1695" s="22" t="str">
        <f aca="false">IF(D1695="","",IF(COUNTIFS($B$5:$B$2004,B1695,$D$5:$D$2004,D1695)&gt;1,"DUPLICATE",IF(ISNA(MATCH(D1695,Players!$B$5:$B$304,0)),"UID not found",IF(INDEX(Players!$H$5:$H$304,MATCH(D1695,Players!$B$5:$B$304,0))&lt;0,"LOW BALANCE","OK"))))</f>
        <v/>
      </c>
      <c r="G1695" s="1"/>
      <c r="H1695" s="1"/>
      <c r="I1695" s="1"/>
    </row>
    <row r="1696" customFormat="false" ht="21.75" hidden="false" customHeight="true" outlineLevel="0" collapsed="false">
      <c r="A1696" s="1"/>
      <c r="B1696" s="16"/>
      <c r="C1696" s="16"/>
      <c r="D1696" s="15"/>
      <c r="E1696" s="11" t="str">
        <f aca="false">IF(D1696="","",IFERROR(INDEX(Players!$C$5:$C$304,MATCH(D1696,Players!$B$5:$B$304,0)),""))</f>
        <v/>
      </c>
      <c r="F1696" s="22" t="str">
        <f aca="false">IF(D1696="","",IF(COUNTIFS($B$5:$B$2004,B1696,$D$5:$D$2004,D1696)&gt;1,"DUPLICATE",IF(ISNA(MATCH(D1696,Players!$B$5:$B$304,0)),"UID not found",IF(INDEX(Players!$H$5:$H$304,MATCH(D1696,Players!$B$5:$B$304,0))&lt;0,"LOW BALANCE","OK"))))</f>
        <v/>
      </c>
      <c r="G1696" s="1"/>
      <c r="H1696" s="1"/>
      <c r="I1696" s="1"/>
    </row>
    <row r="1697" customFormat="false" ht="21.75" hidden="false" customHeight="true" outlineLevel="0" collapsed="false">
      <c r="A1697" s="1"/>
      <c r="B1697" s="16"/>
      <c r="C1697" s="16"/>
      <c r="D1697" s="15"/>
      <c r="E1697" s="11" t="str">
        <f aca="false">IF(D1697="","",IFERROR(INDEX(Players!$C$5:$C$304,MATCH(D1697,Players!$B$5:$B$304,0)),""))</f>
        <v/>
      </c>
      <c r="F1697" s="22" t="str">
        <f aca="false">IF(D1697="","",IF(COUNTIFS($B$5:$B$2004,B1697,$D$5:$D$2004,D1697)&gt;1,"DUPLICATE",IF(ISNA(MATCH(D1697,Players!$B$5:$B$304,0)),"UID not found",IF(INDEX(Players!$H$5:$H$304,MATCH(D1697,Players!$B$5:$B$304,0))&lt;0,"LOW BALANCE","OK"))))</f>
        <v/>
      </c>
      <c r="G1697" s="1"/>
      <c r="H1697" s="1"/>
      <c r="I1697" s="1"/>
    </row>
    <row r="1698" customFormat="false" ht="21.75" hidden="false" customHeight="true" outlineLevel="0" collapsed="false">
      <c r="A1698" s="1"/>
      <c r="B1698" s="16"/>
      <c r="C1698" s="16"/>
      <c r="D1698" s="15"/>
      <c r="E1698" s="11" t="str">
        <f aca="false">IF(D1698="","",IFERROR(INDEX(Players!$C$5:$C$304,MATCH(D1698,Players!$B$5:$B$304,0)),""))</f>
        <v/>
      </c>
      <c r="F1698" s="22" t="str">
        <f aca="false">IF(D1698="","",IF(COUNTIFS($B$5:$B$2004,B1698,$D$5:$D$2004,D1698)&gt;1,"DUPLICATE",IF(ISNA(MATCH(D1698,Players!$B$5:$B$304,0)),"UID not found",IF(INDEX(Players!$H$5:$H$304,MATCH(D1698,Players!$B$5:$B$304,0))&lt;0,"LOW BALANCE","OK"))))</f>
        <v/>
      </c>
      <c r="G1698" s="1"/>
      <c r="H1698" s="1"/>
      <c r="I1698" s="1"/>
    </row>
    <row r="1699" customFormat="false" ht="21.75" hidden="false" customHeight="true" outlineLevel="0" collapsed="false">
      <c r="A1699" s="1"/>
      <c r="B1699" s="16"/>
      <c r="C1699" s="16"/>
      <c r="D1699" s="15"/>
      <c r="E1699" s="11" t="str">
        <f aca="false">IF(D1699="","",IFERROR(INDEX(Players!$C$5:$C$304,MATCH(D1699,Players!$B$5:$B$304,0)),""))</f>
        <v/>
      </c>
      <c r="F1699" s="22" t="str">
        <f aca="false">IF(D1699="","",IF(COUNTIFS($B$5:$B$2004,B1699,$D$5:$D$2004,D1699)&gt;1,"DUPLICATE",IF(ISNA(MATCH(D1699,Players!$B$5:$B$304,0)),"UID not found",IF(INDEX(Players!$H$5:$H$304,MATCH(D1699,Players!$B$5:$B$304,0))&lt;0,"LOW BALANCE","OK"))))</f>
        <v/>
      </c>
      <c r="G1699" s="1"/>
      <c r="H1699" s="1"/>
      <c r="I1699" s="1"/>
    </row>
    <row r="1700" customFormat="false" ht="21.75" hidden="false" customHeight="true" outlineLevel="0" collapsed="false">
      <c r="A1700" s="1"/>
      <c r="B1700" s="16"/>
      <c r="C1700" s="16"/>
      <c r="D1700" s="15"/>
      <c r="E1700" s="11" t="str">
        <f aca="false">IF(D1700="","",IFERROR(INDEX(Players!$C$5:$C$304,MATCH(D1700,Players!$B$5:$B$304,0)),""))</f>
        <v/>
      </c>
      <c r="F1700" s="22" t="str">
        <f aca="false">IF(D1700="","",IF(COUNTIFS($B$5:$B$2004,B1700,$D$5:$D$2004,D1700)&gt;1,"DUPLICATE",IF(ISNA(MATCH(D1700,Players!$B$5:$B$304,0)),"UID not found",IF(INDEX(Players!$H$5:$H$304,MATCH(D1700,Players!$B$5:$B$304,0))&lt;0,"LOW BALANCE","OK"))))</f>
        <v/>
      </c>
      <c r="G1700" s="1"/>
      <c r="H1700" s="1"/>
      <c r="I1700" s="1"/>
    </row>
    <row r="1701" customFormat="false" ht="21.75" hidden="false" customHeight="true" outlineLevel="0" collapsed="false">
      <c r="A1701" s="1"/>
      <c r="B1701" s="16"/>
      <c r="C1701" s="16"/>
      <c r="D1701" s="15"/>
      <c r="E1701" s="11" t="str">
        <f aca="false">IF(D1701="","",IFERROR(INDEX(Players!$C$5:$C$304,MATCH(D1701,Players!$B$5:$B$304,0)),""))</f>
        <v/>
      </c>
      <c r="F1701" s="22" t="str">
        <f aca="false">IF(D1701="","",IF(COUNTIFS($B$5:$B$2004,B1701,$D$5:$D$2004,D1701)&gt;1,"DUPLICATE",IF(ISNA(MATCH(D1701,Players!$B$5:$B$304,0)),"UID not found",IF(INDEX(Players!$H$5:$H$304,MATCH(D1701,Players!$B$5:$B$304,0))&lt;0,"LOW BALANCE","OK"))))</f>
        <v/>
      </c>
      <c r="G1701" s="1"/>
      <c r="H1701" s="1"/>
      <c r="I1701" s="1"/>
    </row>
    <row r="1702" customFormat="false" ht="21.75" hidden="false" customHeight="true" outlineLevel="0" collapsed="false">
      <c r="A1702" s="1"/>
      <c r="B1702" s="16"/>
      <c r="C1702" s="16"/>
      <c r="D1702" s="15"/>
      <c r="E1702" s="11" t="str">
        <f aca="false">IF(D1702="","",IFERROR(INDEX(Players!$C$5:$C$304,MATCH(D1702,Players!$B$5:$B$304,0)),""))</f>
        <v/>
      </c>
      <c r="F1702" s="22" t="str">
        <f aca="false">IF(D1702="","",IF(COUNTIFS($B$5:$B$2004,B1702,$D$5:$D$2004,D1702)&gt;1,"DUPLICATE",IF(ISNA(MATCH(D1702,Players!$B$5:$B$304,0)),"UID not found",IF(INDEX(Players!$H$5:$H$304,MATCH(D1702,Players!$B$5:$B$304,0))&lt;0,"LOW BALANCE","OK"))))</f>
        <v/>
      </c>
      <c r="G1702" s="1"/>
      <c r="H1702" s="1"/>
      <c r="I1702" s="1"/>
    </row>
    <row r="1703" customFormat="false" ht="21.75" hidden="false" customHeight="true" outlineLevel="0" collapsed="false">
      <c r="A1703" s="1"/>
      <c r="B1703" s="16"/>
      <c r="C1703" s="16"/>
      <c r="D1703" s="15"/>
      <c r="E1703" s="11" t="str">
        <f aca="false">IF(D1703="","",IFERROR(INDEX(Players!$C$5:$C$304,MATCH(D1703,Players!$B$5:$B$304,0)),""))</f>
        <v/>
      </c>
      <c r="F1703" s="22" t="str">
        <f aca="false">IF(D1703="","",IF(COUNTIFS($B$5:$B$2004,B1703,$D$5:$D$2004,D1703)&gt;1,"DUPLICATE",IF(ISNA(MATCH(D1703,Players!$B$5:$B$304,0)),"UID not found",IF(INDEX(Players!$H$5:$H$304,MATCH(D1703,Players!$B$5:$B$304,0))&lt;0,"LOW BALANCE","OK"))))</f>
        <v/>
      </c>
      <c r="G1703" s="1"/>
      <c r="H1703" s="1"/>
      <c r="I1703" s="1"/>
    </row>
    <row r="1704" customFormat="false" ht="21.75" hidden="false" customHeight="true" outlineLevel="0" collapsed="false">
      <c r="A1704" s="1"/>
      <c r="B1704" s="16"/>
      <c r="C1704" s="16"/>
      <c r="D1704" s="15"/>
      <c r="E1704" s="11" t="str">
        <f aca="false">IF(D1704="","",IFERROR(INDEX(Players!$C$5:$C$304,MATCH(D1704,Players!$B$5:$B$304,0)),""))</f>
        <v/>
      </c>
      <c r="F1704" s="22" t="str">
        <f aca="false">IF(D1704="","",IF(COUNTIFS($B$5:$B$2004,B1704,$D$5:$D$2004,D1704)&gt;1,"DUPLICATE",IF(ISNA(MATCH(D1704,Players!$B$5:$B$304,0)),"UID not found",IF(INDEX(Players!$H$5:$H$304,MATCH(D1704,Players!$B$5:$B$304,0))&lt;0,"LOW BALANCE","OK"))))</f>
        <v/>
      </c>
      <c r="G1704" s="1"/>
      <c r="H1704" s="1"/>
      <c r="I1704" s="1"/>
    </row>
    <row r="1705" customFormat="false" ht="21.75" hidden="false" customHeight="true" outlineLevel="0" collapsed="false">
      <c r="A1705" s="1"/>
      <c r="B1705" s="16"/>
      <c r="C1705" s="16"/>
      <c r="D1705" s="15"/>
      <c r="E1705" s="11" t="str">
        <f aca="false">IF(D1705="","",IFERROR(INDEX(Players!$C$5:$C$304,MATCH(D1705,Players!$B$5:$B$304,0)),""))</f>
        <v/>
      </c>
      <c r="F1705" s="22" t="str">
        <f aca="false">IF(D1705="","",IF(COUNTIFS($B$5:$B$2004,B1705,$D$5:$D$2004,D1705)&gt;1,"DUPLICATE",IF(ISNA(MATCH(D1705,Players!$B$5:$B$304,0)),"UID not found",IF(INDEX(Players!$H$5:$H$304,MATCH(D1705,Players!$B$5:$B$304,0))&lt;0,"LOW BALANCE","OK"))))</f>
        <v/>
      </c>
      <c r="G1705" s="1"/>
      <c r="H1705" s="1"/>
      <c r="I1705" s="1"/>
    </row>
    <row r="1706" customFormat="false" ht="21.75" hidden="false" customHeight="true" outlineLevel="0" collapsed="false">
      <c r="A1706" s="1"/>
      <c r="B1706" s="16"/>
      <c r="C1706" s="16"/>
      <c r="D1706" s="15"/>
      <c r="E1706" s="11" t="str">
        <f aca="false">IF(D1706="","",IFERROR(INDEX(Players!$C$5:$C$304,MATCH(D1706,Players!$B$5:$B$304,0)),""))</f>
        <v/>
      </c>
      <c r="F1706" s="22" t="str">
        <f aca="false">IF(D1706="","",IF(COUNTIFS($B$5:$B$2004,B1706,$D$5:$D$2004,D1706)&gt;1,"DUPLICATE",IF(ISNA(MATCH(D1706,Players!$B$5:$B$304,0)),"UID not found",IF(INDEX(Players!$H$5:$H$304,MATCH(D1706,Players!$B$5:$B$304,0))&lt;0,"LOW BALANCE","OK"))))</f>
        <v/>
      </c>
      <c r="G1706" s="1"/>
      <c r="H1706" s="1"/>
      <c r="I1706" s="1"/>
    </row>
    <row r="1707" customFormat="false" ht="21.75" hidden="false" customHeight="true" outlineLevel="0" collapsed="false">
      <c r="A1707" s="1"/>
      <c r="B1707" s="16"/>
      <c r="C1707" s="16"/>
      <c r="D1707" s="15"/>
      <c r="E1707" s="11" t="str">
        <f aca="false">IF(D1707="","",IFERROR(INDEX(Players!$C$5:$C$304,MATCH(D1707,Players!$B$5:$B$304,0)),""))</f>
        <v/>
      </c>
      <c r="F1707" s="22" t="str">
        <f aca="false">IF(D1707="","",IF(COUNTIFS($B$5:$B$2004,B1707,$D$5:$D$2004,D1707)&gt;1,"DUPLICATE",IF(ISNA(MATCH(D1707,Players!$B$5:$B$304,0)),"UID not found",IF(INDEX(Players!$H$5:$H$304,MATCH(D1707,Players!$B$5:$B$304,0))&lt;0,"LOW BALANCE","OK"))))</f>
        <v/>
      </c>
      <c r="G1707" s="1"/>
      <c r="H1707" s="1"/>
      <c r="I1707" s="1"/>
    </row>
    <row r="1708" customFormat="false" ht="21.75" hidden="false" customHeight="true" outlineLevel="0" collapsed="false">
      <c r="A1708" s="1"/>
      <c r="B1708" s="16"/>
      <c r="C1708" s="16"/>
      <c r="D1708" s="15"/>
      <c r="E1708" s="11" t="str">
        <f aca="false">IF(D1708="","",IFERROR(INDEX(Players!$C$5:$C$304,MATCH(D1708,Players!$B$5:$B$304,0)),""))</f>
        <v/>
      </c>
      <c r="F1708" s="22" t="str">
        <f aca="false">IF(D1708="","",IF(COUNTIFS($B$5:$B$2004,B1708,$D$5:$D$2004,D1708)&gt;1,"DUPLICATE",IF(ISNA(MATCH(D1708,Players!$B$5:$B$304,0)),"UID not found",IF(INDEX(Players!$H$5:$H$304,MATCH(D1708,Players!$B$5:$B$304,0))&lt;0,"LOW BALANCE","OK"))))</f>
        <v/>
      </c>
      <c r="G1708" s="1"/>
      <c r="H1708" s="1"/>
      <c r="I1708" s="1"/>
    </row>
    <row r="1709" customFormat="false" ht="21.75" hidden="false" customHeight="true" outlineLevel="0" collapsed="false">
      <c r="A1709" s="1"/>
      <c r="B1709" s="16"/>
      <c r="C1709" s="16"/>
      <c r="D1709" s="15"/>
      <c r="E1709" s="11" t="str">
        <f aca="false">IF(D1709="","",IFERROR(INDEX(Players!$C$5:$C$304,MATCH(D1709,Players!$B$5:$B$304,0)),""))</f>
        <v/>
      </c>
      <c r="F1709" s="22" t="str">
        <f aca="false">IF(D1709="","",IF(COUNTIFS($B$5:$B$2004,B1709,$D$5:$D$2004,D1709)&gt;1,"DUPLICATE",IF(ISNA(MATCH(D1709,Players!$B$5:$B$304,0)),"UID not found",IF(INDEX(Players!$H$5:$H$304,MATCH(D1709,Players!$B$5:$B$304,0))&lt;0,"LOW BALANCE","OK"))))</f>
        <v/>
      </c>
      <c r="G1709" s="1"/>
      <c r="H1709" s="1"/>
      <c r="I1709" s="1"/>
    </row>
    <row r="1710" customFormat="false" ht="21.75" hidden="false" customHeight="true" outlineLevel="0" collapsed="false">
      <c r="A1710" s="1"/>
      <c r="B1710" s="16"/>
      <c r="C1710" s="16"/>
      <c r="D1710" s="15"/>
      <c r="E1710" s="11" t="str">
        <f aca="false">IF(D1710="","",IFERROR(INDEX(Players!$C$5:$C$304,MATCH(D1710,Players!$B$5:$B$304,0)),""))</f>
        <v/>
      </c>
      <c r="F1710" s="22" t="str">
        <f aca="false">IF(D1710="","",IF(COUNTIFS($B$5:$B$2004,B1710,$D$5:$D$2004,D1710)&gt;1,"DUPLICATE",IF(ISNA(MATCH(D1710,Players!$B$5:$B$304,0)),"UID not found",IF(INDEX(Players!$H$5:$H$304,MATCH(D1710,Players!$B$5:$B$304,0))&lt;0,"LOW BALANCE","OK"))))</f>
        <v/>
      </c>
      <c r="G1710" s="1"/>
      <c r="H1710" s="1"/>
      <c r="I1710" s="1"/>
    </row>
    <row r="1711" customFormat="false" ht="21.75" hidden="false" customHeight="true" outlineLevel="0" collapsed="false">
      <c r="A1711" s="1"/>
      <c r="B1711" s="16"/>
      <c r="C1711" s="16"/>
      <c r="D1711" s="15"/>
      <c r="E1711" s="11" t="str">
        <f aca="false">IF(D1711="","",IFERROR(INDEX(Players!$C$5:$C$304,MATCH(D1711,Players!$B$5:$B$304,0)),""))</f>
        <v/>
      </c>
      <c r="F1711" s="22" t="str">
        <f aca="false">IF(D1711="","",IF(COUNTIFS($B$5:$B$2004,B1711,$D$5:$D$2004,D1711)&gt;1,"DUPLICATE",IF(ISNA(MATCH(D1711,Players!$B$5:$B$304,0)),"UID not found",IF(INDEX(Players!$H$5:$H$304,MATCH(D1711,Players!$B$5:$B$304,0))&lt;0,"LOW BALANCE","OK"))))</f>
        <v/>
      </c>
      <c r="G1711" s="1"/>
      <c r="H1711" s="1"/>
      <c r="I1711" s="1"/>
    </row>
    <row r="1712" customFormat="false" ht="21.75" hidden="false" customHeight="true" outlineLevel="0" collapsed="false">
      <c r="A1712" s="1"/>
      <c r="B1712" s="16"/>
      <c r="C1712" s="16"/>
      <c r="D1712" s="15"/>
      <c r="E1712" s="11" t="str">
        <f aca="false">IF(D1712="","",IFERROR(INDEX(Players!$C$5:$C$304,MATCH(D1712,Players!$B$5:$B$304,0)),""))</f>
        <v/>
      </c>
      <c r="F1712" s="22" t="str">
        <f aca="false">IF(D1712="","",IF(COUNTIFS($B$5:$B$2004,B1712,$D$5:$D$2004,D1712)&gt;1,"DUPLICATE",IF(ISNA(MATCH(D1712,Players!$B$5:$B$304,0)),"UID not found",IF(INDEX(Players!$H$5:$H$304,MATCH(D1712,Players!$B$5:$B$304,0))&lt;0,"LOW BALANCE","OK"))))</f>
        <v/>
      </c>
      <c r="G1712" s="1"/>
      <c r="H1712" s="1"/>
      <c r="I1712" s="1"/>
    </row>
    <row r="1713" customFormat="false" ht="21.75" hidden="false" customHeight="true" outlineLevel="0" collapsed="false">
      <c r="A1713" s="1"/>
      <c r="B1713" s="16"/>
      <c r="C1713" s="16"/>
      <c r="D1713" s="15"/>
      <c r="E1713" s="11" t="str">
        <f aca="false">IF(D1713="","",IFERROR(INDEX(Players!$C$5:$C$304,MATCH(D1713,Players!$B$5:$B$304,0)),""))</f>
        <v/>
      </c>
      <c r="F1713" s="22" t="str">
        <f aca="false">IF(D1713="","",IF(COUNTIFS($B$5:$B$2004,B1713,$D$5:$D$2004,D1713)&gt;1,"DUPLICATE",IF(ISNA(MATCH(D1713,Players!$B$5:$B$304,0)),"UID not found",IF(INDEX(Players!$H$5:$H$304,MATCH(D1713,Players!$B$5:$B$304,0))&lt;0,"LOW BALANCE","OK"))))</f>
        <v/>
      </c>
      <c r="G1713" s="1"/>
      <c r="H1713" s="1"/>
      <c r="I1713" s="1"/>
    </row>
    <row r="1714" customFormat="false" ht="21.75" hidden="false" customHeight="true" outlineLevel="0" collapsed="false">
      <c r="A1714" s="1"/>
      <c r="B1714" s="16"/>
      <c r="C1714" s="16"/>
      <c r="D1714" s="15"/>
      <c r="E1714" s="11" t="str">
        <f aca="false">IF(D1714="","",IFERROR(INDEX(Players!$C$5:$C$304,MATCH(D1714,Players!$B$5:$B$304,0)),""))</f>
        <v/>
      </c>
      <c r="F1714" s="22" t="str">
        <f aca="false">IF(D1714="","",IF(COUNTIFS($B$5:$B$2004,B1714,$D$5:$D$2004,D1714)&gt;1,"DUPLICATE",IF(ISNA(MATCH(D1714,Players!$B$5:$B$304,0)),"UID not found",IF(INDEX(Players!$H$5:$H$304,MATCH(D1714,Players!$B$5:$B$304,0))&lt;0,"LOW BALANCE","OK"))))</f>
        <v/>
      </c>
      <c r="G1714" s="1"/>
      <c r="H1714" s="1"/>
      <c r="I1714" s="1"/>
    </row>
    <row r="1715" customFormat="false" ht="21.75" hidden="false" customHeight="true" outlineLevel="0" collapsed="false">
      <c r="A1715" s="1"/>
      <c r="B1715" s="16"/>
      <c r="C1715" s="16"/>
      <c r="D1715" s="15"/>
      <c r="E1715" s="11" t="str">
        <f aca="false">IF(D1715="","",IFERROR(INDEX(Players!$C$5:$C$304,MATCH(D1715,Players!$B$5:$B$304,0)),""))</f>
        <v/>
      </c>
      <c r="F1715" s="22" t="str">
        <f aca="false">IF(D1715="","",IF(COUNTIFS($B$5:$B$2004,B1715,$D$5:$D$2004,D1715)&gt;1,"DUPLICATE",IF(ISNA(MATCH(D1715,Players!$B$5:$B$304,0)),"UID not found",IF(INDEX(Players!$H$5:$H$304,MATCH(D1715,Players!$B$5:$B$304,0))&lt;0,"LOW BALANCE","OK"))))</f>
        <v/>
      </c>
      <c r="G1715" s="1"/>
      <c r="H1715" s="1"/>
      <c r="I1715" s="1"/>
    </row>
    <row r="1716" customFormat="false" ht="21.75" hidden="false" customHeight="true" outlineLevel="0" collapsed="false">
      <c r="A1716" s="1"/>
      <c r="B1716" s="16"/>
      <c r="C1716" s="16"/>
      <c r="D1716" s="15"/>
      <c r="E1716" s="11" t="str">
        <f aca="false">IF(D1716="","",IFERROR(INDEX(Players!$C$5:$C$304,MATCH(D1716,Players!$B$5:$B$304,0)),""))</f>
        <v/>
      </c>
      <c r="F1716" s="22" t="str">
        <f aca="false">IF(D1716="","",IF(COUNTIFS($B$5:$B$2004,B1716,$D$5:$D$2004,D1716)&gt;1,"DUPLICATE",IF(ISNA(MATCH(D1716,Players!$B$5:$B$304,0)),"UID not found",IF(INDEX(Players!$H$5:$H$304,MATCH(D1716,Players!$B$5:$B$304,0))&lt;0,"LOW BALANCE","OK"))))</f>
        <v/>
      </c>
      <c r="G1716" s="1"/>
      <c r="H1716" s="1"/>
      <c r="I1716" s="1"/>
    </row>
    <row r="1717" customFormat="false" ht="21.75" hidden="false" customHeight="true" outlineLevel="0" collapsed="false">
      <c r="A1717" s="1"/>
      <c r="B1717" s="16"/>
      <c r="C1717" s="16"/>
      <c r="D1717" s="15"/>
      <c r="E1717" s="11" t="str">
        <f aca="false">IF(D1717="","",IFERROR(INDEX(Players!$C$5:$C$304,MATCH(D1717,Players!$B$5:$B$304,0)),""))</f>
        <v/>
      </c>
      <c r="F1717" s="22" t="str">
        <f aca="false">IF(D1717="","",IF(COUNTIFS($B$5:$B$2004,B1717,$D$5:$D$2004,D1717)&gt;1,"DUPLICATE",IF(ISNA(MATCH(D1717,Players!$B$5:$B$304,0)),"UID not found",IF(INDEX(Players!$H$5:$H$304,MATCH(D1717,Players!$B$5:$B$304,0))&lt;0,"LOW BALANCE","OK"))))</f>
        <v/>
      </c>
      <c r="G1717" s="1"/>
      <c r="H1717" s="1"/>
      <c r="I1717" s="1"/>
    </row>
    <row r="1718" customFormat="false" ht="21.75" hidden="false" customHeight="true" outlineLevel="0" collapsed="false">
      <c r="A1718" s="1"/>
      <c r="B1718" s="16"/>
      <c r="C1718" s="16"/>
      <c r="D1718" s="15"/>
      <c r="E1718" s="11" t="str">
        <f aca="false">IF(D1718="","",IFERROR(INDEX(Players!$C$5:$C$304,MATCH(D1718,Players!$B$5:$B$304,0)),""))</f>
        <v/>
      </c>
      <c r="F1718" s="22" t="str">
        <f aca="false">IF(D1718="","",IF(COUNTIFS($B$5:$B$2004,B1718,$D$5:$D$2004,D1718)&gt;1,"DUPLICATE",IF(ISNA(MATCH(D1718,Players!$B$5:$B$304,0)),"UID not found",IF(INDEX(Players!$H$5:$H$304,MATCH(D1718,Players!$B$5:$B$304,0))&lt;0,"LOW BALANCE","OK"))))</f>
        <v/>
      </c>
      <c r="G1718" s="1"/>
      <c r="H1718" s="1"/>
      <c r="I1718" s="1"/>
    </row>
    <row r="1719" customFormat="false" ht="21.75" hidden="false" customHeight="true" outlineLevel="0" collapsed="false">
      <c r="A1719" s="1"/>
      <c r="B1719" s="16"/>
      <c r="C1719" s="16"/>
      <c r="D1719" s="15"/>
      <c r="E1719" s="11" t="str">
        <f aca="false">IF(D1719="","",IFERROR(INDEX(Players!$C$5:$C$304,MATCH(D1719,Players!$B$5:$B$304,0)),""))</f>
        <v/>
      </c>
      <c r="F1719" s="22" t="str">
        <f aca="false">IF(D1719="","",IF(COUNTIFS($B$5:$B$2004,B1719,$D$5:$D$2004,D1719)&gt;1,"DUPLICATE",IF(ISNA(MATCH(D1719,Players!$B$5:$B$304,0)),"UID not found",IF(INDEX(Players!$H$5:$H$304,MATCH(D1719,Players!$B$5:$B$304,0))&lt;0,"LOW BALANCE","OK"))))</f>
        <v/>
      </c>
      <c r="G1719" s="1"/>
      <c r="H1719" s="1"/>
      <c r="I1719" s="1"/>
    </row>
    <row r="1720" customFormat="false" ht="21.75" hidden="false" customHeight="true" outlineLevel="0" collapsed="false">
      <c r="A1720" s="1"/>
      <c r="B1720" s="16"/>
      <c r="C1720" s="16"/>
      <c r="D1720" s="15"/>
      <c r="E1720" s="11" t="str">
        <f aca="false">IF(D1720="","",IFERROR(INDEX(Players!$C$5:$C$304,MATCH(D1720,Players!$B$5:$B$304,0)),""))</f>
        <v/>
      </c>
      <c r="F1720" s="22" t="str">
        <f aca="false">IF(D1720="","",IF(COUNTIFS($B$5:$B$2004,B1720,$D$5:$D$2004,D1720)&gt;1,"DUPLICATE",IF(ISNA(MATCH(D1720,Players!$B$5:$B$304,0)),"UID not found",IF(INDEX(Players!$H$5:$H$304,MATCH(D1720,Players!$B$5:$B$304,0))&lt;0,"LOW BALANCE","OK"))))</f>
        <v/>
      </c>
      <c r="G1720" s="1"/>
      <c r="H1720" s="1"/>
      <c r="I1720" s="1"/>
    </row>
    <row r="1721" customFormat="false" ht="21.75" hidden="false" customHeight="true" outlineLevel="0" collapsed="false">
      <c r="A1721" s="1"/>
      <c r="B1721" s="16"/>
      <c r="C1721" s="16"/>
      <c r="D1721" s="15"/>
      <c r="E1721" s="11" t="str">
        <f aca="false">IF(D1721="","",IFERROR(INDEX(Players!$C$5:$C$304,MATCH(D1721,Players!$B$5:$B$304,0)),""))</f>
        <v/>
      </c>
      <c r="F1721" s="22" t="str">
        <f aca="false">IF(D1721="","",IF(COUNTIFS($B$5:$B$2004,B1721,$D$5:$D$2004,D1721)&gt;1,"DUPLICATE",IF(ISNA(MATCH(D1721,Players!$B$5:$B$304,0)),"UID not found",IF(INDEX(Players!$H$5:$H$304,MATCH(D1721,Players!$B$5:$B$304,0))&lt;0,"LOW BALANCE","OK"))))</f>
        <v/>
      </c>
      <c r="G1721" s="1"/>
      <c r="H1721" s="1"/>
      <c r="I1721" s="1"/>
    </row>
    <row r="1722" customFormat="false" ht="21.75" hidden="false" customHeight="true" outlineLevel="0" collapsed="false">
      <c r="A1722" s="1"/>
      <c r="B1722" s="16"/>
      <c r="C1722" s="16"/>
      <c r="D1722" s="15"/>
      <c r="E1722" s="11" t="str">
        <f aca="false">IF(D1722="","",IFERROR(INDEX(Players!$C$5:$C$304,MATCH(D1722,Players!$B$5:$B$304,0)),""))</f>
        <v/>
      </c>
      <c r="F1722" s="22" t="str">
        <f aca="false">IF(D1722="","",IF(COUNTIFS($B$5:$B$2004,B1722,$D$5:$D$2004,D1722)&gt;1,"DUPLICATE",IF(ISNA(MATCH(D1722,Players!$B$5:$B$304,0)),"UID not found",IF(INDEX(Players!$H$5:$H$304,MATCH(D1722,Players!$B$5:$B$304,0))&lt;0,"LOW BALANCE","OK"))))</f>
        <v/>
      </c>
      <c r="G1722" s="1"/>
      <c r="H1722" s="1"/>
      <c r="I1722" s="1"/>
    </row>
    <row r="1723" customFormat="false" ht="21.75" hidden="false" customHeight="true" outlineLevel="0" collapsed="false">
      <c r="A1723" s="1"/>
      <c r="B1723" s="16"/>
      <c r="C1723" s="16"/>
      <c r="D1723" s="15"/>
      <c r="E1723" s="11" t="str">
        <f aca="false">IF(D1723="","",IFERROR(INDEX(Players!$C$5:$C$304,MATCH(D1723,Players!$B$5:$B$304,0)),""))</f>
        <v/>
      </c>
      <c r="F1723" s="22" t="str">
        <f aca="false">IF(D1723="","",IF(COUNTIFS($B$5:$B$2004,B1723,$D$5:$D$2004,D1723)&gt;1,"DUPLICATE",IF(ISNA(MATCH(D1723,Players!$B$5:$B$304,0)),"UID not found",IF(INDEX(Players!$H$5:$H$304,MATCH(D1723,Players!$B$5:$B$304,0))&lt;0,"LOW BALANCE","OK"))))</f>
        <v/>
      </c>
      <c r="G1723" s="1"/>
      <c r="H1723" s="1"/>
      <c r="I1723" s="1"/>
    </row>
    <row r="1724" customFormat="false" ht="21.75" hidden="false" customHeight="true" outlineLevel="0" collapsed="false">
      <c r="A1724" s="1"/>
      <c r="B1724" s="16"/>
      <c r="C1724" s="16"/>
      <c r="D1724" s="15"/>
      <c r="E1724" s="11" t="str">
        <f aca="false">IF(D1724="","",IFERROR(INDEX(Players!$C$5:$C$304,MATCH(D1724,Players!$B$5:$B$304,0)),""))</f>
        <v/>
      </c>
      <c r="F1724" s="22" t="str">
        <f aca="false">IF(D1724="","",IF(COUNTIFS($B$5:$B$2004,B1724,$D$5:$D$2004,D1724)&gt;1,"DUPLICATE",IF(ISNA(MATCH(D1724,Players!$B$5:$B$304,0)),"UID not found",IF(INDEX(Players!$H$5:$H$304,MATCH(D1724,Players!$B$5:$B$304,0))&lt;0,"LOW BALANCE","OK"))))</f>
        <v/>
      </c>
      <c r="G1724" s="1"/>
      <c r="H1724" s="1"/>
      <c r="I1724" s="1"/>
    </row>
    <row r="1725" customFormat="false" ht="21.75" hidden="false" customHeight="true" outlineLevel="0" collapsed="false">
      <c r="A1725" s="1"/>
      <c r="B1725" s="16"/>
      <c r="C1725" s="16"/>
      <c r="D1725" s="15"/>
      <c r="E1725" s="11" t="str">
        <f aca="false">IF(D1725="","",IFERROR(INDEX(Players!$C$5:$C$304,MATCH(D1725,Players!$B$5:$B$304,0)),""))</f>
        <v/>
      </c>
      <c r="F1725" s="22" t="str">
        <f aca="false">IF(D1725="","",IF(COUNTIFS($B$5:$B$2004,B1725,$D$5:$D$2004,D1725)&gt;1,"DUPLICATE",IF(ISNA(MATCH(D1725,Players!$B$5:$B$304,0)),"UID not found",IF(INDEX(Players!$H$5:$H$304,MATCH(D1725,Players!$B$5:$B$304,0))&lt;0,"LOW BALANCE","OK"))))</f>
        <v/>
      </c>
      <c r="G1725" s="1"/>
      <c r="H1725" s="1"/>
      <c r="I1725" s="1"/>
    </row>
    <row r="1726" customFormat="false" ht="21.75" hidden="false" customHeight="true" outlineLevel="0" collapsed="false">
      <c r="A1726" s="1"/>
      <c r="B1726" s="16"/>
      <c r="C1726" s="16"/>
      <c r="D1726" s="15"/>
      <c r="E1726" s="11" t="str">
        <f aca="false">IF(D1726="","",IFERROR(INDEX(Players!$C$5:$C$304,MATCH(D1726,Players!$B$5:$B$304,0)),""))</f>
        <v/>
      </c>
      <c r="F1726" s="22" t="str">
        <f aca="false">IF(D1726="","",IF(COUNTIFS($B$5:$B$2004,B1726,$D$5:$D$2004,D1726)&gt;1,"DUPLICATE",IF(ISNA(MATCH(D1726,Players!$B$5:$B$304,0)),"UID not found",IF(INDEX(Players!$H$5:$H$304,MATCH(D1726,Players!$B$5:$B$304,0))&lt;0,"LOW BALANCE","OK"))))</f>
        <v/>
      </c>
      <c r="G1726" s="1"/>
      <c r="H1726" s="1"/>
      <c r="I1726" s="1"/>
    </row>
    <row r="1727" customFormat="false" ht="21.75" hidden="false" customHeight="true" outlineLevel="0" collapsed="false">
      <c r="A1727" s="1"/>
      <c r="B1727" s="16"/>
      <c r="C1727" s="16"/>
      <c r="D1727" s="15"/>
      <c r="E1727" s="11" t="str">
        <f aca="false">IF(D1727="","",IFERROR(INDEX(Players!$C$5:$C$304,MATCH(D1727,Players!$B$5:$B$304,0)),""))</f>
        <v/>
      </c>
      <c r="F1727" s="22" t="str">
        <f aca="false">IF(D1727="","",IF(COUNTIFS($B$5:$B$2004,B1727,$D$5:$D$2004,D1727)&gt;1,"DUPLICATE",IF(ISNA(MATCH(D1727,Players!$B$5:$B$304,0)),"UID not found",IF(INDEX(Players!$H$5:$H$304,MATCH(D1727,Players!$B$5:$B$304,0))&lt;0,"LOW BALANCE","OK"))))</f>
        <v/>
      </c>
      <c r="G1727" s="1"/>
      <c r="H1727" s="1"/>
      <c r="I1727" s="1"/>
    </row>
    <row r="1728" customFormat="false" ht="21.75" hidden="false" customHeight="true" outlineLevel="0" collapsed="false">
      <c r="A1728" s="1"/>
      <c r="B1728" s="16"/>
      <c r="C1728" s="16"/>
      <c r="D1728" s="15"/>
      <c r="E1728" s="11" t="str">
        <f aca="false">IF(D1728="","",IFERROR(INDEX(Players!$C$5:$C$304,MATCH(D1728,Players!$B$5:$B$304,0)),""))</f>
        <v/>
      </c>
      <c r="F1728" s="22" t="str">
        <f aca="false">IF(D1728="","",IF(COUNTIFS($B$5:$B$2004,B1728,$D$5:$D$2004,D1728)&gt;1,"DUPLICATE",IF(ISNA(MATCH(D1728,Players!$B$5:$B$304,0)),"UID not found",IF(INDEX(Players!$H$5:$H$304,MATCH(D1728,Players!$B$5:$B$304,0))&lt;0,"LOW BALANCE","OK"))))</f>
        <v/>
      </c>
      <c r="G1728" s="1"/>
      <c r="H1728" s="1"/>
      <c r="I1728" s="1"/>
    </row>
    <row r="1729" customFormat="false" ht="21.75" hidden="false" customHeight="true" outlineLevel="0" collapsed="false">
      <c r="A1729" s="1"/>
      <c r="B1729" s="16"/>
      <c r="C1729" s="16"/>
      <c r="D1729" s="15"/>
      <c r="E1729" s="11" t="str">
        <f aca="false">IF(D1729="","",IFERROR(INDEX(Players!$C$5:$C$304,MATCH(D1729,Players!$B$5:$B$304,0)),""))</f>
        <v/>
      </c>
      <c r="F1729" s="22" t="str">
        <f aca="false">IF(D1729="","",IF(COUNTIFS($B$5:$B$2004,B1729,$D$5:$D$2004,D1729)&gt;1,"DUPLICATE",IF(ISNA(MATCH(D1729,Players!$B$5:$B$304,0)),"UID not found",IF(INDEX(Players!$H$5:$H$304,MATCH(D1729,Players!$B$5:$B$304,0))&lt;0,"LOW BALANCE","OK"))))</f>
        <v/>
      </c>
      <c r="G1729" s="1"/>
      <c r="H1729" s="1"/>
      <c r="I1729" s="1"/>
    </row>
    <row r="1730" customFormat="false" ht="21.75" hidden="false" customHeight="true" outlineLevel="0" collapsed="false">
      <c r="A1730" s="1"/>
      <c r="B1730" s="16"/>
      <c r="C1730" s="16"/>
      <c r="D1730" s="15"/>
      <c r="E1730" s="11" t="str">
        <f aca="false">IF(D1730="","",IFERROR(INDEX(Players!$C$5:$C$304,MATCH(D1730,Players!$B$5:$B$304,0)),""))</f>
        <v/>
      </c>
      <c r="F1730" s="22" t="str">
        <f aca="false">IF(D1730="","",IF(COUNTIFS($B$5:$B$2004,B1730,$D$5:$D$2004,D1730)&gt;1,"DUPLICATE",IF(ISNA(MATCH(D1730,Players!$B$5:$B$304,0)),"UID not found",IF(INDEX(Players!$H$5:$H$304,MATCH(D1730,Players!$B$5:$B$304,0))&lt;0,"LOW BALANCE","OK"))))</f>
        <v/>
      </c>
      <c r="G1730" s="1"/>
      <c r="H1730" s="1"/>
      <c r="I1730" s="1"/>
    </row>
    <row r="1731" customFormat="false" ht="21.75" hidden="false" customHeight="true" outlineLevel="0" collapsed="false">
      <c r="A1731" s="1"/>
      <c r="B1731" s="16"/>
      <c r="C1731" s="16"/>
      <c r="D1731" s="15"/>
      <c r="E1731" s="11" t="str">
        <f aca="false">IF(D1731="","",IFERROR(INDEX(Players!$C$5:$C$304,MATCH(D1731,Players!$B$5:$B$304,0)),""))</f>
        <v/>
      </c>
      <c r="F1731" s="22" t="str">
        <f aca="false">IF(D1731="","",IF(COUNTIFS($B$5:$B$2004,B1731,$D$5:$D$2004,D1731)&gt;1,"DUPLICATE",IF(ISNA(MATCH(D1731,Players!$B$5:$B$304,0)),"UID not found",IF(INDEX(Players!$H$5:$H$304,MATCH(D1731,Players!$B$5:$B$304,0))&lt;0,"LOW BALANCE","OK"))))</f>
        <v/>
      </c>
      <c r="G1731" s="1"/>
      <c r="H1731" s="1"/>
      <c r="I1731" s="1"/>
    </row>
    <row r="1732" customFormat="false" ht="21.75" hidden="false" customHeight="true" outlineLevel="0" collapsed="false">
      <c r="A1732" s="1"/>
      <c r="B1732" s="16"/>
      <c r="C1732" s="16"/>
      <c r="D1732" s="15"/>
      <c r="E1732" s="11" t="str">
        <f aca="false">IF(D1732="","",IFERROR(INDEX(Players!$C$5:$C$304,MATCH(D1732,Players!$B$5:$B$304,0)),""))</f>
        <v/>
      </c>
      <c r="F1732" s="22" t="str">
        <f aca="false">IF(D1732="","",IF(COUNTIFS($B$5:$B$2004,B1732,$D$5:$D$2004,D1732)&gt;1,"DUPLICATE",IF(ISNA(MATCH(D1732,Players!$B$5:$B$304,0)),"UID not found",IF(INDEX(Players!$H$5:$H$304,MATCH(D1732,Players!$B$5:$B$304,0))&lt;0,"LOW BALANCE","OK"))))</f>
        <v/>
      </c>
      <c r="G1732" s="1"/>
      <c r="H1732" s="1"/>
      <c r="I1732" s="1"/>
    </row>
    <row r="1733" customFormat="false" ht="21.75" hidden="false" customHeight="true" outlineLevel="0" collapsed="false">
      <c r="A1733" s="1"/>
      <c r="B1733" s="16"/>
      <c r="C1733" s="16"/>
      <c r="D1733" s="15"/>
      <c r="E1733" s="11" t="str">
        <f aca="false">IF(D1733="","",IFERROR(INDEX(Players!$C$5:$C$304,MATCH(D1733,Players!$B$5:$B$304,0)),""))</f>
        <v/>
      </c>
      <c r="F1733" s="22" t="str">
        <f aca="false">IF(D1733="","",IF(COUNTIFS($B$5:$B$2004,B1733,$D$5:$D$2004,D1733)&gt;1,"DUPLICATE",IF(ISNA(MATCH(D1733,Players!$B$5:$B$304,0)),"UID not found",IF(INDEX(Players!$H$5:$H$304,MATCH(D1733,Players!$B$5:$B$304,0))&lt;0,"LOW BALANCE","OK"))))</f>
        <v/>
      </c>
      <c r="G1733" s="1"/>
      <c r="H1733" s="1"/>
      <c r="I1733" s="1"/>
    </row>
    <row r="1734" customFormat="false" ht="21.75" hidden="false" customHeight="true" outlineLevel="0" collapsed="false">
      <c r="A1734" s="1"/>
      <c r="B1734" s="16"/>
      <c r="C1734" s="16"/>
      <c r="D1734" s="15"/>
      <c r="E1734" s="11" t="str">
        <f aca="false">IF(D1734="","",IFERROR(INDEX(Players!$C$5:$C$304,MATCH(D1734,Players!$B$5:$B$304,0)),""))</f>
        <v/>
      </c>
      <c r="F1734" s="22" t="str">
        <f aca="false">IF(D1734="","",IF(COUNTIFS($B$5:$B$2004,B1734,$D$5:$D$2004,D1734)&gt;1,"DUPLICATE",IF(ISNA(MATCH(D1734,Players!$B$5:$B$304,0)),"UID not found",IF(INDEX(Players!$H$5:$H$304,MATCH(D1734,Players!$B$5:$B$304,0))&lt;0,"LOW BALANCE","OK"))))</f>
        <v/>
      </c>
      <c r="G1734" s="1"/>
      <c r="H1734" s="1"/>
      <c r="I1734" s="1"/>
    </row>
    <row r="1735" customFormat="false" ht="21.75" hidden="false" customHeight="true" outlineLevel="0" collapsed="false">
      <c r="A1735" s="1"/>
      <c r="B1735" s="16"/>
      <c r="C1735" s="16"/>
      <c r="D1735" s="15"/>
      <c r="E1735" s="11" t="str">
        <f aca="false">IF(D1735="","",IFERROR(INDEX(Players!$C$5:$C$304,MATCH(D1735,Players!$B$5:$B$304,0)),""))</f>
        <v/>
      </c>
      <c r="F1735" s="22" t="str">
        <f aca="false">IF(D1735="","",IF(COUNTIFS($B$5:$B$2004,B1735,$D$5:$D$2004,D1735)&gt;1,"DUPLICATE",IF(ISNA(MATCH(D1735,Players!$B$5:$B$304,0)),"UID not found",IF(INDEX(Players!$H$5:$H$304,MATCH(D1735,Players!$B$5:$B$304,0))&lt;0,"LOW BALANCE","OK"))))</f>
        <v/>
      </c>
      <c r="G1735" s="1"/>
      <c r="H1735" s="1"/>
      <c r="I1735" s="1"/>
    </row>
    <row r="1736" customFormat="false" ht="21.75" hidden="false" customHeight="true" outlineLevel="0" collapsed="false">
      <c r="A1736" s="1"/>
      <c r="B1736" s="16"/>
      <c r="C1736" s="16"/>
      <c r="D1736" s="15"/>
      <c r="E1736" s="11" t="str">
        <f aca="false">IF(D1736="","",IFERROR(INDEX(Players!$C$5:$C$304,MATCH(D1736,Players!$B$5:$B$304,0)),""))</f>
        <v/>
      </c>
      <c r="F1736" s="22" t="str">
        <f aca="false">IF(D1736="","",IF(COUNTIFS($B$5:$B$2004,B1736,$D$5:$D$2004,D1736)&gt;1,"DUPLICATE",IF(ISNA(MATCH(D1736,Players!$B$5:$B$304,0)),"UID not found",IF(INDEX(Players!$H$5:$H$304,MATCH(D1736,Players!$B$5:$B$304,0))&lt;0,"LOW BALANCE","OK"))))</f>
        <v/>
      </c>
      <c r="G1736" s="1"/>
      <c r="H1736" s="1"/>
      <c r="I1736" s="1"/>
    </row>
    <row r="1737" customFormat="false" ht="21.75" hidden="false" customHeight="true" outlineLevel="0" collapsed="false">
      <c r="A1737" s="1"/>
      <c r="B1737" s="16"/>
      <c r="C1737" s="16"/>
      <c r="D1737" s="15"/>
      <c r="E1737" s="11" t="str">
        <f aca="false">IF(D1737="","",IFERROR(INDEX(Players!$C$5:$C$304,MATCH(D1737,Players!$B$5:$B$304,0)),""))</f>
        <v/>
      </c>
      <c r="F1737" s="22" t="str">
        <f aca="false">IF(D1737="","",IF(COUNTIFS($B$5:$B$2004,B1737,$D$5:$D$2004,D1737)&gt;1,"DUPLICATE",IF(ISNA(MATCH(D1737,Players!$B$5:$B$304,0)),"UID not found",IF(INDEX(Players!$H$5:$H$304,MATCH(D1737,Players!$B$5:$B$304,0))&lt;0,"LOW BALANCE","OK"))))</f>
        <v/>
      </c>
      <c r="G1737" s="1"/>
      <c r="H1737" s="1"/>
      <c r="I1737" s="1"/>
    </row>
    <row r="1738" customFormat="false" ht="21.75" hidden="false" customHeight="true" outlineLevel="0" collapsed="false">
      <c r="A1738" s="1"/>
      <c r="B1738" s="16"/>
      <c r="C1738" s="16"/>
      <c r="D1738" s="15"/>
      <c r="E1738" s="11" t="str">
        <f aca="false">IF(D1738="","",IFERROR(INDEX(Players!$C$5:$C$304,MATCH(D1738,Players!$B$5:$B$304,0)),""))</f>
        <v/>
      </c>
      <c r="F1738" s="22" t="str">
        <f aca="false">IF(D1738="","",IF(COUNTIFS($B$5:$B$2004,B1738,$D$5:$D$2004,D1738)&gt;1,"DUPLICATE",IF(ISNA(MATCH(D1738,Players!$B$5:$B$304,0)),"UID not found",IF(INDEX(Players!$H$5:$H$304,MATCH(D1738,Players!$B$5:$B$304,0))&lt;0,"LOW BALANCE","OK"))))</f>
        <v/>
      </c>
      <c r="G1738" s="1"/>
      <c r="H1738" s="1"/>
      <c r="I1738" s="1"/>
    </row>
    <row r="1739" customFormat="false" ht="21.75" hidden="false" customHeight="true" outlineLevel="0" collapsed="false">
      <c r="A1739" s="1"/>
      <c r="B1739" s="16"/>
      <c r="C1739" s="16"/>
      <c r="D1739" s="15"/>
      <c r="E1739" s="11" t="str">
        <f aca="false">IF(D1739="","",IFERROR(INDEX(Players!$C$5:$C$304,MATCH(D1739,Players!$B$5:$B$304,0)),""))</f>
        <v/>
      </c>
      <c r="F1739" s="22" t="str">
        <f aca="false">IF(D1739="","",IF(COUNTIFS($B$5:$B$2004,B1739,$D$5:$D$2004,D1739)&gt;1,"DUPLICATE",IF(ISNA(MATCH(D1739,Players!$B$5:$B$304,0)),"UID not found",IF(INDEX(Players!$H$5:$H$304,MATCH(D1739,Players!$B$5:$B$304,0))&lt;0,"LOW BALANCE","OK"))))</f>
        <v/>
      </c>
      <c r="G1739" s="1"/>
      <c r="H1739" s="1"/>
      <c r="I1739" s="1"/>
    </row>
    <row r="1740" customFormat="false" ht="21.75" hidden="false" customHeight="true" outlineLevel="0" collapsed="false">
      <c r="A1740" s="1"/>
      <c r="B1740" s="16"/>
      <c r="C1740" s="16"/>
      <c r="D1740" s="15"/>
      <c r="E1740" s="11" t="str">
        <f aca="false">IF(D1740="","",IFERROR(INDEX(Players!$C$5:$C$304,MATCH(D1740,Players!$B$5:$B$304,0)),""))</f>
        <v/>
      </c>
      <c r="F1740" s="22" t="str">
        <f aca="false">IF(D1740="","",IF(COUNTIFS($B$5:$B$2004,B1740,$D$5:$D$2004,D1740)&gt;1,"DUPLICATE",IF(ISNA(MATCH(D1740,Players!$B$5:$B$304,0)),"UID not found",IF(INDEX(Players!$H$5:$H$304,MATCH(D1740,Players!$B$5:$B$304,0))&lt;0,"LOW BALANCE","OK"))))</f>
        <v/>
      </c>
      <c r="G1740" s="1"/>
      <c r="H1740" s="1"/>
      <c r="I1740" s="1"/>
    </row>
    <row r="1741" customFormat="false" ht="21.75" hidden="false" customHeight="true" outlineLevel="0" collapsed="false">
      <c r="A1741" s="1"/>
      <c r="B1741" s="16"/>
      <c r="C1741" s="16"/>
      <c r="D1741" s="15"/>
      <c r="E1741" s="11" t="str">
        <f aca="false">IF(D1741="","",IFERROR(INDEX(Players!$C$5:$C$304,MATCH(D1741,Players!$B$5:$B$304,0)),""))</f>
        <v/>
      </c>
      <c r="F1741" s="22" t="str">
        <f aca="false">IF(D1741="","",IF(COUNTIFS($B$5:$B$2004,B1741,$D$5:$D$2004,D1741)&gt;1,"DUPLICATE",IF(ISNA(MATCH(D1741,Players!$B$5:$B$304,0)),"UID not found",IF(INDEX(Players!$H$5:$H$304,MATCH(D1741,Players!$B$5:$B$304,0))&lt;0,"LOW BALANCE","OK"))))</f>
        <v/>
      </c>
      <c r="G1741" s="1"/>
      <c r="H1741" s="1"/>
      <c r="I1741" s="1"/>
    </row>
    <row r="1742" customFormat="false" ht="21.75" hidden="false" customHeight="true" outlineLevel="0" collapsed="false">
      <c r="A1742" s="1"/>
      <c r="B1742" s="16"/>
      <c r="C1742" s="16"/>
      <c r="D1742" s="15"/>
      <c r="E1742" s="11" t="str">
        <f aca="false">IF(D1742="","",IFERROR(INDEX(Players!$C$5:$C$304,MATCH(D1742,Players!$B$5:$B$304,0)),""))</f>
        <v/>
      </c>
      <c r="F1742" s="22" t="str">
        <f aca="false">IF(D1742="","",IF(COUNTIFS($B$5:$B$2004,B1742,$D$5:$D$2004,D1742)&gt;1,"DUPLICATE",IF(ISNA(MATCH(D1742,Players!$B$5:$B$304,0)),"UID not found",IF(INDEX(Players!$H$5:$H$304,MATCH(D1742,Players!$B$5:$B$304,0))&lt;0,"LOW BALANCE","OK"))))</f>
        <v/>
      </c>
      <c r="G1742" s="1"/>
      <c r="H1742" s="1"/>
      <c r="I1742" s="1"/>
    </row>
    <row r="1743" customFormat="false" ht="21.75" hidden="false" customHeight="true" outlineLevel="0" collapsed="false">
      <c r="A1743" s="1"/>
      <c r="B1743" s="16"/>
      <c r="C1743" s="16"/>
      <c r="D1743" s="15"/>
      <c r="E1743" s="11" t="str">
        <f aca="false">IF(D1743="","",IFERROR(INDEX(Players!$C$5:$C$304,MATCH(D1743,Players!$B$5:$B$304,0)),""))</f>
        <v/>
      </c>
      <c r="F1743" s="22" t="str">
        <f aca="false">IF(D1743="","",IF(COUNTIFS($B$5:$B$2004,B1743,$D$5:$D$2004,D1743)&gt;1,"DUPLICATE",IF(ISNA(MATCH(D1743,Players!$B$5:$B$304,0)),"UID not found",IF(INDEX(Players!$H$5:$H$304,MATCH(D1743,Players!$B$5:$B$304,0))&lt;0,"LOW BALANCE","OK"))))</f>
        <v/>
      </c>
      <c r="G1743" s="1"/>
      <c r="H1743" s="1"/>
      <c r="I1743" s="1"/>
    </row>
    <row r="1744" customFormat="false" ht="21.75" hidden="false" customHeight="true" outlineLevel="0" collapsed="false">
      <c r="A1744" s="1"/>
      <c r="B1744" s="16"/>
      <c r="C1744" s="16"/>
      <c r="D1744" s="15"/>
      <c r="E1744" s="11" t="str">
        <f aca="false">IF(D1744="","",IFERROR(INDEX(Players!$C$5:$C$304,MATCH(D1744,Players!$B$5:$B$304,0)),""))</f>
        <v/>
      </c>
      <c r="F1744" s="22" t="str">
        <f aca="false">IF(D1744="","",IF(COUNTIFS($B$5:$B$2004,B1744,$D$5:$D$2004,D1744)&gt;1,"DUPLICATE",IF(ISNA(MATCH(D1744,Players!$B$5:$B$304,0)),"UID not found",IF(INDEX(Players!$H$5:$H$304,MATCH(D1744,Players!$B$5:$B$304,0))&lt;0,"LOW BALANCE","OK"))))</f>
        <v/>
      </c>
      <c r="G1744" s="1"/>
      <c r="H1744" s="1"/>
      <c r="I1744" s="1"/>
    </row>
    <row r="1745" customFormat="false" ht="21.75" hidden="false" customHeight="true" outlineLevel="0" collapsed="false">
      <c r="A1745" s="1"/>
      <c r="B1745" s="16"/>
      <c r="C1745" s="16"/>
      <c r="D1745" s="15"/>
      <c r="E1745" s="11" t="str">
        <f aca="false">IF(D1745="","",IFERROR(INDEX(Players!$C$5:$C$304,MATCH(D1745,Players!$B$5:$B$304,0)),""))</f>
        <v/>
      </c>
      <c r="F1745" s="22" t="str">
        <f aca="false">IF(D1745="","",IF(COUNTIFS($B$5:$B$2004,B1745,$D$5:$D$2004,D1745)&gt;1,"DUPLICATE",IF(ISNA(MATCH(D1745,Players!$B$5:$B$304,0)),"UID not found",IF(INDEX(Players!$H$5:$H$304,MATCH(D1745,Players!$B$5:$B$304,0))&lt;0,"LOW BALANCE","OK"))))</f>
        <v/>
      </c>
      <c r="G1745" s="1"/>
      <c r="H1745" s="1"/>
      <c r="I1745" s="1"/>
    </row>
    <row r="1746" customFormat="false" ht="21.75" hidden="false" customHeight="true" outlineLevel="0" collapsed="false">
      <c r="A1746" s="1"/>
      <c r="B1746" s="16"/>
      <c r="C1746" s="16"/>
      <c r="D1746" s="15"/>
      <c r="E1746" s="11" t="str">
        <f aca="false">IF(D1746="","",IFERROR(INDEX(Players!$C$5:$C$304,MATCH(D1746,Players!$B$5:$B$304,0)),""))</f>
        <v/>
      </c>
      <c r="F1746" s="22" t="str">
        <f aca="false">IF(D1746="","",IF(COUNTIFS($B$5:$B$2004,B1746,$D$5:$D$2004,D1746)&gt;1,"DUPLICATE",IF(ISNA(MATCH(D1746,Players!$B$5:$B$304,0)),"UID not found",IF(INDEX(Players!$H$5:$H$304,MATCH(D1746,Players!$B$5:$B$304,0))&lt;0,"LOW BALANCE","OK"))))</f>
        <v/>
      </c>
      <c r="G1746" s="1"/>
      <c r="H1746" s="1"/>
      <c r="I1746" s="1"/>
    </row>
    <row r="1747" customFormat="false" ht="21.75" hidden="false" customHeight="true" outlineLevel="0" collapsed="false">
      <c r="A1747" s="1"/>
      <c r="B1747" s="16"/>
      <c r="C1747" s="16"/>
      <c r="D1747" s="15"/>
      <c r="E1747" s="11" t="str">
        <f aca="false">IF(D1747="","",IFERROR(INDEX(Players!$C$5:$C$304,MATCH(D1747,Players!$B$5:$B$304,0)),""))</f>
        <v/>
      </c>
      <c r="F1747" s="22" t="str">
        <f aca="false">IF(D1747="","",IF(COUNTIFS($B$5:$B$2004,B1747,$D$5:$D$2004,D1747)&gt;1,"DUPLICATE",IF(ISNA(MATCH(D1747,Players!$B$5:$B$304,0)),"UID not found",IF(INDEX(Players!$H$5:$H$304,MATCH(D1747,Players!$B$5:$B$304,0))&lt;0,"LOW BALANCE","OK"))))</f>
        <v/>
      </c>
      <c r="G1747" s="1"/>
      <c r="H1747" s="1"/>
      <c r="I1747" s="1"/>
    </row>
    <row r="1748" customFormat="false" ht="21.75" hidden="false" customHeight="true" outlineLevel="0" collapsed="false">
      <c r="A1748" s="1"/>
      <c r="B1748" s="16"/>
      <c r="C1748" s="16"/>
      <c r="D1748" s="15"/>
      <c r="E1748" s="11" t="str">
        <f aca="false">IF(D1748="","",IFERROR(INDEX(Players!$C$5:$C$304,MATCH(D1748,Players!$B$5:$B$304,0)),""))</f>
        <v/>
      </c>
      <c r="F1748" s="22" t="str">
        <f aca="false">IF(D1748="","",IF(COUNTIFS($B$5:$B$2004,B1748,$D$5:$D$2004,D1748)&gt;1,"DUPLICATE",IF(ISNA(MATCH(D1748,Players!$B$5:$B$304,0)),"UID not found",IF(INDEX(Players!$H$5:$H$304,MATCH(D1748,Players!$B$5:$B$304,0))&lt;0,"LOW BALANCE","OK"))))</f>
        <v/>
      </c>
      <c r="G1748" s="1"/>
      <c r="H1748" s="1"/>
      <c r="I1748" s="1"/>
    </row>
    <row r="1749" customFormat="false" ht="21.75" hidden="false" customHeight="true" outlineLevel="0" collapsed="false">
      <c r="A1749" s="1"/>
      <c r="B1749" s="16"/>
      <c r="C1749" s="16"/>
      <c r="D1749" s="15"/>
      <c r="E1749" s="11" t="str">
        <f aca="false">IF(D1749="","",IFERROR(INDEX(Players!$C$5:$C$304,MATCH(D1749,Players!$B$5:$B$304,0)),""))</f>
        <v/>
      </c>
      <c r="F1749" s="22" t="str">
        <f aca="false">IF(D1749="","",IF(COUNTIFS($B$5:$B$2004,B1749,$D$5:$D$2004,D1749)&gt;1,"DUPLICATE",IF(ISNA(MATCH(D1749,Players!$B$5:$B$304,0)),"UID not found",IF(INDEX(Players!$H$5:$H$304,MATCH(D1749,Players!$B$5:$B$304,0))&lt;0,"LOW BALANCE","OK"))))</f>
        <v/>
      </c>
      <c r="G1749" s="1"/>
      <c r="H1749" s="1"/>
      <c r="I1749" s="1"/>
    </row>
    <row r="1750" customFormat="false" ht="21.75" hidden="false" customHeight="true" outlineLevel="0" collapsed="false">
      <c r="A1750" s="1"/>
      <c r="B1750" s="16"/>
      <c r="C1750" s="16"/>
      <c r="D1750" s="15"/>
      <c r="E1750" s="11" t="str">
        <f aca="false">IF(D1750="","",IFERROR(INDEX(Players!$C$5:$C$304,MATCH(D1750,Players!$B$5:$B$304,0)),""))</f>
        <v/>
      </c>
      <c r="F1750" s="22" t="str">
        <f aca="false">IF(D1750="","",IF(COUNTIFS($B$5:$B$2004,B1750,$D$5:$D$2004,D1750)&gt;1,"DUPLICATE",IF(ISNA(MATCH(D1750,Players!$B$5:$B$304,0)),"UID not found",IF(INDEX(Players!$H$5:$H$304,MATCH(D1750,Players!$B$5:$B$304,0))&lt;0,"LOW BALANCE","OK"))))</f>
        <v/>
      </c>
      <c r="G1750" s="1"/>
      <c r="H1750" s="1"/>
      <c r="I1750" s="1"/>
    </row>
    <row r="1751" customFormat="false" ht="21.75" hidden="false" customHeight="true" outlineLevel="0" collapsed="false">
      <c r="A1751" s="1"/>
      <c r="B1751" s="16"/>
      <c r="C1751" s="16"/>
      <c r="D1751" s="15"/>
      <c r="E1751" s="11" t="str">
        <f aca="false">IF(D1751="","",IFERROR(INDEX(Players!$C$5:$C$304,MATCH(D1751,Players!$B$5:$B$304,0)),""))</f>
        <v/>
      </c>
      <c r="F1751" s="22" t="str">
        <f aca="false">IF(D1751="","",IF(COUNTIFS($B$5:$B$2004,B1751,$D$5:$D$2004,D1751)&gt;1,"DUPLICATE",IF(ISNA(MATCH(D1751,Players!$B$5:$B$304,0)),"UID not found",IF(INDEX(Players!$H$5:$H$304,MATCH(D1751,Players!$B$5:$B$304,0))&lt;0,"LOW BALANCE","OK"))))</f>
        <v/>
      </c>
      <c r="G1751" s="1"/>
      <c r="H1751" s="1"/>
      <c r="I1751" s="1"/>
    </row>
    <row r="1752" customFormat="false" ht="21.75" hidden="false" customHeight="true" outlineLevel="0" collapsed="false">
      <c r="A1752" s="1"/>
      <c r="B1752" s="16"/>
      <c r="C1752" s="16"/>
      <c r="D1752" s="15"/>
      <c r="E1752" s="11" t="str">
        <f aca="false">IF(D1752="","",IFERROR(INDEX(Players!$C$5:$C$304,MATCH(D1752,Players!$B$5:$B$304,0)),""))</f>
        <v/>
      </c>
      <c r="F1752" s="22" t="str">
        <f aca="false">IF(D1752="","",IF(COUNTIFS($B$5:$B$2004,B1752,$D$5:$D$2004,D1752)&gt;1,"DUPLICATE",IF(ISNA(MATCH(D1752,Players!$B$5:$B$304,0)),"UID not found",IF(INDEX(Players!$H$5:$H$304,MATCH(D1752,Players!$B$5:$B$304,0))&lt;0,"LOW BALANCE","OK"))))</f>
        <v/>
      </c>
      <c r="G1752" s="1"/>
      <c r="H1752" s="1"/>
      <c r="I1752" s="1"/>
    </row>
    <row r="1753" customFormat="false" ht="21.75" hidden="false" customHeight="true" outlineLevel="0" collapsed="false">
      <c r="A1753" s="1"/>
      <c r="B1753" s="16"/>
      <c r="C1753" s="16"/>
      <c r="D1753" s="15"/>
      <c r="E1753" s="11" t="str">
        <f aca="false">IF(D1753="","",IFERROR(INDEX(Players!$C$5:$C$304,MATCH(D1753,Players!$B$5:$B$304,0)),""))</f>
        <v/>
      </c>
      <c r="F1753" s="22" t="str">
        <f aca="false">IF(D1753="","",IF(COUNTIFS($B$5:$B$2004,B1753,$D$5:$D$2004,D1753)&gt;1,"DUPLICATE",IF(ISNA(MATCH(D1753,Players!$B$5:$B$304,0)),"UID not found",IF(INDEX(Players!$H$5:$H$304,MATCH(D1753,Players!$B$5:$B$304,0))&lt;0,"LOW BALANCE","OK"))))</f>
        <v/>
      </c>
      <c r="G1753" s="1"/>
      <c r="H1753" s="1"/>
      <c r="I1753" s="1"/>
    </row>
    <row r="1754" customFormat="false" ht="21.75" hidden="false" customHeight="true" outlineLevel="0" collapsed="false">
      <c r="A1754" s="1"/>
      <c r="B1754" s="16"/>
      <c r="C1754" s="16"/>
      <c r="D1754" s="15"/>
      <c r="E1754" s="11" t="str">
        <f aca="false">IF(D1754="","",IFERROR(INDEX(Players!$C$5:$C$304,MATCH(D1754,Players!$B$5:$B$304,0)),""))</f>
        <v/>
      </c>
      <c r="F1754" s="22" t="str">
        <f aca="false">IF(D1754="","",IF(COUNTIFS($B$5:$B$2004,B1754,$D$5:$D$2004,D1754)&gt;1,"DUPLICATE",IF(ISNA(MATCH(D1754,Players!$B$5:$B$304,0)),"UID not found",IF(INDEX(Players!$H$5:$H$304,MATCH(D1754,Players!$B$5:$B$304,0))&lt;0,"LOW BALANCE","OK"))))</f>
        <v/>
      </c>
      <c r="G1754" s="1"/>
      <c r="H1754" s="1"/>
      <c r="I1754" s="1"/>
    </row>
    <row r="1755" customFormat="false" ht="21.75" hidden="false" customHeight="true" outlineLevel="0" collapsed="false">
      <c r="A1755" s="1"/>
      <c r="B1755" s="16"/>
      <c r="C1755" s="16"/>
      <c r="D1755" s="15"/>
      <c r="E1755" s="11" t="str">
        <f aca="false">IF(D1755="","",IFERROR(INDEX(Players!$C$5:$C$304,MATCH(D1755,Players!$B$5:$B$304,0)),""))</f>
        <v/>
      </c>
      <c r="F1755" s="22" t="str">
        <f aca="false">IF(D1755="","",IF(COUNTIFS($B$5:$B$2004,B1755,$D$5:$D$2004,D1755)&gt;1,"DUPLICATE",IF(ISNA(MATCH(D1755,Players!$B$5:$B$304,0)),"UID not found",IF(INDEX(Players!$H$5:$H$304,MATCH(D1755,Players!$B$5:$B$304,0))&lt;0,"LOW BALANCE","OK"))))</f>
        <v/>
      </c>
      <c r="G1755" s="1"/>
      <c r="H1755" s="1"/>
      <c r="I1755" s="1"/>
    </row>
    <row r="1756" customFormat="false" ht="21.75" hidden="false" customHeight="true" outlineLevel="0" collapsed="false">
      <c r="A1756" s="1"/>
      <c r="B1756" s="16"/>
      <c r="C1756" s="16"/>
      <c r="D1756" s="15"/>
      <c r="E1756" s="11" t="str">
        <f aca="false">IF(D1756="","",IFERROR(INDEX(Players!$C$5:$C$304,MATCH(D1756,Players!$B$5:$B$304,0)),""))</f>
        <v/>
      </c>
      <c r="F1756" s="22" t="str">
        <f aca="false">IF(D1756="","",IF(COUNTIFS($B$5:$B$2004,B1756,$D$5:$D$2004,D1756)&gt;1,"DUPLICATE",IF(ISNA(MATCH(D1756,Players!$B$5:$B$304,0)),"UID not found",IF(INDEX(Players!$H$5:$H$304,MATCH(D1756,Players!$B$5:$B$304,0))&lt;0,"LOW BALANCE","OK"))))</f>
        <v/>
      </c>
      <c r="G1756" s="1"/>
      <c r="H1756" s="1"/>
      <c r="I1756" s="1"/>
    </row>
    <row r="1757" customFormat="false" ht="21.75" hidden="false" customHeight="true" outlineLevel="0" collapsed="false">
      <c r="A1757" s="1"/>
      <c r="B1757" s="16"/>
      <c r="C1757" s="16"/>
      <c r="D1757" s="15"/>
      <c r="E1757" s="11" t="str">
        <f aca="false">IF(D1757="","",IFERROR(INDEX(Players!$C$5:$C$304,MATCH(D1757,Players!$B$5:$B$304,0)),""))</f>
        <v/>
      </c>
      <c r="F1757" s="22" t="str">
        <f aca="false">IF(D1757="","",IF(COUNTIFS($B$5:$B$2004,B1757,$D$5:$D$2004,D1757)&gt;1,"DUPLICATE",IF(ISNA(MATCH(D1757,Players!$B$5:$B$304,0)),"UID not found",IF(INDEX(Players!$H$5:$H$304,MATCH(D1757,Players!$B$5:$B$304,0))&lt;0,"LOW BALANCE","OK"))))</f>
        <v/>
      </c>
      <c r="G1757" s="1"/>
      <c r="H1757" s="1"/>
      <c r="I1757" s="1"/>
    </row>
    <row r="1758" customFormat="false" ht="21.75" hidden="false" customHeight="true" outlineLevel="0" collapsed="false">
      <c r="A1758" s="1"/>
      <c r="B1758" s="16"/>
      <c r="C1758" s="16"/>
      <c r="D1758" s="15"/>
      <c r="E1758" s="11" t="str">
        <f aca="false">IF(D1758="","",IFERROR(INDEX(Players!$C$5:$C$304,MATCH(D1758,Players!$B$5:$B$304,0)),""))</f>
        <v/>
      </c>
      <c r="F1758" s="22" t="str">
        <f aca="false">IF(D1758="","",IF(COUNTIFS($B$5:$B$2004,B1758,$D$5:$D$2004,D1758)&gt;1,"DUPLICATE",IF(ISNA(MATCH(D1758,Players!$B$5:$B$304,0)),"UID not found",IF(INDEX(Players!$H$5:$H$304,MATCH(D1758,Players!$B$5:$B$304,0))&lt;0,"LOW BALANCE","OK"))))</f>
        <v/>
      </c>
      <c r="G1758" s="1"/>
      <c r="H1758" s="1"/>
      <c r="I1758" s="1"/>
    </row>
    <row r="1759" customFormat="false" ht="21.75" hidden="false" customHeight="true" outlineLevel="0" collapsed="false">
      <c r="A1759" s="1"/>
      <c r="B1759" s="16"/>
      <c r="C1759" s="16"/>
      <c r="D1759" s="15"/>
      <c r="E1759" s="11" t="str">
        <f aca="false">IF(D1759="","",IFERROR(INDEX(Players!$C$5:$C$304,MATCH(D1759,Players!$B$5:$B$304,0)),""))</f>
        <v/>
      </c>
      <c r="F1759" s="22" t="str">
        <f aca="false">IF(D1759="","",IF(COUNTIFS($B$5:$B$2004,B1759,$D$5:$D$2004,D1759)&gt;1,"DUPLICATE",IF(ISNA(MATCH(D1759,Players!$B$5:$B$304,0)),"UID not found",IF(INDEX(Players!$H$5:$H$304,MATCH(D1759,Players!$B$5:$B$304,0))&lt;0,"LOW BALANCE","OK"))))</f>
        <v/>
      </c>
      <c r="G1759" s="1"/>
      <c r="H1759" s="1"/>
      <c r="I1759" s="1"/>
    </row>
    <row r="1760" customFormat="false" ht="21.75" hidden="false" customHeight="true" outlineLevel="0" collapsed="false">
      <c r="A1760" s="1"/>
      <c r="B1760" s="16"/>
      <c r="C1760" s="16"/>
      <c r="D1760" s="15"/>
      <c r="E1760" s="11" t="str">
        <f aca="false">IF(D1760="","",IFERROR(INDEX(Players!$C$5:$C$304,MATCH(D1760,Players!$B$5:$B$304,0)),""))</f>
        <v/>
      </c>
      <c r="F1760" s="22" t="str">
        <f aca="false">IF(D1760="","",IF(COUNTIFS($B$5:$B$2004,B1760,$D$5:$D$2004,D1760)&gt;1,"DUPLICATE",IF(ISNA(MATCH(D1760,Players!$B$5:$B$304,0)),"UID not found",IF(INDEX(Players!$H$5:$H$304,MATCH(D1760,Players!$B$5:$B$304,0))&lt;0,"LOW BALANCE","OK"))))</f>
        <v/>
      </c>
      <c r="G1760" s="1"/>
      <c r="H1760" s="1"/>
      <c r="I1760" s="1"/>
    </row>
    <row r="1761" customFormat="false" ht="21.75" hidden="false" customHeight="true" outlineLevel="0" collapsed="false">
      <c r="A1761" s="1"/>
      <c r="B1761" s="16"/>
      <c r="C1761" s="16"/>
      <c r="D1761" s="15"/>
      <c r="E1761" s="11" t="str">
        <f aca="false">IF(D1761="","",IFERROR(INDEX(Players!$C$5:$C$304,MATCH(D1761,Players!$B$5:$B$304,0)),""))</f>
        <v/>
      </c>
      <c r="F1761" s="22" t="str">
        <f aca="false">IF(D1761="","",IF(COUNTIFS($B$5:$B$2004,B1761,$D$5:$D$2004,D1761)&gt;1,"DUPLICATE",IF(ISNA(MATCH(D1761,Players!$B$5:$B$304,0)),"UID not found",IF(INDEX(Players!$H$5:$H$304,MATCH(D1761,Players!$B$5:$B$304,0))&lt;0,"LOW BALANCE","OK"))))</f>
        <v/>
      </c>
      <c r="G1761" s="1"/>
      <c r="H1761" s="1"/>
      <c r="I1761" s="1"/>
    </row>
    <row r="1762" customFormat="false" ht="21.75" hidden="false" customHeight="true" outlineLevel="0" collapsed="false">
      <c r="A1762" s="1"/>
      <c r="B1762" s="16"/>
      <c r="C1762" s="16"/>
      <c r="D1762" s="15"/>
      <c r="E1762" s="11" t="str">
        <f aca="false">IF(D1762="","",IFERROR(INDEX(Players!$C$5:$C$304,MATCH(D1762,Players!$B$5:$B$304,0)),""))</f>
        <v/>
      </c>
      <c r="F1762" s="22" t="str">
        <f aca="false">IF(D1762="","",IF(COUNTIFS($B$5:$B$2004,B1762,$D$5:$D$2004,D1762)&gt;1,"DUPLICATE",IF(ISNA(MATCH(D1762,Players!$B$5:$B$304,0)),"UID not found",IF(INDEX(Players!$H$5:$H$304,MATCH(D1762,Players!$B$5:$B$304,0))&lt;0,"LOW BALANCE","OK"))))</f>
        <v/>
      </c>
      <c r="G1762" s="1"/>
      <c r="H1762" s="1"/>
      <c r="I1762" s="1"/>
    </row>
    <row r="1763" customFormat="false" ht="21.75" hidden="false" customHeight="true" outlineLevel="0" collapsed="false">
      <c r="A1763" s="1"/>
      <c r="B1763" s="16"/>
      <c r="C1763" s="16"/>
      <c r="D1763" s="15"/>
      <c r="E1763" s="11" t="str">
        <f aca="false">IF(D1763="","",IFERROR(INDEX(Players!$C$5:$C$304,MATCH(D1763,Players!$B$5:$B$304,0)),""))</f>
        <v/>
      </c>
      <c r="F1763" s="22" t="str">
        <f aca="false">IF(D1763="","",IF(COUNTIFS($B$5:$B$2004,B1763,$D$5:$D$2004,D1763)&gt;1,"DUPLICATE",IF(ISNA(MATCH(D1763,Players!$B$5:$B$304,0)),"UID not found",IF(INDEX(Players!$H$5:$H$304,MATCH(D1763,Players!$B$5:$B$304,0))&lt;0,"LOW BALANCE","OK"))))</f>
        <v/>
      </c>
      <c r="G1763" s="1"/>
      <c r="H1763" s="1"/>
      <c r="I1763" s="1"/>
    </row>
    <row r="1764" customFormat="false" ht="21.75" hidden="false" customHeight="true" outlineLevel="0" collapsed="false">
      <c r="A1764" s="1"/>
      <c r="B1764" s="16"/>
      <c r="C1764" s="16"/>
      <c r="D1764" s="15"/>
      <c r="E1764" s="11" t="str">
        <f aca="false">IF(D1764="","",IFERROR(INDEX(Players!$C$5:$C$304,MATCH(D1764,Players!$B$5:$B$304,0)),""))</f>
        <v/>
      </c>
      <c r="F1764" s="22" t="str">
        <f aca="false">IF(D1764="","",IF(COUNTIFS($B$5:$B$2004,B1764,$D$5:$D$2004,D1764)&gt;1,"DUPLICATE",IF(ISNA(MATCH(D1764,Players!$B$5:$B$304,0)),"UID not found",IF(INDEX(Players!$H$5:$H$304,MATCH(D1764,Players!$B$5:$B$304,0))&lt;0,"LOW BALANCE","OK"))))</f>
        <v/>
      </c>
      <c r="G1764" s="1"/>
      <c r="H1764" s="1"/>
      <c r="I1764" s="1"/>
    </row>
    <row r="1765" customFormat="false" ht="21.75" hidden="false" customHeight="true" outlineLevel="0" collapsed="false">
      <c r="A1765" s="1"/>
      <c r="B1765" s="16"/>
      <c r="C1765" s="16"/>
      <c r="D1765" s="15"/>
      <c r="E1765" s="11" t="str">
        <f aca="false">IF(D1765="","",IFERROR(INDEX(Players!$C$5:$C$304,MATCH(D1765,Players!$B$5:$B$304,0)),""))</f>
        <v/>
      </c>
      <c r="F1765" s="22" t="str">
        <f aca="false">IF(D1765="","",IF(COUNTIFS($B$5:$B$2004,B1765,$D$5:$D$2004,D1765)&gt;1,"DUPLICATE",IF(ISNA(MATCH(D1765,Players!$B$5:$B$304,0)),"UID not found",IF(INDEX(Players!$H$5:$H$304,MATCH(D1765,Players!$B$5:$B$304,0))&lt;0,"LOW BALANCE","OK"))))</f>
        <v/>
      </c>
      <c r="G1765" s="1"/>
      <c r="H1765" s="1"/>
      <c r="I1765" s="1"/>
    </row>
    <row r="1766" customFormat="false" ht="21.75" hidden="false" customHeight="true" outlineLevel="0" collapsed="false">
      <c r="A1766" s="1"/>
      <c r="B1766" s="16"/>
      <c r="C1766" s="16"/>
      <c r="D1766" s="15"/>
      <c r="E1766" s="11" t="str">
        <f aca="false">IF(D1766="","",IFERROR(INDEX(Players!$C$5:$C$304,MATCH(D1766,Players!$B$5:$B$304,0)),""))</f>
        <v/>
      </c>
      <c r="F1766" s="22" t="str">
        <f aca="false">IF(D1766="","",IF(COUNTIFS($B$5:$B$2004,B1766,$D$5:$D$2004,D1766)&gt;1,"DUPLICATE",IF(ISNA(MATCH(D1766,Players!$B$5:$B$304,0)),"UID not found",IF(INDEX(Players!$H$5:$H$304,MATCH(D1766,Players!$B$5:$B$304,0))&lt;0,"LOW BALANCE","OK"))))</f>
        <v/>
      </c>
      <c r="G1766" s="1"/>
      <c r="H1766" s="1"/>
      <c r="I1766" s="1"/>
    </row>
    <row r="1767" customFormat="false" ht="21.75" hidden="false" customHeight="true" outlineLevel="0" collapsed="false">
      <c r="A1767" s="1"/>
      <c r="B1767" s="16"/>
      <c r="C1767" s="16"/>
      <c r="D1767" s="15"/>
      <c r="E1767" s="11" t="str">
        <f aca="false">IF(D1767="","",IFERROR(INDEX(Players!$C$5:$C$304,MATCH(D1767,Players!$B$5:$B$304,0)),""))</f>
        <v/>
      </c>
      <c r="F1767" s="22" t="str">
        <f aca="false">IF(D1767="","",IF(COUNTIFS($B$5:$B$2004,B1767,$D$5:$D$2004,D1767)&gt;1,"DUPLICATE",IF(ISNA(MATCH(D1767,Players!$B$5:$B$304,0)),"UID not found",IF(INDEX(Players!$H$5:$H$304,MATCH(D1767,Players!$B$5:$B$304,0))&lt;0,"LOW BALANCE","OK"))))</f>
        <v/>
      </c>
      <c r="G1767" s="1"/>
      <c r="H1767" s="1"/>
      <c r="I1767" s="1"/>
    </row>
    <row r="1768" customFormat="false" ht="21.75" hidden="false" customHeight="true" outlineLevel="0" collapsed="false">
      <c r="A1768" s="1"/>
      <c r="B1768" s="16"/>
      <c r="C1768" s="16"/>
      <c r="D1768" s="15"/>
      <c r="E1768" s="11" t="str">
        <f aca="false">IF(D1768="","",IFERROR(INDEX(Players!$C$5:$C$304,MATCH(D1768,Players!$B$5:$B$304,0)),""))</f>
        <v/>
      </c>
      <c r="F1768" s="22" t="str">
        <f aca="false">IF(D1768="","",IF(COUNTIFS($B$5:$B$2004,B1768,$D$5:$D$2004,D1768)&gt;1,"DUPLICATE",IF(ISNA(MATCH(D1768,Players!$B$5:$B$304,0)),"UID not found",IF(INDEX(Players!$H$5:$H$304,MATCH(D1768,Players!$B$5:$B$304,0))&lt;0,"LOW BALANCE","OK"))))</f>
        <v/>
      </c>
      <c r="G1768" s="1"/>
      <c r="H1768" s="1"/>
      <c r="I1768" s="1"/>
    </row>
    <row r="1769" customFormat="false" ht="21.75" hidden="false" customHeight="true" outlineLevel="0" collapsed="false">
      <c r="A1769" s="1"/>
      <c r="B1769" s="16"/>
      <c r="C1769" s="16"/>
      <c r="D1769" s="15"/>
      <c r="E1769" s="11" t="str">
        <f aca="false">IF(D1769="","",IFERROR(INDEX(Players!$C$5:$C$304,MATCH(D1769,Players!$B$5:$B$304,0)),""))</f>
        <v/>
      </c>
      <c r="F1769" s="22" t="str">
        <f aca="false">IF(D1769="","",IF(COUNTIFS($B$5:$B$2004,B1769,$D$5:$D$2004,D1769)&gt;1,"DUPLICATE",IF(ISNA(MATCH(D1769,Players!$B$5:$B$304,0)),"UID not found",IF(INDEX(Players!$H$5:$H$304,MATCH(D1769,Players!$B$5:$B$304,0))&lt;0,"LOW BALANCE","OK"))))</f>
        <v/>
      </c>
      <c r="G1769" s="1"/>
      <c r="H1769" s="1"/>
      <c r="I1769" s="1"/>
    </row>
    <row r="1770" customFormat="false" ht="21.75" hidden="false" customHeight="true" outlineLevel="0" collapsed="false">
      <c r="A1770" s="1"/>
      <c r="B1770" s="16"/>
      <c r="C1770" s="16"/>
      <c r="D1770" s="15"/>
      <c r="E1770" s="11" t="str">
        <f aca="false">IF(D1770="","",IFERROR(INDEX(Players!$C$5:$C$304,MATCH(D1770,Players!$B$5:$B$304,0)),""))</f>
        <v/>
      </c>
      <c r="F1770" s="22" t="str">
        <f aca="false">IF(D1770="","",IF(COUNTIFS($B$5:$B$2004,B1770,$D$5:$D$2004,D1770)&gt;1,"DUPLICATE",IF(ISNA(MATCH(D1770,Players!$B$5:$B$304,0)),"UID not found",IF(INDEX(Players!$H$5:$H$304,MATCH(D1770,Players!$B$5:$B$304,0))&lt;0,"LOW BALANCE","OK"))))</f>
        <v/>
      </c>
      <c r="G1770" s="1"/>
      <c r="H1770" s="1"/>
      <c r="I1770" s="1"/>
    </row>
    <row r="1771" customFormat="false" ht="21.75" hidden="false" customHeight="true" outlineLevel="0" collapsed="false">
      <c r="A1771" s="1"/>
      <c r="B1771" s="16"/>
      <c r="C1771" s="16"/>
      <c r="D1771" s="15"/>
      <c r="E1771" s="11" t="str">
        <f aca="false">IF(D1771="","",IFERROR(INDEX(Players!$C$5:$C$304,MATCH(D1771,Players!$B$5:$B$304,0)),""))</f>
        <v/>
      </c>
      <c r="F1771" s="22" t="str">
        <f aca="false">IF(D1771="","",IF(COUNTIFS($B$5:$B$2004,B1771,$D$5:$D$2004,D1771)&gt;1,"DUPLICATE",IF(ISNA(MATCH(D1771,Players!$B$5:$B$304,0)),"UID not found",IF(INDEX(Players!$H$5:$H$304,MATCH(D1771,Players!$B$5:$B$304,0))&lt;0,"LOW BALANCE","OK"))))</f>
        <v/>
      </c>
      <c r="G1771" s="1"/>
      <c r="H1771" s="1"/>
      <c r="I1771" s="1"/>
    </row>
    <row r="1772" customFormat="false" ht="21.75" hidden="false" customHeight="true" outlineLevel="0" collapsed="false">
      <c r="A1772" s="1"/>
      <c r="B1772" s="16"/>
      <c r="C1772" s="16"/>
      <c r="D1772" s="15"/>
      <c r="E1772" s="11" t="str">
        <f aca="false">IF(D1772="","",IFERROR(INDEX(Players!$C$5:$C$304,MATCH(D1772,Players!$B$5:$B$304,0)),""))</f>
        <v/>
      </c>
      <c r="F1772" s="22" t="str">
        <f aca="false">IF(D1772="","",IF(COUNTIFS($B$5:$B$2004,B1772,$D$5:$D$2004,D1772)&gt;1,"DUPLICATE",IF(ISNA(MATCH(D1772,Players!$B$5:$B$304,0)),"UID not found",IF(INDEX(Players!$H$5:$H$304,MATCH(D1772,Players!$B$5:$B$304,0))&lt;0,"LOW BALANCE","OK"))))</f>
        <v/>
      </c>
      <c r="G1772" s="1"/>
      <c r="H1772" s="1"/>
      <c r="I1772" s="1"/>
    </row>
    <row r="1773" customFormat="false" ht="21.75" hidden="false" customHeight="true" outlineLevel="0" collapsed="false">
      <c r="A1773" s="1"/>
      <c r="B1773" s="16"/>
      <c r="C1773" s="16"/>
      <c r="D1773" s="15"/>
      <c r="E1773" s="11" t="str">
        <f aca="false">IF(D1773="","",IFERROR(INDEX(Players!$C$5:$C$304,MATCH(D1773,Players!$B$5:$B$304,0)),""))</f>
        <v/>
      </c>
      <c r="F1773" s="22" t="str">
        <f aca="false">IF(D1773="","",IF(COUNTIFS($B$5:$B$2004,B1773,$D$5:$D$2004,D1773)&gt;1,"DUPLICATE",IF(ISNA(MATCH(D1773,Players!$B$5:$B$304,0)),"UID not found",IF(INDEX(Players!$H$5:$H$304,MATCH(D1773,Players!$B$5:$B$304,0))&lt;0,"LOW BALANCE","OK"))))</f>
        <v/>
      </c>
      <c r="G1773" s="1"/>
      <c r="H1773" s="1"/>
      <c r="I1773" s="1"/>
    </row>
    <row r="1774" customFormat="false" ht="21.75" hidden="false" customHeight="true" outlineLevel="0" collapsed="false">
      <c r="A1774" s="1"/>
      <c r="B1774" s="16"/>
      <c r="C1774" s="16"/>
      <c r="D1774" s="15"/>
      <c r="E1774" s="11" t="str">
        <f aca="false">IF(D1774="","",IFERROR(INDEX(Players!$C$5:$C$304,MATCH(D1774,Players!$B$5:$B$304,0)),""))</f>
        <v/>
      </c>
      <c r="F1774" s="22" t="str">
        <f aca="false">IF(D1774="","",IF(COUNTIFS($B$5:$B$2004,B1774,$D$5:$D$2004,D1774)&gt;1,"DUPLICATE",IF(ISNA(MATCH(D1774,Players!$B$5:$B$304,0)),"UID not found",IF(INDEX(Players!$H$5:$H$304,MATCH(D1774,Players!$B$5:$B$304,0))&lt;0,"LOW BALANCE","OK"))))</f>
        <v/>
      </c>
      <c r="G1774" s="1"/>
      <c r="H1774" s="1"/>
      <c r="I1774" s="1"/>
    </row>
    <row r="1775" customFormat="false" ht="21.75" hidden="false" customHeight="true" outlineLevel="0" collapsed="false">
      <c r="A1775" s="1"/>
      <c r="B1775" s="16"/>
      <c r="C1775" s="16"/>
      <c r="D1775" s="15"/>
      <c r="E1775" s="11" t="str">
        <f aca="false">IF(D1775="","",IFERROR(INDEX(Players!$C$5:$C$304,MATCH(D1775,Players!$B$5:$B$304,0)),""))</f>
        <v/>
      </c>
      <c r="F1775" s="22" t="str">
        <f aca="false">IF(D1775="","",IF(COUNTIFS($B$5:$B$2004,B1775,$D$5:$D$2004,D1775)&gt;1,"DUPLICATE",IF(ISNA(MATCH(D1775,Players!$B$5:$B$304,0)),"UID not found",IF(INDEX(Players!$H$5:$H$304,MATCH(D1775,Players!$B$5:$B$304,0))&lt;0,"LOW BALANCE","OK"))))</f>
        <v/>
      </c>
      <c r="G1775" s="1"/>
      <c r="H1775" s="1"/>
      <c r="I1775" s="1"/>
    </row>
    <row r="1776" customFormat="false" ht="21.75" hidden="false" customHeight="true" outlineLevel="0" collapsed="false">
      <c r="A1776" s="1"/>
      <c r="B1776" s="16"/>
      <c r="C1776" s="16"/>
      <c r="D1776" s="15"/>
      <c r="E1776" s="11" t="str">
        <f aca="false">IF(D1776="","",IFERROR(INDEX(Players!$C$5:$C$304,MATCH(D1776,Players!$B$5:$B$304,0)),""))</f>
        <v/>
      </c>
      <c r="F1776" s="22" t="str">
        <f aca="false">IF(D1776="","",IF(COUNTIFS($B$5:$B$2004,B1776,$D$5:$D$2004,D1776)&gt;1,"DUPLICATE",IF(ISNA(MATCH(D1776,Players!$B$5:$B$304,0)),"UID not found",IF(INDEX(Players!$H$5:$H$304,MATCH(D1776,Players!$B$5:$B$304,0))&lt;0,"LOW BALANCE","OK"))))</f>
        <v/>
      </c>
      <c r="G1776" s="1"/>
      <c r="H1776" s="1"/>
      <c r="I1776" s="1"/>
    </row>
    <row r="1777" customFormat="false" ht="21.75" hidden="false" customHeight="true" outlineLevel="0" collapsed="false">
      <c r="A1777" s="1"/>
      <c r="B1777" s="16"/>
      <c r="C1777" s="16"/>
      <c r="D1777" s="15"/>
      <c r="E1777" s="11" t="str">
        <f aca="false">IF(D1777="","",IFERROR(INDEX(Players!$C$5:$C$304,MATCH(D1777,Players!$B$5:$B$304,0)),""))</f>
        <v/>
      </c>
      <c r="F1777" s="22" t="str">
        <f aca="false">IF(D1777="","",IF(COUNTIFS($B$5:$B$2004,B1777,$D$5:$D$2004,D1777)&gt;1,"DUPLICATE",IF(ISNA(MATCH(D1777,Players!$B$5:$B$304,0)),"UID not found",IF(INDEX(Players!$H$5:$H$304,MATCH(D1777,Players!$B$5:$B$304,0))&lt;0,"LOW BALANCE","OK"))))</f>
        <v/>
      </c>
      <c r="G1777" s="1"/>
      <c r="H1777" s="1"/>
      <c r="I1777" s="1"/>
    </row>
    <row r="1778" customFormat="false" ht="21.75" hidden="false" customHeight="true" outlineLevel="0" collapsed="false">
      <c r="A1778" s="1"/>
      <c r="B1778" s="16"/>
      <c r="C1778" s="16"/>
      <c r="D1778" s="15"/>
      <c r="E1778" s="11" t="str">
        <f aca="false">IF(D1778="","",IFERROR(INDEX(Players!$C$5:$C$304,MATCH(D1778,Players!$B$5:$B$304,0)),""))</f>
        <v/>
      </c>
      <c r="F1778" s="22" t="str">
        <f aca="false">IF(D1778="","",IF(COUNTIFS($B$5:$B$2004,B1778,$D$5:$D$2004,D1778)&gt;1,"DUPLICATE",IF(ISNA(MATCH(D1778,Players!$B$5:$B$304,0)),"UID not found",IF(INDEX(Players!$H$5:$H$304,MATCH(D1778,Players!$B$5:$B$304,0))&lt;0,"LOW BALANCE","OK"))))</f>
        <v/>
      </c>
      <c r="G1778" s="1"/>
      <c r="H1778" s="1"/>
      <c r="I1778" s="1"/>
    </row>
    <row r="1779" customFormat="false" ht="21.75" hidden="false" customHeight="true" outlineLevel="0" collapsed="false">
      <c r="A1779" s="1"/>
      <c r="B1779" s="16"/>
      <c r="C1779" s="16"/>
      <c r="D1779" s="15"/>
      <c r="E1779" s="11" t="str">
        <f aca="false">IF(D1779="","",IFERROR(INDEX(Players!$C$5:$C$304,MATCH(D1779,Players!$B$5:$B$304,0)),""))</f>
        <v/>
      </c>
      <c r="F1779" s="22" t="str">
        <f aca="false">IF(D1779="","",IF(COUNTIFS($B$5:$B$2004,B1779,$D$5:$D$2004,D1779)&gt;1,"DUPLICATE",IF(ISNA(MATCH(D1779,Players!$B$5:$B$304,0)),"UID not found",IF(INDEX(Players!$H$5:$H$304,MATCH(D1779,Players!$B$5:$B$304,0))&lt;0,"LOW BALANCE","OK"))))</f>
        <v/>
      </c>
      <c r="G1779" s="1"/>
      <c r="H1779" s="1"/>
      <c r="I1779" s="1"/>
    </row>
    <row r="1780" customFormat="false" ht="21.75" hidden="false" customHeight="true" outlineLevel="0" collapsed="false">
      <c r="A1780" s="1"/>
      <c r="B1780" s="16"/>
      <c r="C1780" s="16"/>
      <c r="D1780" s="15"/>
      <c r="E1780" s="11" t="str">
        <f aca="false">IF(D1780="","",IFERROR(INDEX(Players!$C$5:$C$304,MATCH(D1780,Players!$B$5:$B$304,0)),""))</f>
        <v/>
      </c>
      <c r="F1780" s="22" t="str">
        <f aca="false">IF(D1780="","",IF(COUNTIFS($B$5:$B$2004,B1780,$D$5:$D$2004,D1780)&gt;1,"DUPLICATE",IF(ISNA(MATCH(D1780,Players!$B$5:$B$304,0)),"UID not found",IF(INDEX(Players!$H$5:$H$304,MATCH(D1780,Players!$B$5:$B$304,0))&lt;0,"LOW BALANCE","OK"))))</f>
        <v/>
      </c>
      <c r="G1780" s="1"/>
      <c r="H1780" s="1"/>
      <c r="I1780" s="1"/>
    </row>
    <row r="1781" customFormat="false" ht="21.75" hidden="false" customHeight="true" outlineLevel="0" collapsed="false">
      <c r="A1781" s="1"/>
      <c r="B1781" s="16"/>
      <c r="C1781" s="16"/>
      <c r="D1781" s="15"/>
      <c r="E1781" s="11" t="str">
        <f aca="false">IF(D1781="","",IFERROR(INDEX(Players!$C$5:$C$304,MATCH(D1781,Players!$B$5:$B$304,0)),""))</f>
        <v/>
      </c>
      <c r="F1781" s="22" t="str">
        <f aca="false">IF(D1781="","",IF(COUNTIFS($B$5:$B$2004,B1781,$D$5:$D$2004,D1781)&gt;1,"DUPLICATE",IF(ISNA(MATCH(D1781,Players!$B$5:$B$304,0)),"UID not found",IF(INDEX(Players!$H$5:$H$304,MATCH(D1781,Players!$B$5:$B$304,0))&lt;0,"LOW BALANCE","OK"))))</f>
        <v/>
      </c>
      <c r="G1781" s="1"/>
      <c r="H1781" s="1"/>
      <c r="I1781" s="1"/>
    </row>
    <row r="1782" customFormat="false" ht="21.75" hidden="false" customHeight="true" outlineLevel="0" collapsed="false">
      <c r="A1782" s="1"/>
      <c r="B1782" s="16"/>
      <c r="C1782" s="16"/>
      <c r="D1782" s="15"/>
      <c r="E1782" s="11" t="str">
        <f aca="false">IF(D1782="","",IFERROR(INDEX(Players!$C$5:$C$304,MATCH(D1782,Players!$B$5:$B$304,0)),""))</f>
        <v/>
      </c>
      <c r="F1782" s="22" t="str">
        <f aca="false">IF(D1782="","",IF(COUNTIFS($B$5:$B$2004,B1782,$D$5:$D$2004,D1782)&gt;1,"DUPLICATE",IF(ISNA(MATCH(D1782,Players!$B$5:$B$304,0)),"UID not found",IF(INDEX(Players!$H$5:$H$304,MATCH(D1782,Players!$B$5:$B$304,0))&lt;0,"LOW BALANCE","OK"))))</f>
        <v/>
      </c>
      <c r="G1782" s="1"/>
      <c r="H1782" s="1"/>
      <c r="I1782" s="1"/>
    </row>
    <row r="1783" customFormat="false" ht="21.75" hidden="false" customHeight="true" outlineLevel="0" collapsed="false">
      <c r="A1783" s="1"/>
      <c r="B1783" s="16"/>
      <c r="C1783" s="16"/>
      <c r="D1783" s="15"/>
      <c r="E1783" s="11" t="str">
        <f aca="false">IF(D1783="","",IFERROR(INDEX(Players!$C$5:$C$304,MATCH(D1783,Players!$B$5:$B$304,0)),""))</f>
        <v/>
      </c>
      <c r="F1783" s="22" t="str">
        <f aca="false">IF(D1783="","",IF(COUNTIFS($B$5:$B$2004,B1783,$D$5:$D$2004,D1783)&gt;1,"DUPLICATE",IF(ISNA(MATCH(D1783,Players!$B$5:$B$304,0)),"UID not found",IF(INDEX(Players!$H$5:$H$304,MATCH(D1783,Players!$B$5:$B$304,0))&lt;0,"LOW BALANCE","OK"))))</f>
        <v/>
      </c>
      <c r="G1783" s="1"/>
      <c r="H1783" s="1"/>
      <c r="I1783" s="1"/>
    </row>
    <row r="1784" customFormat="false" ht="21.75" hidden="false" customHeight="true" outlineLevel="0" collapsed="false">
      <c r="A1784" s="1"/>
      <c r="B1784" s="16"/>
      <c r="C1784" s="16"/>
      <c r="D1784" s="15"/>
      <c r="E1784" s="11" t="str">
        <f aca="false">IF(D1784="","",IFERROR(INDEX(Players!$C$5:$C$304,MATCH(D1784,Players!$B$5:$B$304,0)),""))</f>
        <v/>
      </c>
      <c r="F1784" s="22" t="str">
        <f aca="false">IF(D1784="","",IF(COUNTIFS($B$5:$B$2004,B1784,$D$5:$D$2004,D1784)&gt;1,"DUPLICATE",IF(ISNA(MATCH(D1784,Players!$B$5:$B$304,0)),"UID not found",IF(INDEX(Players!$H$5:$H$304,MATCH(D1784,Players!$B$5:$B$304,0))&lt;0,"LOW BALANCE","OK"))))</f>
        <v/>
      </c>
      <c r="G1784" s="1"/>
      <c r="H1784" s="1"/>
      <c r="I1784" s="1"/>
    </row>
    <row r="1785" customFormat="false" ht="21.75" hidden="false" customHeight="true" outlineLevel="0" collapsed="false">
      <c r="A1785" s="1"/>
      <c r="B1785" s="16"/>
      <c r="C1785" s="16"/>
      <c r="D1785" s="15"/>
      <c r="E1785" s="11" t="str">
        <f aca="false">IF(D1785="","",IFERROR(INDEX(Players!$C$5:$C$304,MATCH(D1785,Players!$B$5:$B$304,0)),""))</f>
        <v/>
      </c>
      <c r="F1785" s="22" t="str">
        <f aca="false">IF(D1785="","",IF(COUNTIFS($B$5:$B$2004,B1785,$D$5:$D$2004,D1785)&gt;1,"DUPLICATE",IF(ISNA(MATCH(D1785,Players!$B$5:$B$304,0)),"UID not found",IF(INDEX(Players!$H$5:$H$304,MATCH(D1785,Players!$B$5:$B$304,0))&lt;0,"LOW BALANCE","OK"))))</f>
        <v/>
      </c>
      <c r="G1785" s="1"/>
      <c r="H1785" s="1"/>
      <c r="I1785" s="1"/>
    </row>
    <row r="1786" customFormat="false" ht="21.75" hidden="false" customHeight="true" outlineLevel="0" collapsed="false">
      <c r="A1786" s="1"/>
      <c r="B1786" s="16"/>
      <c r="C1786" s="16"/>
      <c r="D1786" s="15"/>
      <c r="E1786" s="11" t="str">
        <f aca="false">IF(D1786="","",IFERROR(INDEX(Players!$C$5:$C$304,MATCH(D1786,Players!$B$5:$B$304,0)),""))</f>
        <v/>
      </c>
      <c r="F1786" s="22" t="str">
        <f aca="false">IF(D1786="","",IF(COUNTIFS($B$5:$B$2004,B1786,$D$5:$D$2004,D1786)&gt;1,"DUPLICATE",IF(ISNA(MATCH(D1786,Players!$B$5:$B$304,0)),"UID not found",IF(INDEX(Players!$H$5:$H$304,MATCH(D1786,Players!$B$5:$B$304,0))&lt;0,"LOW BALANCE","OK"))))</f>
        <v/>
      </c>
      <c r="G1786" s="1"/>
      <c r="H1786" s="1"/>
      <c r="I1786" s="1"/>
    </row>
    <row r="1787" customFormat="false" ht="21.75" hidden="false" customHeight="true" outlineLevel="0" collapsed="false">
      <c r="A1787" s="1"/>
      <c r="B1787" s="16"/>
      <c r="C1787" s="16"/>
      <c r="D1787" s="15"/>
      <c r="E1787" s="11" t="str">
        <f aca="false">IF(D1787="","",IFERROR(INDEX(Players!$C$5:$C$304,MATCH(D1787,Players!$B$5:$B$304,0)),""))</f>
        <v/>
      </c>
      <c r="F1787" s="22" t="str">
        <f aca="false">IF(D1787="","",IF(COUNTIFS($B$5:$B$2004,B1787,$D$5:$D$2004,D1787)&gt;1,"DUPLICATE",IF(ISNA(MATCH(D1787,Players!$B$5:$B$304,0)),"UID not found",IF(INDEX(Players!$H$5:$H$304,MATCH(D1787,Players!$B$5:$B$304,0))&lt;0,"LOW BALANCE","OK"))))</f>
        <v/>
      </c>
      <c r="G1787" s="1"/>
      <c r="H1787" s="1"/>
      <c r="I1787" s="1"/>
    </row>
    <row r="1788" customFormat="false" ht="21.75" hidden="false" customHeight="true" outlineLevel="0" collapsed="false">
      <c r="A1788" s="1"/>
      <c r="B1788" s="16"/>
      <c r="C1788" s="16"/>
      <c r="D1788" s="15"/>
      <c r="E1788" s="11" t="str">
        <f aca="false">IF(D1788="","",IFERROR(INDEX(Players!$C$5:$C$304,MATCH(D1788,Players!$B$5:$B$304,0)),""))</f>
        <v/>
      </c>
      <c r="F1788" s="22" t="str">
        <f aca="false">IF(D1788="","",IF(COUNTIFS($B$5:$B$2004,B1788,$D$5:$D$2004,D1788)&gt;1,"DUPLICATE",IF(ISNA(MATCH(D1788,Players!$B$5:$B$304,0)),"UID not found",IF(INDEX(Players!$H$5:$H$304,MATCH(D1788,Players!$B$5:$B$304,0))&lt;0,"LOW BALANCE","OK"))))</f>
        <v/>
      </c>
      <c r="G1788" s="1"/>
      <c r="H1788" s="1"/>
      <c r="I1788" s="1"/>
    </row>
    <row r="1789" customFormat="false" ht="21.75" hidden="false" customHeight="true" outlineLevel="0" collapsed="false">
      <c r="A1789" s="1"/>
      <c r="B1789" s="16"/>
      <c r="C1789" s="16"/>
      <c r="D1789" s="15"/>
      <c r="E1789" s="11" t="str">
        <f aca="false">IF(D1789="","",IFERROR(INDEX(Players!$C$5:$C$304,MATCH(D1789,Players!$B$5:$B$304,0)),""))</f>
        <v/>
      </c>
      <c r="F1789" s="22" t="str">
        <f aca="false">IF(D1789="","",IF(COUNTIFS($B$5:$B$2004,B1789,$D$5:$D$2004,D1789)&gt;1,"DUPLICATE",IF(ISNA(MATCH(D1789,Players!$B$5:$B$304,0)),"UID not found",IF(INDEX(Players!$H$5:$H$304,MATCH(D1789,Players!$B$5:$B$304,0))&lt;0,"LOW BALANCE","OK"))))</f>
        <v/>
      </c>
      <c r="G1789" s="1"/>
      <c r="H1789" s="1"/>
      <c r="I1789" s="1"/>
    </row>
    <row r="1790" customFormat="false" ht="21.75" hidden="false" customHeight="true" outlineLevel="0" collapsed="false">
      <c r="A1790" s="1"/>
      <c r="B1790" s="16"/>
      <c r="C1790" s="16"/>
      <c r="D1790" s="15"/>
      <c r="E1790" s="11" t="str">
        <f aca="false">IF(D1790="","",IFERROR(INDEX(Players!$C$5:$C$304,MATCH(D1790,Players!$B$5:$B$304,0)),""))</f>
        <v/>
      </c>
      <c r="F1790" s="22" t="str">
        <f aca="false">IF(D1790="","",IF(COUNTIFS($B$5:$B$2004,B1790,$D$5:$D$2004,D1790)&gt;1,"DUPLICATE",IF(ISNA(MATCH(D1790,Players!$B$5:$B$304,0)),"UID not found",IF(INDEX(Players!$H$5:$H$304,MATCH(D1790,Players!$B$5:$B$304,0))&lt;0,"LOW BALANCE","OK"))))</f>
        <v/>
      </c>
      <c r="G1790" s="1"/>
      <c r="H1790" s="1"/>
      <c r="I1790" s="1"/>
    </row>
    <row r="1791" customFormat="false" ht="21.75" hidden="false" customHeight="true" outlineLevel="0" collapsed="false">
      <c r="A1791" s="1"/>
      <c r="B1791" s="16"/>
      <c r="C1791" s="16"/>
      <c r="D1791" s="15"/>
      <c r="E1791" s="11" t="str">
        <f aca="false">IF(D1791="","",IFERROR(INDEX(Players!$C$5:$C$304,MATCH(D1791,Players!$B$5:$B$304,0)),""))</f>
        <v/>
      </c>
      <c r="F1791" s="22" t="str">
        <f aca="false">IF(D1791="","",IF(COUNTIFS($B$5:$B$2004,B1791,$D$5:$D$2004,D1791)&gt;1,"DUPLICATE",IF(ISNA(MATCH(D1791,Players!$B$5:$B$304,0)),"UID not found",IF(INDEX(Players!$H$5:$H$304,MATCH(D1791,Players!$B$5:$B$304,0))&lt;0,"LOW BALANCE","OK"))))</f>
        <v/>
      </c>
      <c r="G1791" s="1"/>
      <c r="H1791" s="1"/>
      <c r="I1791" s="1"/>
    </row>
    <row r="1792" customFormat="false" ht="21.75" hidden="false" customHeight="true" outlineLevel="0" collapsed="false">
      <c r="A1792" s="1"/>
      <c r="B1792" s="16"/>
      <c r="C1792" s="16"/>
      <c r="D1792" s="15"/>
      <c r="E1792" s="11" t="str">
        <f aca="false">IF(D1792="","",IFERROR(INDEX(Players!$C$5:$C$304,MATCH(D1792,Players!$B$5:$B$304,0)),""))</f>
        <v/>
      </c>
      <c r="F1792" s="22" t="str">
        <f aca="false">IF(D1792="","",IF(COUNTIFS($B$5:$B$2004,B1792,$D$5:$D$2004,D1792)&gt;1,"DUPLICATE",IF(ISNA(MATCH(D1792,Players!$B$5:$B$304,0)),"UID not found",IF(INDEX(Players!$H$5:$H$304,MATCH(D1792,Players!$B$5:$B$304,0))&lt;0,"LOW BALANCE","OK"))))</f>
        <v/>
      </c>
      <c r="G1792" s="1"/>
      <c r="H1792" s="1"/>
      <c r="I1792" s="1"/>
    </row>
    <row r="1793" customFormat="false" ht="21.75" hidden="false" customHeight="true" outlineLevel="0" collapsed="false">
      <c r="A1793" s="1"/>
      <c r="B1793" s="16"/>
      <c r="C1793" s="16"/>
      <c r="D1793" s="15"/>
      <c r="E1793" s="11" t="str">
        <f aca="false">IF(D1793="","",IFERROR(INDEX(Players!$C$5:$C$304,MATCH(D1793,Players!$B$5:$B$304,0)),""))</f>
        <v/>
      </c>
      <c r="F1793" s="22" t="str">
        <f aca="false">IF(D1793="","",IF(COUNTIFS($B$5:$B$2004,B1793,$D$5:$D$2004,D1793)&gt;1,"DUPLICATE",IF(ISNA(MATCH(D1793,Players!$B$5:$B$304,0)),"UID not found",IF(INDEX(Players!$H$5:$H$304,MATCH(D1793,Players!$B$5:$B$304,0))&lt;0,"LOW BALANCE","OK"))))</f>
        <v/>
      </c>
      <c r="G1793" s="1"/>
      <c r="H1793" s="1"/>
      <c r="I1793" s="1"/>
    </row>
    <row r="1794" customFormat="false" ht="21.75" hidden="false" customHeight="true" outlineLevel="0" collapsed="false">
      <c r="A1794" s="1"/>
      <c r="B1794" s="16"/>
      <c r="C1794" s="16"/>
      <c r="D1794" s="15"/>
      <c r="E1794" s="11" t="str">
        <f aca="false">IF(D1794="","",IFERROR(INDEX(Players!$C$5:$C$304,MATCH(D1794,Players!$B$5:$B$304,0)),""))</f>
        <v/>
      </c>
      <c r="F1794" s="22" t="str">
        <f aca="false">IF(D1794="","",IF(COUNTIFS($B$5:$B$2004,B1794,$D$5:$D$2004,D1794)&gt;1,"DUPLICATE",IF(ISNA(MATCH(D1794,Players!$B$5:$B$304,0)),"UID not found",IF(INDEX(Players!$H$5:$H$304,MATCH(D1794,Players!$B$5:$B$304,0))&lt;0,"LOW BALANCE","OK"))))</f>
        <v/>
      </c>
      <c r="G1794" s="1"/>
      <c r="H1794" s="1"/>
      <c r="I1794" s="1"/>
    </row>
    <row r="1795" customFormat="false" ht="21.75" hidden="false" customHeight="true" outlineLevel="0" collapsed="false">
      <c r="A1795" s="1"/>
      <c r="B1795" s="16"/>
      <c r="C1795" s="16"/>
      <c r="D1795" s="15"/>
      <c r="E1795" s="11" t="str">
        <f aca="false">IF(D1795="","",IFERROR(INDEX(Players!$C$5:$C$304,MATCH(D1795,Players!$B$5:$B$304,0)),""))</f>
        <v/>
      </c>
      <c r="F1795" s="22" t="str">
        <f aca="false">IF(D1795="","",IF(COUNTIFS($B$5:$B$2004,B1795,$D$5:$D$2004,D1795)&gt;1,"DUPLICATE",IF(ISNA(MATCH(D1795,Players!$B$5:$B$304,0)),"UID not found",IF(INDEX(Players!$H$5:$H$304,MATCH(D1795,Players!$B$5:$B$304,0))&lt;0,"LOW BALANCE","OK"))))</f>
        <v/>
      </c>
      <c r="G1795" s="1"/>
      <c r="H1795" s="1"/>
      <c r="I1795" s="1"/>
    </row>
    <row r="1796" customFormat="false" ht="21.75" hidden="false" customHeight="true" outlineLevel="0" collapsed="false">
      <c r="A1796" s="1"/>
      <c r="B1796" s="16"/>
      <c r="C1796" s="16"/>
      <c r="D1796" s="15"/>
      <c r="E1796" s="11" t="str">
        <f aca="false">IF(D1796="","",IFERROR(INDEX(Players!$C$5:$C$304,MATCH(D1796,Players!$B$5:$B$304,0)),""))</f>
        <v/>
      </c>
      <c r="F1796" s="22" t="str">
        <f aca="false">IF(D1796="","",IF(COUNTIFS($B$5:$B$2004,B1796,$D$5:$D$2004,D1796)&gt;1,"DUPLICATE",IF(ISNA(MATCH(D1796,Players!$B$5:$B$304,0)),"UID not found",IF(INDEX(Players!$H$5:$H$304,MATCH(D1796,Players!$B$5:$B$304,0))&lt;0,"LOW BALANCE","OK"))))</f>
        <v/>
      </c>
      <c r="G1796" s="1"/>
      <c r="H1796" s="1"/>
      <c r="I1796" s="1"/>
    </row>
    <row r="1797" customFormat="false" ht="21.75" hidden="false" customHeight="true" outlineLevel="0" collapsed="false">
      <c r="A1797" s="1"/>
      <c r="B1797" s="16"/>
      <c r="C1797" s="16"/>
      <c r="D1797" s="15"/>
      <c r="E1797" s="11" t="str">
        <f aca="false">IF(D1797="","",IFERROR(INDEX(Players!$C$5:$C$304,MATCH(D1797,Players!$B$5:$B$304,0)),""))</f>
        <v/>
      </c>
      <c r="F1797" s="22" t="str">
        <f aca="false">IF(D1797="","",IF(COUNTIFS($B$5:$B$2004,B1797,$D$5:$D$2004,D1797)&gt;1,"DUPLICATE",IF(ISNA(MATCH(D1797,Players!$B$5:$B$304,0)),"UID not found",IF(INDEX(Players!$H$5:$H$304,MATCH(D1797,Players!$B$5:$B$304,0))&lt;0,"LOW BALANCE","OK"))))</f>
        <v/>
      </c>
      <c r="G1797" s="1"/>
      <c r="H1797" s="1"/>
      <c r="I1797" s="1"/>
    </row>
    <row r="1798" customFormat="false" ht="21.75" hidden="false" customHeight="true" outlineLevel="0" collapsed="false">
      <c r="A1798" s="1"/>
      <c r="B1798" s="16"/>
      <c r="C1798" s="16"/>
      <c r="D1798" s="15"/>
      <c r="E1798" s="11" t="str">
        <f aca="false">IF(D1798="","",IFERROR(INDEX(Players!$C$5:$C$304,MATCH(D1798,Players!$B$5:$B$304,0)),""))</f>
        <v/>
      </c>
      <c r="F1798" s="22" t="str">
        <f aca="false">IF(D1798="","",IF(COUNTIFS($B$5:$B$2004,B1798,$D$5:$D$2004,D1798)&gt;1,"DUPLICATE",IF(ISNA(MATCH(D1798,Players!$B$5:$B$304,0)),"UID not found",IF(INDEX(Players!$H$5:$H$304,MATCH(D1798,Players!$B$5:$B$304,0))&lt;0,"LOW BALANCE","OK"))))</f>
        <v/>
      </c>
      <c r="G1798" s="1"/>
      <c r="H1798" s="1"/>
      <c r="I1798" s="1"/>
    </row>
    <row r="1799" customFormat="false" ht="21.75" hidden="false" customHeight="true" outlineLevel="0" collapsed="false">
      <c r="A1799" s="1"/>
      <c r="B1799" s="16"/>
      <c r="C1799" s="16"/>
      <c r="D1799" s="15"/>
      <c r="E1799" s="11" t="str">
        <f aca="false">IF(D1799="","",IFERROR(INDEX(Players!$C$5:$C$304,MATCH(D1799,Players!$B$5:$B$304,0)),""))</f>
        <v/>
      </c>
      <c r="F1799" s="22" t="str">
        <f aca="false">IF(D1799="","",IF(COUNTIFS($B$5:$B$2004,B1799,$D$5:$D$2004,D1799)&gt;1,"DUPLICATE",IF(ISNA(MATCH(D1799,Players!$B$5:$B$304,0)),"UID not found",IF(INDEX(Players!$H$5:$H$304,MATCH(D1799,Players!$B$5:$B$304,0))&lt;0,"LOW BALANCE","OK"))))</f>
        <v/>
      </c>
      <c r="G1799" s="1"/>
      <c r="H1799" s="1"/>
      <c r="I1799" s="1"/>
    </row>
    <row r="1800" customFormat="false" ht="21.75" hidden="false" customHeight="true" outlineLevel="0" collapsed="false">
      <c r="A1800" s="1"/>
      <c r="B1800" s="16"/>
      <c r="C1800" s="16"/>
      <c r="D1800" s="15"/>
      <c r="E1800" s="11" t="str">
        <f aca="false">IF(D1800="","",IFERROR(INDEX(Players!$C$5:$C$304,MATCH(D1800,Players!$B$5:$B$304,0)),""))</f>
        <v/>
      </c>
      <c r="F1800" s="22" t="str">
        <f aca="false">IF(D1800="","",IF(COUNTIFS($B$5:$B$2004,B1800,$D$5:$D$2004,D1800)&gt;1,"DUPLICATE",IF(ISNA(MATCH(D1800,Players!$B$5:$B$304,0)),"UID not found",IF(INDEX(Players!$H$5:$H$304,MATCH(D1800,Players!$B$5:$B$304,0))&lt;0,"LOW BALANCE","OK"))))</f>
        <v/>
      </c>
      <c r="G1800" s="1"/>
      <c r="H1800" s="1"/>
      <c r="I1800" s="1"/>
    </row>
    <row r="1801" customFormat="false" ht="21.75" hidden="false" customHeight="true" outlineLevel="0" collapsed="false">
      <c r="A1801" s="1"/>
      <c r="B1801" s="16"/>
      <c r="C1801" s="16"/>
      <c r="D1801" s="15"/>
      <c r="E1801" s="11" t="str">
        <f aca="false">IF(D1801="","",IFERROR(INDEX(Players!$C$5:$C$304,MATCH(D1801,Players!$B$5:$B$304,0)),""))</f>
        <v/>
      </c>
      <c r="F1801" s="22" t="str">
        <f aca="false">IF(D1801="","",IF(COUNTIFS($B$5:$B$2004,B1801,$D$5:$D$2004,D1801)&gt;1,"DUPLICATE",IF(ISNA(MATCH(D1801,Players!$B$5:$B$304,0)),"UID not found",IF(INDEX(Players!$H$5:$H$304,MATCH(D1801,Players!$B$5:$B$304,0))&lt;0,"LOW BALANCE","OK"))))</f>
        <v/>
      </c>
      <c r="G1801" s="1"/>
      <c r="H1801" s="1"/>
      <c r="I1801" s="1"/>
    </row>
    <row r="1802" customFormat="false" ht="21.75" hidden="false" customHeight="true" outlineLevel="0" collapsed="false">
      <c r="A1802" s="1"/>
      <c r="B1802" s="16"/>
      <c r="C1802" s="16"/>
      <c r="D1802" s="15"/>
      <c r="E1802" s="11" t="str">
        <f aca="false">IF(D1802="","",IFERROR(INDEX(Players!$C$5:$C$304,MATCH(D1802,Players!$B$5:$B$304,0)),""))</f>
        <v/>
      </c>
      <c r="F1802" s="22" t="str">
        <f aca="false">IF(D1802="","",IF(COUNTIFS($B$5:$B$2004,B1802,$D$5:$D$2004,D1802)&gt;1,"DUPLICATE",IF(ISNA(MATCH(D1802,Players!$B$5:$B$304,0)),"UID not found",IF(INDEX(Players!$H$5:$H$304,MATCH(D1802,Players!$B$5:$B$304,0))&lt;0,"LOW BALANCE","OK"))))</f>
        <v/>
      </c>
      <c r="G1802" s="1"/>
      <c r="H1802" s="1"/>
      <c r="I1802" s="1"/>
    </row>
    <row r="1803" customFormat="false" ht="21.75" hidden="false" customHeight="true" outlineLevel="0" collapsed="false">
      <c r="A1803" s="1"/>
      <c r="B1803" s="16"/>
      <c r="C1803" s="16"/>
      <c r="D1803" s="15"/>
      <c r="E1803" s="11" t="str">
        <f aca="false">IF(D1803="","",IFERROR(INDEX(Players!$C$5:$C$304,MATCH(D1803,Players!$B$5:$B$304,0)),""))</f>
        <v/>
      </c>
      <c r="F1803" s="22" t="str">
        <f aca="false">IF(D1803="","",IF(COUNTIFS($B$5:$B$2004,B1803,$D$5:$D$2004,D1803)&gt;1,"DUPLICATE",IF(ISNA(MATCH(D1803,Players!$B$5:$B$304,0)),"UID not found",IF(INDEX(Players!$H$5:$H$304,MATCH(D1803,Players!$B$5:$B$304,0))&lt;0,"LOW BALANCE","OK"))))</f>
        <v/>
      </c>
      <c r="G1803" s="1"/>
      <c r="H1803" s="1"/>
      <c r="I1803" s="1"/>
    </row>
    <row r="1804" customFormat="false" ht="21.75" hidden="false" customHeight="true" outlineLevel="0" collapsed="false">
      <c r="A1804" s="1"/>
      <c r="B1804" s="16"/>
      <c r="C1804" s="16"/>
      <c r="D1804" s="15"/>
      <c r="E1804" s="11" t="str">
        <f aca="false">IF(D1804="","",IFERROR(INDEX(Players!$C$5:$C$304,MATCH(D1804,Players!$B$5:$B$304,0)),""))</f>
        <v/>
      </c>
      <c r="F1804" s="22" t="str">
        <f aca="false">IF(D1804="","",IF(COUNTIFS($B$5:$B$2004,B1804,$D$5:$D$2004,D1804)&gt;1,"DUPLICATE",IF(ISNA(MATCH(D1804,Players!$B$5:$B$304,0)),"UID not found",IF(INDEX(Players!$H$5:$H$304,MATCH(D1804,Players!$B$5:$B$304,0))&lt;0,"LOW BALANCE","OK"))))</f>
        <v/>
      </c>
      <c r="G1804" s="1"/>
      <c r="H1804" s="1"/>
      <c r="I1804" s="1"/>
    </row>
    <row r="1805" customFormat="false" ht="21.75" hidden="false" customHeight="true" outlineLevel="0" collapsed="false">
      <c r="A1805" s="1"/>
      <c r="B1805" s="16"/>
      <c r="C1805" s="16"/>
      <c r="D1805" s="15"/>
      <c r="E1805" s="11" t="str">
        <f aca="false">IF(D1805="","",IFERROR(INDEX(Players!$C$5:$C$304,MATCH(D1805,Players!$B$5:$B$304,0)),""))</f>
        <v/>
      </c>
      <c r="F1805" s="22" t="str">
        <f aca="false">IF(D1805="","",IF(COUNTIFS($B$5:$B$2004,B1805,$D$5:$D$2004,D1805)&gt;1,"DUPLICATE",IF(ISNA(MATCH(D1805,Players!$B$5:$B$304,0)),"UID not found",IF(INDEX(Players!$H$5:$H$304,MATCH(D1805,Players!$B$5:$B$304,0))&lt;0,"LOW BALANCE","OK"))))</f>
        <v/>
      </c>
      <c r="G1805" s="1"/>
      <c r="H1805" s="1"/>
      <c r="I1805" s="1"/>
    </row>
    <row r="1806" customFormat="false" ht="21.75" hidden="false" customHeight="true" outlineLevel="0" collapsed="false">
      <c r="A1806" s="1"/>
      <c r="B1806" s="16"/>
      <c r="C1806" s="16"/>
      <c r="D1806" s="15"/>
      <c r="E1806" s="11" t="str">
        <f aca="false">IF(D1806="","",IFERROR(INDEX(Players!$C$5:$C$304,MATCH(D1806,Players!$B$5:$B$304,0)),""))</f>
        <v/>
      </c>
      <c r="F1806" s="22" t="str">
        <f aca="false">IF(D1806="","",IF(COUNTIFS($B$5:$B$2004,B1806,$D$5:$D$2004,D1806)&gt;1,"DUPLICATE",IF(ISNA(MATCH(D1806,Players!$B$5:$B$304,0)),"UID not found",IF(INDEX(Players!$H$5:$H$304,MATCH(D1806,Players!$B$5:$B$304,0))&lt;0,"LOW BALANCE","OK"))))</f>
        <v/>
      </c>
      <c r="G1806" s="1"/>
      <c r="H1806" s="1"/>
      <c r="I1806" s="1"/>
    </row>
    <row r="1807" customFormat="false" ht="21.75" hidden="false" customHeight="true" outlineLevel="0" collapsed="false">
      <c r="A1807" s="1"/>
      <c r="B1807" s="16"/>
      <c r="C1807" s="16"/>
      <c r="D1807" s="15"/>
      <c r="E1807" s="11" t="str">
        <f aca="false">IF(D1807="","",IFERROR(INDEX(Players!$C$5:$C$304,MATCH(D1807,Players!$B$5:$B$304,0)),""))</f>
        <v/>
      </c>
      <c r="F1807" s="22" t="str">
        <f aca="false">IF(D1807="","",IF(COUNTIFS($B$5:$B$2004,B1807,$D$5:$D$2004,D1807)&gt;1,"DUPLICATE",IF(ISNA(MATCH(D1807,Players!$B$5:$B$304,0)),"UID not found",IF(INDEX(Players!$H$5:$H$304,MATCH(D1807,Players!$B$5:$B$304,0))&lt;0,"LOW BALANCE","OK"))))</f>
        <v/>
      </c>
      <c r="G1807" s="1"/>
      <c r="H1807" s="1"/>
      <c r="I1807" s="1"/>
    </row>
    <row r="1808" customFormat="false" ht="21.75" hidden="false" customHeight="true" outlineLevel="0" collapsed="false">
      <c r="A1808" s="1"/>
      <c r="B1808" s="16"/>
      <c r="C1808" s="16"/>
      <c r="D1808" s="15"/>
      <c r="E1808" s="11" t="str">
        <f aca="false">IF(D1808="","",IFERROR(INDEX(Players!$C$5:$C$304,MATCH(D1808,Players!$B$5:$B$304,0)),""))</f>
        <v/>
      </c>
      <c r="F1808" s="22" t="str">
        <f aca="false">IF(D1808="","",IF(COUNTIFS($B$5:$B$2004,B1808,$D$5:$D$2004,D1808)&gt;1,"DUPLICATE",IF(ISNA(MATCH(D1808,Players!$B$5:$B$304,0)),"UID not found",IF(INDEX(Players!$H$5:$H$304,MATCH(D1808,Players!$B$5:$B$304,0))&lt;0,"LOW BALANCE","OK"))))</f>
        <v/>
      </c>
      <c r="G1808" s="1"/>
      <c r="H1808" s="1"/>
      <c r="I1808" s="1"/>
    </row>
    <row r="1809" customFormat="false" ht="21.75" hidden="false" customHeight="true" outlineLevel="0" collapsed="false">
      <c r="A1809" s="1"/>
      <c r="B1809" s="16"/>
      <c r="C1809" s="16"/>
      <c r="D1809" s="15"/>
      <c r="E1809" s="11" t="str">
        <f aca="false">IF(D1809="","",IFERROR(INDEX(Players!$C$5:$C$304,MATCH(D1809,Players!$B$5:$B$304,0)),""))</f>
        <v/>
      </c>
      <c r="F1809" s="22" t="str">
        <f aca="false">IF(D1809="","",IF(COUNTIFS($B$5:$B$2004,B1809,$D$5:$D$2004,D1809)&gt;1,"DUPLICATE",IF(ISNA(MATCH(D1809,Players!$B$5:$B$304,0)),"UID not found",IF(INDEX(Players!$H$5:$H$304,MATCH(D1809,Players!$B$5:$B$304,0))&lt;0,"LOW BALANCE","OK"))))</f>
        <v/>
      </c>
      <c r="G1809" s="1"/>
      <c r="H1809" s="1"/>
      <c r="I1809" s="1"/>
    </row>
    <row r="1810" customFormat="false" ht="21.75" hidden="false" customHeight="true" outlineLevel="0" collapsed="false">
      <c r="A1810" s="1"/>
      <c r="B1810" s="16"/>
      <c r="C1810" s="16"/>
      <c r="D1810" s="15"/>
      <c r="E1810" s="11" t="str">
        <f aca="false">IF(D1810="","",IFERROR(INDEX(Players!$C$5:$C$304,MATCH(D1810,Players!$B$5:$B$304,0)),""))</f>
        <v/>
      </c>
      <c r="F1810" s="22" t="str">
        <f aca="false">IF(D1810="","",IF(COUNTIFS($B$5:$B$2004,B1810,$D$5:$D$2004,D1810)&gt;1,"DUPLICATE",IF(ISNA(MATCH(D1810,Players!$B$5:$B$304,0)),"UID not found",IF(INDEX(Players!$H$5:$H$304,MATCH(D1810,Players!$B$5:$B$304,0))&lt;0,"LOW BALANCE","OK"))))</f>
        <v/>
      </c>
      <c r="G1810" s="1"/>
      <c r="H1810" s="1"/>
      <c r="I1810" s="1"/>
    </row>
    <row r="1811" customFormat="false" ht="21.75" hidden="false" customHeight="true" outlineLevel="0" collapsed="false">
      <c r="A1811" s="1"/>
      <c r="B1811" s="16"/>
      <c r="C1811" s="16"/>
      <c r="D1811" s="15"/>
      <c r="E1811" s="11" t="str">
        <f aca="false">IF(D1811="","",IFERROR(INDEX(Players!$C$5:$C$304,MATCH(D1811,Players!$B$5:$B$304,0)),""))</f>
        <v/>
      </c>
      <c r="F1811" s="22" t="str">
        <f aca="false">IF(D1811="","",IF(COUNTIFS($B$5:$B$2004,B1811,$D$5:$D$2004,D1811)&gt;1,"DUPLICATE",IF(ISNA(MATCH(D1811,Players!$B$5:$B$304,0)),"UID not found",IF(INDEX(Players!$H$5:$H$304,MATCH(D1811,Players!$B$5:$B$304,0))&lt;0,"LOW BALANCE","OK"))))</f>
        <v/>
      </c>
      <c r="G1811" s="1"/>
      <c r="H1811" s="1"/>
      <c r="I1811" s="1"/>
    </row>
    <row r="1812" customFormat="false" ht="21.75" hidden="false" customHeight="true" outlineLevel="0" collapsed="false">
      <c r="A1812" s="1"/>
      <c r="B1812" s="16"/>
      <c r="C1812" s="16"/>
      <c r="D1812" s="15"/>
      <c r="E1812" s="11" t="str">
        <f aca="false">IF(D1812="","",IFERROR(INDEX(Players!$C$5:$C$304,MATCH(D1812,Players!$B$5:$B$304,0)),""))</f>
        <v/>
      </c>
      <c r="F1812" s="22" t="str">
        <f aca="false">IF(D1812="","",IF(COUNTIFS($B$5:$B$2004,B1812,$D$5:$D$2004,D1812)&gt;1,"DUPLICATE",IF(ISNA(MATCH(D1812,Players!$B$5:$B$304,0)),"UID not found",IF(INDEX(Players!$H$5:$H$304,MATCH(D1812,Players!$B$5:$B$304,0))&lt;0,"LOW BALANCE","OK"))))</f>
        <v/>
      </c>
      <c r="G1812" s="1"/>
      <c r="H1812" s="1"/>
      <c r="I1812" s="1"/>
    </row>
    <row r="1813" customFormat="false" ht="21.75" hidden="false" customHeight="true" outlineLevel="0" collapsed="false">
      <c r="A1813" s="1"/>
      <c r="B1813" s="16"/>
      <c r="C1813" s="16"/>
      <c r="D1813" s="15"/>
      <c r="E1813" s="11" t="str">
        <f aca="false">IF(D1813="","",IFERROR(INDEX(Players!$C$5:$C$304,MATCH(D1813,Players!$B$5:$B$304,0)),""))</f>
        <v/>
      </c>
      <c r="F1813" s="22" t="str">
        <f aca="false">IF(D1813="","",IF(COUNTIFS($B$5:$B$2004,B1813,$D$5:$D$2004,D1813)&gt;1,"DUPLICATE",IF(ISNA(MATCH(D1813,Players!$B$5:$B$304,0)),"UID not found",IF(INDEX(Players!$H$5:$H$304,MATCH(D1813,Players!$B$5:$B$304,0))&lt;0,"LOW BALANCE","OK"))))</f>
        <v/>
      </c>
      <c r="G1813" s="1"/>
      <c r="H1813" s="1"/>
      <c r="I1813" s="1"/>
    </row>
    <row r="1814" customFormat="false" ht="21.75" hidden="false" customHeight="true" outlineLevel="0" collapsed="false">
      <c r="A1814" s="1"/>
      <c r="B1814" s="16"/>
      <c r="C1814" s="16"/>
      <c r="D1814" s="15"/>
      <c r="E1814" s="11" t="str">
        <f aca="false">IF(D1814="","",IFERROR(INDEX(Players!$C$5:$C$304,MATCH(D1814,Players!$B$5:$B$304,0)),""))</f>
        <v/>
      </c>
      <c r="F1814" s="22" t="str">
        <f aca="false">IF(D1814="","",IF(COUNTIFS($B$5:$B$2004,B1814,$D$5:$D$2004,D1814)&gt;1,"DUPLICATE",IF(ISNA(MATCH(D1814,Players!$B$5:$B$304,0)),"UID not found",IF(INDEX(Players!$H$5:$H$304,MATCH(D1814,Players!$B$5:$B$304,0))&lt;0,"LOW BALANCE","OK"))))</f>
        <v/>
      </c>
      <c r="G1814" s="1"/>
      <c r="H1814" s="1"/>
      <c r="I1814" s="1"/>
    </row>
    <row r="1815" customFormat="false" ht="21.75" hidden="false" customHeight="true" outlineLevel="0" collapsed="false">
      <c r="A1815" s="1"/>
      <c r="B1815" s="16"/>
      <c r="C1815" s="16"/>
      <c r="D1815" s="15"/>
      <c r="E1815" s="11" t="str">
        <f aca="false">IF(D1815="","",IFERROR(INDEX(Players!$C$5:$C$304,MATCH(D1815,Players!$B$5:$B$304,0)),""))</f>
        <v/>
      </c>
      <c r="F1815" s="22" t="str">
        <f aca="false">IF(D1815="","",IF(COUNTIFS($B$5:$B$2004,B1815,$D$5:$D$2004,D1815)&gt;1,"DUPLICATE",IF(ISNA(MATCH(D1815,Players!$B$5:$B$304,0)),"UID not found",IF(INDEX(Players!$H$5:$H$304,MATCH(D1815,Players!$B$5:$B$304,0))&lt;0,"LOW BALANCE","OK"))))</f>
        <v/>
      </c>
      <c r="G1815" s="1"/>
      <c r="H1815" s="1"/>
      <c r="I1815" s="1"/>
    </row>
    <row r="1816" customFormat="false" ht="21.75" hidden="false" customHeight="true" outlineLevel="0" collapsed="false">
      <c r="A1816" s="1"/>
      <c r="B1816" s="16"/>
      <c r="C1816" s="16"/>
      <c r="D1816" s="15"/>
      <c r="E1816" s="11" t="str">
        <f aca="false">IF(D1816="","",IFERROR(INDEX(Players!$C$5:$C$304,MATCH(D1816,Players!$B$5:$B$304,0)),""))</f>
        <v/>
      </c>
      <c r="F1816" s="22" t="str">
        <f aca="false">IF(D1816="","",IF(COUNTIFS($B$5:$B$2004,B1816,$D$5:$D$2004,D1816)&gt;1,"DUPLICATE",IF(ISNA(MATCH(D1816,Players!$B$5:$B$304,0)),"UID not found",IF(INDEX(Players!$H$5:$H$304,MATCH(D1816,Players!$B$5:$B$304,0))&lt;0,"LOW BALANCE","OK"))))</f>
        <v/>
      </c>
      <c r="G1816" s="1"/>
      <c r="H1816" s="1"/>
      <c r="I1816" s="1"/>
    </row>
    <row r="1817" customFormat="false" ht="21.75" hidden="false" customHeight="true" outlineLevel="0" collapsed="false">
      <c r="A1817" s="1"/>
      <c r="B1817" s="16"/>
      <c r="C1817" s="16"/>
      <c r="D1817" s="15"/>
      <c r="E1817" s="11" t="str">
        <f aca="false">IF(D1817="","",IFERROR(INDEX(Players!$C$5:$C$304,MATCH(D1817,Players!$B$5:$B$304,0)),""))</f>
        <v/>
      </c>
      <c r="F1817" s="22" t="str">
        <f aca="false">IF(D1817="","",IF(COUNTIFS($B$5:$B$2004,B1817,$D$5:$D$2004,D1817)&gt;1,"DUPLICATE",IF(ISNA(MATCH(D1817,Players!$B$5:$B$304,0)),"UID not found",IF(INDEX(Players!$H$5:$H$304,MATCH(D1817,Players!$B$5:$B$304,0))&lt;0,"LOW BALANCE","OK"))))</f>
        <v/>
      </c>
      <c r="G1817" s="1"/>
      <c r="H1817" s="1"/>
      <c r="I1817" s="1"/>
    </row>
    <row r="1818" customFormat="false" ht="21.75" hidden="false" customHeight="true" outlineLevel="0" collapsed="false">
      <c r="A1818" s="1"/>
      <c r="B1818" s="16"/>
      <c r="C1818" s="16"/>
      <c r="D1818" s="15"/>
      <c r="E1818" s="11" t="str">
        <f aca="false">IF(D1818="","",IFERROR(INDEX(Players!$C$5:$C$304,MATCH(D1818,Players!$B$5:$B$304,0)),""))</f>
        <v/>
      </c>
      <c r="F1818" s="22" t="str">
        <f aca="false">IF(D1818="","",IF(COUNTIFS($B$5:$B$2004,B1818,$D$5:$D$2004,D1818)&gt;1,"DUPLICATE",IF(ISNA(MATCH(D1818,Players!$B$5:$B$304,0)),"UID not found",IF(INDEX(Players!$H$5:$H$304,MATCH(D1818,Players!$B$5:$B$304,0))&lt;0,"LOW BALANCE","OK"))))</f>
        <v/>
      </c>
      <c r="G1818" s="1"/>
      <c r="H1818" s="1"/>
      <c r="I1818" s="1"/>
    </row>
    <row r="1819" customFormat="false" ht="21.75" hidden="false" customHeight="true" outlineLevel="0" collapsed="false">
      <c r="A1819" s="1"/>
      <c r="B1819" s="16"/>
      <c r="C1819" s="16"/>
      <c r="D1819" s="15"/>
      <c r="E1819" s="11" t="str">
        <f aca="false">IF(D1819="","",IFERROR(INDEX(Players!$C$5:$C$304,MATCH(D1819,Players!$B$5:$B$304,0)),""))</f>
        <v/>
      </c>
      <c r="F1819" s="22" t="str">
        <f aca="false">IF(D1819="","",IF(COUNTIFS($B$5:$B$2004,B1819,$D$5:$D$2004,D1819)&gt;1,"DUPLICATE",IF(ISNA(MATCH(D1819,Players!$B$5:$B$304,0)),"UID not found",IF(INDEX(Players!$H$5:$H$304,MATCH(D1819,Players!$B$5:$B$304,0))&lt;0,"LOW BALANCE","OK"))))</f>
        <v/>
      </c>
      <c r="G1819" s="1"/>
      <c r="H1819" s="1"/>
      <c r="I1819" s="1"/>
    </row>
    <row r="1820" customFormat="false" ht="21.75" hidden="false" customHeight="true" outlineLevel="0" collapsed="false">
      <c r="A1820" s="1"/>
      <c r="B1820" s="16"/>
      <c r="C1820" s="16"/>
      <c r="D1820" s="15"/>
      <c r="E1820" s="11" t="str">
        <f aca="false">IF(D1820="","",IFERROR(INDEX(Players!$C$5:$C$304,MATCH(D1820,Players!$B$5:$B$304,0)),""))</f>
        <v/>
      </c>
      <c r="F1820" s="22" t="str">
        <f aca="false">IF(D1820="","",IF(COUNTIFS($B$5:$B$2004,B1820,$D$5:$D$2004,D1820)&gt;1,"DUPLICATE",IF(ISNA(MATCH(D1820,Players!$B$5:$B$304,0)),"UID not found",IF(INDEX(Players!$H$5:$H$304,MATCH(D1820,Players!$B$5:$B$304,0))&lt;0,"LOW BALANCE","OK"))))</f>
        <v/>
      </c>
      <c r="G1820" s="1"/>
      <c r="H1820" s="1"/>
      <c r="I1820" s="1"/>
    </row>
    <row r="1821" customFormat="false" ht="21.75" hidden="false" customHeight="true" outlineLevel="0" collapsed="false">
      <c r="A1821" s="1"/>
      <c r="B1821" s="16"/>
      <c r="C1821" s="16"/>
      <c r="D1821" s="15"/>
      <c r="E1821" s="11" t="str">
        <f aca="false">IF(D1821="","",IFERROR(INDEX(Players!$C$5:$C$304,MATCH(D1821,Players!$B$5:$B$304,0)),""))</f>
        <v/>
      </c>
      <c r="F1821" s="22" t="str">
        <f aca="false">IF(D1821="","",IF(COUNTIFS($B$5:$B$2004,B1821,$D$5:$D$2004,D1821)&gt;1,"DUPLICATE",IF(ISNA(MATCH(D1821,Players!$B$5:$B$304,0)),"UID not found",IF(INDEX(Players!$H$5:$H$304,MATCH(D1821,Players!$B$5:$B$304,0))&lt;0,"LOW BALANCE","OK"))))</f>
        <v/>
      </c>
      <c r="G1821" s="1"/>
      <c r="H1821" s="1"/>
      <c r="I1821" s="1"/>
    </row>
    <row r="1822" customFormat="false" ht="21.75" hidden="false" customHeight="true" outlineLevel="0" collapsed="false">
      <c r="A1822" s="1"/>
      <c r="B1822" s="16"/>
      <c r="C1822" s="16"/>
      <c r="D1822" s="15"/>
      <c r="E1822" s="11" t="str">
        <f aca="false">IF(D1822="","",IFERROR(INDEX(Players!$C$5:$C$304,MATCH(D1822,Players!$B$5:$B$304,0)),""))</f>
        <v/>
      </c>
      <c r="F1822" s="22" t="str">
        <f aca="false">IF(D1822="","",IF(COUNTIFS($B$5:$B$2004,B1822,$D$5:$D$2004,D1822)&gt;1,"DUPLICATE",IF(ISNA(MATCH(D1822,Players!$B$5:$B$304,0)),"UID not found",IF(INDEX(Players!$H$5:$H$304,MATCH(D1822,Players!$B$5:$B$304,0))&lt;0,"LOW BALANCE","OK"))))</f>
        <v/>
      </c>
      <c r="G1822" s="1"/>
      <c r="H1822" s="1"/>
      <c r="I1822" s="1"/>
    </row>
    <row r="1823" customFormat="false" ht="21.75" hidden="false" customHeight="true" outlineLevel="0" collapsed="false">
      <c r="A1823" s="1"/>
      <c r="B1823" s="16"/>
      <c r="C1823" s="16"/>
      <c r="D1823" s="15"/>
      <c r="E1823" s="11" t="str">
        <f aca="false">IF(D1823="","",IFERROR(INDEX(Players!$C$5:$C$304,MATCH(D1823,Players!$B$5:$B$304,0)),""))</f>
        <v/>
      </c>
      <c r="F1823" s="22" t="str">
        <f aca="false">IF(D1823="","",IF(COUNTIFS($B$5:$B$2004,B1823,$D$5:$D$2004,D1823)&gt;1,"DUPLICATE",IF(ISNA(MATCH(D1823,Players!$B$5:$B$304,0)),"UID not found",IF(INDEX(Players!$H$5:$H$304,MATCH(D1823,Players!$B$5:$B$304,0))&lt;0,"LOW BALANCE","OK"))))</f>
        <v/>
      </c>
      <c r="G1823" s="1"/>
      <c r="H1823" s="1"/>
      <c r="I1823" s="1"/>
    </row>
    <row r="1824" customFormat="false" ht="21.75" hidden="false" customHeight="true" outlineLevel="0" collapsed="false">
      <c r="A1824" s="1"/>
      <c r="B1824" s="16"/>
      <c r="C1824" s="16"/>
      <c r="D1824" s="15"/>
      <c r="E1824" s="11" t="str">
        <f aca="false">IF(D1824="","",IFERROR(INDEX(Players!$C$5:$C$304,MATCH(D1824,Players!$B$5:$B$304,0)),""))</f>
        <v/>
      </c>
      <c r="F1824" s="22" t="str">
        <f aca="false">IF(D1824="","",IF(COUNTIFS($B$5:$B$2004,B1824,$D$5:$D$2004,D1824)&gt;1,"DUPLICATE",IF(ISNA(MATCH(D1824,Players!$B$5:$B$304,0)),"UID not found",IF(INDEX(Players!$H$5:$H$304,MATCH(D1824,Players!$B$5:$B$304,0))&lt;0,"LOW BALANCE","OK"))))</f>
        <v/>
      </c>
      <c r="G1824" s="1"/>
      <c r="H1824" s="1"/>
      <c r="I1824" s="1"/>
    </row>
    <row r="1825" customFormat="false" ht="21.75" hidden="false" customHeight="true" outlineLevel="0" collapsed="false">
      <c r="A1825" s="1"/>
      <c r="B1825" s="16"/>
      <c r="C1825" s="16"/>
      <c r="D1825" s="15"/>
      <c r="E1825" s="11" t="str">
        <f aca="false">IF(D1825="","",IFERROR(INDEX(Players!$C$5:$C$304,MATCH(D1825,Players!$B$5:$B$304,0)),""))</f>
        <v/>
      </c>
      <c r="F1825" s="22" t="str">
        <f aca="false">IF(D1825="","",IF(COUNTIFS($B$5:$B$2004,B1825,$D$5:$D$2004,D1825)&gt;1,"DUPLICATE",IF(ISNA(MATCH(D1825,Players!$B$5:$B$304,0)),"UID not found",IF(INDEX(Players!$H$5:$H$304,MATCH(D1825,Players!$B$5:$B$304,0))&lt;0,"LOW BALANCE","OK"))))</f>
        <v/>
      </c>
      <c r="G1825" s="1"/>
      <c r="H1825" s="1"/>
      <c r="I1825" s="1"/>
    </row>
    <row r="1826" customFormat="false" ht="21.75" hidden="false" customHeight="true" outlineLevel="0" collapsed="false">
      <c r="A1826" s="1"/>
      <c r="B1826" s="16"/>
      <c r="C1826" s="16"/>
      <c r="D1826" s="15"/>
      <c r="E1826" s="11" t="str">
        <f aca="false">IF(D1826="","",IFERROR(INDEX(Players!$C$5:$C$304,MATCH(D1826,Players!$B$5:$B$304,0)),""))</f>
        <v/>
      </c>
      <c r="F1826" s="22" t="str">
        <f aca="false">IF(D1826="","",IF(COUNTIFS($B$5:$B$2004,B1826,$D$5:$D$2004,D1826)&gt;1,"DUPLICATE",IF(ISNA(MATCH(D1826,Players!$B$5:$B$304,0)),"UID not found",IF(INDEX(Players!$H$5:$H$304,MATCH(D1826,Players!$B$5:$B$304,0))&lt;0,"LOW BALANCE","OK"))))</f>
        <v/>
      </c>
      <c r="G1826" s="1"/>
      <c r="H1826" s="1"/>
      <c r="I1826" s="1"/>
    </row>
    <row r="1827" customFormat="false" ht="21.75" hidden="false" customHeight="true" outlineLevel="0" collapsed="false">
      <c r="A1827" s="1"/>
      <c r="B1827" s="16"/>
      <c r="C1827" s="16"/>
      <c r="D1827" s="15"/>
      <c r="E1827" s="11" t="str">
        <f aca="false">IF(D1827="","",IFERROR(INDEX(Players!$C$5:$C$304,MATCH(D1827,Players!$B$5:$B$304,0)),""))</f>
        <v/>
      </c>
      <c r="F1827" s="22" t="str">
        <f aca="false">IF(D1827="","",IF(COUNTIFS($B$5:$B$2004,B1827,$D$5:$D$2004,D1827)&gt;1,"DUPLICATE",IF(ISNA(MATCH(D1827,Players!$B$5:$B$304,0)),"UID not found",IF(INDEX(Players!$H$5:$H$304,MATCH(D1827,Players!$B$5:$B$304,0))&lt;0,"LOW BALANCE","OK"))))</f>
        <v/>
      </c>
      <c r="G1827" s="1"/>
      <c r="H1827" s="1"/>
      <c r="I1827" s="1"/>
    </row>
    <row r="1828" customFormat="false" ht="21.75" hidden="false" customHeight="true" outlineLevel="0" collapsed="false">
      <c r="A1828" s="1"/>
      <c r="B1828" s="16"/>
      <c r="C1828" s="16"/>
      <c r="D1828" s="15"/>
      <c r="E1828" s="11" t="str">
        <f aca="false">IF(D1828="","",IFERROR(INDEX(Players!$C$5:$C$304,MATCH(D1828,Players!$B$5:$B$304,0)),""))</f>
        <v/>
      </c>
      <c r="F1828" s="22" t="str">
        <f aca="false">IF(D1828="","",IF(COUNTIFS($B$5:$B$2004,B1828,$D$5:$D$2004,D1828)&gt;1,"DUPLICATE",IF(ISNA(MATCH(D1828,Players!$B$5:$B$304,0)),"UID not found",IF(INDEX(Players!$H$5:$H$304,MATCH(D1828,Players!$B$5:$B$304,0))&lt;0,"LOW BALANCE","OK"))))</f>
        <v/>
      </c>
      <c r="G1828" s="1"/>
      <c r="H1828" s="1"/>
      <c r="I1828" s="1"/>
    </row>
    <row r="1829" customFormat="false" ht="21.75" hidden="false" customHeight="true" outlineLevel="0" collapsed="false">
      <c r="A1829" s="1"/>
      <c r="B1829" s="16"/>
      <c r="C1829" s="16"/>
      <c r="D1829" s="15"/>
      <c r="E1829" s="11" t="str">
        <f aca="false">IF(D1829="","",IFERROR(INDEX(Players!$C$5:$C$304,MATCH(D1829,Players!$B$5:$B$304,0)),""))</f>
        <v/>
      </c>
      <c r="F1829" s="22" t="str">
        <f aca="false">IF(D1829="","",IF(COUNTIFS($B$5:$B$2004,B1829,$D$5:$D$2004,D1829)&gt;1,"DUPLICATE",IF(ISNA(MATCH(D1829,Players!$B$5:$B$304,0)),"UID not found",IF(INDEX(Players!$H$5:$H$304,MATCH(D1829,Players!$B$5:$B$304,0))&lt;0,"LOW BALANCE","OK"))))</f>
        <v/>
      </c>
      <c r="G1829" s="1"/>
      <c r="H1829" s="1"/>
      <c r="I1829" s="1"/>
    </row>
    <row r="1830" customFormat="false" ht="21.75" hidden="false" customHeight="true" outlineLevel="0" collapsed="false">
      <c r="A1830" s="1"/>
      <c r="B1830" s="16"/>
      <c r="C1830" s="16"/>
      <c r="D1830" s="15"/>
      <c r="E1830" s="11" t="str">
        <f aca="false">IF(D1830="","",IFERROR(INDEX(Players!$C$5:$C$304,MATCH(D1830,Players!$B$5:$B$304,0)),""))</f>
        <v/>
      </c>
      <c r="F1830" s="22" t="str">
        <f aca="false">IF(D1830="","",IF(COUNTIFS($B$5:$B$2004,B1830,$D$5:$D$2004,D1830)&gt;1,"DUPLICATE",IF(ISNA(MATCH(D1830,Players!$B$5:$B$304,0)),"UID not found",IF(INDEX(Players!$H$5:$H$304,MATCH(D1830,Players!$B$5:$B$304,0))&lt;0,"LOW BALANCE","OK"))))</f>
        <v/>
      </c>
      <c r="G1830" s="1"/>
      <c r="H1830" s="1"/>
      <c r="I1830" s="1"/>
    </row>
    <row r="1831" customFormat="false" ht="21.75" hidden="false" customHeight="true" outlineLevel="0" collapsed="false">
      <c r="A1831" s="1"/>
      <c r="B1831" s="16"/>
      <c r="C1831" s="16"/>
      <c r="D1831" s="15"/>
      <c r="E1831" s="11" t="str">
        <f aca="false">IF(D1831="","",IFERROR(INDEX(Players!$C$5:$C$304,MATCH(D1831,Players!$B$5:$B$304,0)),""))</f>
        <v/>
      </c>
      <c r="F1831" s="22" t="str">
        <f aca="false">IF(D1831="","",IF(COUNTIFS($B$5:$B$2004,B1831,$D$5:$D$2004,D1831)&gt;1,"DUPLICATE",IF(ISNA(MATCH(D1831,Players!$B$5:$B$304,0)),"UID not found",IF(INDEX(Players!$H$5:$H$304,MATCH(D1831,Players!$B$5:$B$304,0))&lt;0,"LOW BALANCE","OK"))))</f>
        <v/>
      </c>
      <c r="G1831" s="1"/>
      <c r="H1831" s="1"/>
      <c r="I1831" s="1"/>
    </row>
    <row r="1832" customFormat="false" ht="21.75" hidden="false" customHeight="true" outlineLevel="0" collapsed="false">
      <c r="A1832" s="1"/>
      <c r="B1832" s="16"/>
      <c r="C1832" s="16"/>
      <c r="D1832" s="15"/>
      <c r="E1832" s="11" t="str">
        <f aca="false">IF(D1832="","",IFERROR(INDEX(Players!$C$5:$C$304,MATCH(D1832,Players!$B$5:$B$304,0)),""))</f>
        <v/>
      </c>
      <c r="F1832" s="22" t="str">
        <f aca="false">IF(D1832="","",IF(COUNTIFS($B$5:$B$2004,B1832,$D$5:$D$2004,D1832)&gt;1,"DUPLICATE",IF(ISNA(MATCH(D1832,Players!$B$5:$B$304,0)),"UID not found",IF(INDEX(Players!$H$5:$H$304,MATCH(D1832,Players!$B$5:$B$304,0))&lt;0,"LOW BALANCE","OK"))))</f>
        <v/>
      </c>
      <c r="G1832" s="1"/>
      <c r="H1832" s="1"/>
      <c r="I1832" s="1"/>
    </row>
    <row r="1833" customFormat="false" ht="21.75" hidden="false" customHeight="true" outlineLevel="0" collapsed="false">
      <c r="A1833" s="1"/>
      <c r="B1833" s="16"/>
      <c r="C1833" s="16"/>
      <c r="D1833" s="15"/>
      <c r="E1833" s="11" t="str">
        <f aca="false">IF(D1833="","",IFERROR(INDEX(Players!$C$5:$C$304,MATCH(D1833,Players!$B$5:$B$304,0)),""))</f>
        <v/>
      </c>
      <c r="F1833" s="22" t="str">
        <f aca="false">IF(D1833="","",IF(COUNTIFS($B$5:$B$2004,B1833,$D$5:$D$2004,D1833)&gt;1,"DUPLICATE",IF(ISNA(MATCH(D1833,Players!$B$5:$B$304,0)),"UID not found",IF(INDEX(Players!$H$5:$H$304,MATCH(D1833,Players!$B$5:$B$304,0))&lt;0,"LOW BALANCE","OK"))))</f>
        <v/>
      </c>
      <c r="G1833" s="1"/>
      <c r="H1833" s="1"/>
      <c r="I1833" s="1"/>
    </row>
    <row r="1834" customFormat="false" ht="21.75" hidden="false" customHeight="true" outlineLevel="0" collapsed="false">
      <c r="A1834" s="1"/>
      <c r="B1834" s="16"/>
      <c r="C1834" s="16"/>
      <c r="D1834" s="15"/>
      <c r="E1834" s="11" t="str">
        <f aca="false">IF(D1834="","",IFERROR(INDEX(Players!$C$5:$C$304,MATCH(D1834,Players!$B$5:$B$304,0)),""))</f>
        <v/>
      </c>
      <c r="F1834" s="22" t="str">
        <f aca="false">IF(D1834="","",IF(COUNTIFS($B$5:$B$2004,B1834,$D$5:$D$2004,D1834)&gt;1,"DUPLICATE",IF(ISNA(MATCH(D1834,Players!$B$5:$B$304,0)),"UID not found",IF(INDEX(Players!$H$5:$H$304,MATCH(D1834,Players!$B$5:$B$304,0))&lt;0,"LOW BALANCE","OK"))))</f>
        <v/>
      </c>
      <c r="G1834" s="1"/>
      <c r="H1834" s="1"/>
      <c r="I1834" s="1"/>
    </row>
    <row r="1835" customFormat="false" ht="21.75" hidden="false" customHeight="true" outlineLevel="0" collapsed="false">
      <c r="A1835" s="1"/>
      <c r="B1835" s="16"/>
      <c r="C1835" s="16"/>
      <c r="D1835" s="15"/>
      <c r="E1835" s="11" t="str">
        <f aca="false">IF(D1835="","",IFERROR(INDEX(Players!$C$5:$C$304,MATCH(D1835,Players!$B$5:$B$304,0)),""))</f>
        <v/>
      </c>
      <c r="F1835" s="22" t="str">
        <f aca="false">IF(D1835="","",IF(COUNTIFS($B$5:$B$2004,B1835,$D$5:$D$2004,D1835)&gt;1,"DUPLICATE",IF(ISNA(MATCH(D1835,Players!$B$5:$B$304,0)),"UID not found",IF(INDEX(Players!$H$5:$H$304,MATCH(D1835,Players!$B$5:$B$304,0))&lt;0,"LOW BALANCE","OK"))))</f>
        <v/>
      </c>
      <c r="G1835" s="1"/>
      <c r="H1835" s="1"/>
      <c r="I1835" s="1"/>
    </row>
    <row r="1836" customFormat="false" ht="21.75" hidden="false" customHeight="true" outlineLevel="0" collapsed="false">
      <c r="A1836" s="1"/>
      <c r="B1836" s="16"/>
      <c r="C1836" s="16"/>
      <c r="D1836" s="15"/>
      <c r="E1836" s="11" t="str">
        <f aca="false">IF(D1836="","",IFERROR(INDEX(Players!$C$5:$C$304,MATCH(D1836,Players!$B$5:$B$304,0)),""))</f>
        <v/>
      </c>
      <c r="F1836" s="22" t="str">
        <f aca="false">IF(D1836="","",IF(COUNTIFS($B$5:$B$2004,B1836,$D$5:$D$2004,D1836)&gt;1,"DUPLICATE",IF(ISNA(MATCH(D1836,Players!$B$5:$B$304,0)),"UID not found",IF(INDEX(Players!$H$5:$H$304,MATCH(D1836,Players!$B$5:$B$304,0))&lt;0,"LOW BALANCE","OK"))))</f>
        <v/>
      </c>
      <c r="G1836" s="1"/>
      <c r="H1836" s="1"/>
      <c r="I1836" s="1"/>
    </row>
    <row r="1837" customFormat="false" ht="21.75" hidden="false" customHeight="true" outlineLevel="0" collapsed="false">
      <c r="A1837" s="1"/>
      <c r="B1837" s="16"/>
      <c r="C1837" s="16"/>
      <c r="D1837" s="15"/>
      <c r="E1837" s="11" t="str">
        <f aca="false">IF(D1837="","",IFERROR(INDEX(Players!$C$5:$C$304,MATCH(D1837,Players!$B$5:$B$304,0)),""))</f>
        <v/>
      </c>
      <c r="F1837" s="22" t="str">
        <f aca="false">IF(D1837="","",IF(COUNTIFS($B$5:$B$2004,B1837,$D$5:$D$2004,D1837)&gt;1,"DUPLICATE",IF(ISNA(MATCH(D1837,Players!$B$5:$B$304,0)),"UID not found",IF(INDEX(Players!$H$5:$H$304,MATCH(D1837,Players!$B$5:$B$304,0))&lt;0,"LOW BALANCE","OK"))))</f>
        <v/>
      </c>
      <c r="G1837" s="1"/>
      <c r="H1837" s="1"/>
      <c r="I1837" s="1"/>
    </row>
    <row r="1838" customFormat="false" ht="21.75" hidden="false" customHeight="true" outlineLevel="0" collapsed="false">
      <c r="A1838" s="1"/>
      <c r="B1838" s="16"/>
      <c r="C1838" s="16"/>
      <c r="D1838" s="15"/>
      <c r="E1838" s="11" t="str">
        <f aca="false">IF(D1838="","",IFERROR(INDEX(Players!$C$5:$C$304,MATCH(D1838,Players!$B$5:$B$304,0)),""))</f>
        <v/>
      </c>
      <c r="F1838" s="22" t="str">
        <f aca="false">IF(D1838="","",IF(COUNTIFS($B$5:$B$2004,B1838,$D$5:$D$2004,D1838)&gt;1,"DUPLICATE",IF(ISNA(MATCH(D1838,Players!$B$5:$B$304,0)),"UID not found",IF(INDEX(Players!$H$5:$H$304,MATCH(D1838,Players!$B$5:$B$304,0))&lt;0,"LOW BALANCE","OK"))))</f>
        <v/>
      </c>
      <c r="G1838" s="1"/>
      <c r="H1838" s="1"/>
      <c r="I1838" s="1"/>
    </row>
    <row r="1839" customFormat="false" ht="21.75" hidden="false" customHeight="true" outlineLevel="0" collapsed="false">
      <c r="A1839" s="1"/>
      <c r="B1839" s="16"/>
      <c r="C1839" s="16"/>
      <c r="D1839" s="15"/>
      <c r="E1839" s="11" t="str">
        <f aca="false">IF(D1839="","",IFERROR(INDEX(Players!$C$5:$C$304,MATCH(D1839,Players!$B$5:$B$304,0)),""))</f>
        <v/>
      </c>
      <c r="F1839" s="22" t="str">
        <f aca="false">IF(D1839="","",IF(COUNTIFS($B$5:$B$2004,B1839,$D$5:$D$2004,D1839)&gt;1,"DUPLICATE",IF(ISNA(MATCH(D1839,Players!$B$5:$B$304,0)),"UID not found",IF(INDEX(Players!$H$5:$H$304,MATCH(D1839,Players!$B$5:$B$304,0))&lt;0,"LOW BALANCE","OK"))))</f>
        <v/>
      </c>
      <c r="G1839" s="1"/>
      <c r="H1839" s="1"/>
      <c r="I1839" s="1"/>
    </row>
    <row r="1840" customFormat="false" ht="21.75" hidden="false" customHeight="true" outlineLevel="0" collapsed="false">
      <c r="A1840" s="1"/>
      <c r="B1840" s="16"/>
      <c r="C1840" s="16"/>
      <c r="D1840" s="15"/>
      <c r="E1840" s="11" t="str">
        <f aca="false">IF(D1840="","",IFERROR(INDEX(Players!$C$5:$C$304,MATCH(D1840,Players!$B$5:$B$304,0)),""))</f>
        <v/>
      </c>
      <c r="F1840" s="22" t="str">
        <f aca="false">IF(D1840="","",IF(COUNTIFS($B$5:$B$2004,B1840,$D$5:$D$2004,D1840)&gt;1,"DUPLICATE",IF(ISNA(MATCH(D1840,Players!$B$5:$B$304,0)),"UID not found",IF(INDEX(Players!$H$5:$H$304,MATCH(D1840,Players!$B$5:$B$304,0))&lt;0,"LOW BALANCE","OK"))))</f>
        <v/>
      </c>
      <c r="G1840" s="1"/>
      <c r="H1840" s="1"/>
      <c r="I1840" s="1"/>
    </row>
    <row r="1841" customFormat="false" ht="21.75" hidden="false" customHeight="true" outlineLevel="0" collapsed="false">
      <c r="A1841" s="1"/>
      <c r="B1841" s="16"/>
      <c r="C1841" s="16"/>
      <c r="D1841" s="15"/>
      <c r="E1841" s="11" t="str">
        <f aca="false">IF(D1841="","",IFERROR(INDEX(Players!$C$5:$C$304,MATCH(D1841,Players!$B$5:$B$304,0)),""))</f>
        <v/>
      </c>
      <c r="F1841" s="22" t="str">
        <f aca="false">IF(D1841="","",IF(COUNTIFS($B$5:$B$2004,B1841,$D$5:$D$2004,D1841)&gt;1,"DUPLICATE",IF(ISNA(MATCH(D1841,Players!$B$5:$B$304,0)),"UID not found",IF(INDEX(Players!$H$5:$H$304,MATCH(D1841,Players!$B$5:$B$304,0))&lt;0,"LOW BALANCE","OK"))))</f>
        <v/>
      </c>
      <c r="G1841" s="1"/>
      <c r="H1841" s="1"/>
      <c r="I1841" s="1"/>
    </row>
    <row r="1842" customFormat="false" ht="21.75" hidden="false" customHeight="true" outlineLevel="0" collapsed="false">
      <c r="A1842" s="1"/>
      <c r="B1842" s="16"/>
      <c r="C1842" s="16"/>
      <c r="D1842" s="15"/>
      <c r="E1842" s="11" t="str">
        <f aca="false">IF(D1842="","",IFERROR(INDEX(Players!$C$5:$C$304,MATCH(D1842,Players!$B$5:$B$304,0)),""))</f>
        <v/>
      </c>
      <c r="F1842" s="22" t="str">
        <f aca="false">IF(D1842="","",IF(COUNTIFS($B$5:$B$2004,B1842,$D$5:$D$2004,D1842)&gt;1,"DUPLICATE",IF(ISNA(MATCH(D1842,Players!$B$5:$B$304,0)),"UID not found",IF(INDEX(Players!$H$5:$H$304,MATCH(D1842,Players!$B$5:$B$304,0))&lt;0,"LOW BALANCE","OK"))))</f>
        <v/>
      </c>
      <c r="G1842" s="1"/>
      <c r="H1842" s="1"/>
      <c r="I1842" s="1"/>
    </row>
    <row r="1843" customFormat="false" ht="21.75" hidden="false" customHeight="true" outlineLevel="0" collapsed="false">
      <c r="A1843" s="1"/>
      <c r="B1843" s="16"/>
      <c r="C1843" s="16"/>
      <c r="D1843" s="15"/>
      <c r="E1843" s="11" t="str">
        <f aca="false">IF(D1843="","",IFERROR(INDEX(Players!$C$5:$C$304,MATCH(D1843,Players!$B$5:$B$304,0)),""))</f>
        <v/>
      </c>
      <c r="F1843" s="22" t="str">
        <f aca="false">IF(D1843="","",IF(COUNTIFS($B$5:$B$2004,B1843,$D$5:$D$2004,D1843)&gt;1,"DUPLICATE",IF(ISNA(MATCH(D1843,Players!$B$5:$B$304,0)),"UID not found",IF(INDEX(Players!$H$5:$H$304,MATCH(D1843,Players!$B$5:$B$304,0))&lt;0,"LOW BALANCE","OK"))))</f>
        <v/>
      </c>
      <c r="G1843" s="1"/>
      <c r="H1843" s="1"/>
      <c r="I1843" s="1"/>
    </row>
    <row r="1844" customFormat="false" ht="21.75" hidden="false" customHeight="true" outlineLevel="0" collapsed="false">
      <c r="A1844" s="1"/>
      <c r="B1844" s="16"/>
      <c r="C1844" s="16"/>
      <c r="D1844" s="15"/>
      <c r="E1844" s="11" t="str">
        <f aca="false">IF(D1844="","",IFERROR(INDEX(Players!$C$5:$C$304,MATCH(D1844,Players!$B$5:$B$304,0)),""))</f>
        <v/>
      </c>
      <c r="F1844" s="22" t="str">
        <f aca="false">IF(D1844="","",IF(COUNTIFS($B$5:$B$2004,B1844,$D$5:$D$2004,D1844)&gt;1,"DUPLICATE",IF(ISNA(MATCH(D1844,Players!$B$5:$B$304,0)),"UID not found",IF(INDEX(Players!$H$5:$H$304,MATCH(D1844,Players!$B$5:$B$304,0))&lt;0,"LOW BALANCE","OK"))))</f>
        <v/>
      </c>
      <c r="G1844" s="1"/>
      <c r="H1844" s="1"/>
      <c r="I1844" s="1"/>
    </row>
    <row r="1845" customFormat="false" ht="21.75" hidden="false" customHeight="true" outlineLevel="0" collapsed="false">
      <c r="A1845" s="1"/>
      <c r="B1845" s="16"/>
      <c r="C1845" s="16"/>
      <c r="D1845" s="15"/>
      <c r="E1845" s="11" t="str">
        <f aca="false">IF(D1845="","",IFERROR(INDEX(Players!$C$5:$C$304,MATCH(D1845,Players!$B$5:$B$304,0)),""))</f>
        <v/>
      </c>
      <c r="F1845" s="22" t="str">
        <f aca="false">IF(D1845="","",IF(COUNTIFS($B$5:$B$2004,B1845,$D$5:$D$2004,D1845)&gt;1,"DUPLICATE",IF(ISNA(MATCH(D1845,Players!$B$5:$B$304,0)),"UID not found",IF(INDEX(Players!$H$5:$H$304,MATCH(D1845,Players!$B$5:$B$304,0))&lt;0,"LOW BALANCE","OK"))))</f>
        <v/>
      </c>
      <c r="G1845" s="1"/>
      <c r="H1845" s="1"/>
      <c r="I1845" s="1"/>
    </row>
    <row r="1846" customFormat="false" ht="21.75" hidden="false" customHeight="true" outlineLevel="0" collapsed="false">
      <c r="A1846" s="1"/>
      <c r="B1846" s="16"/>
      <c r="C1846" s="16"/>
      <c r="D1846" s="15"/>
      <c r="E1846" s="11" t="str">
        <f aca="false">IF(D1846="","",IFERROR(INDEX(Players!$C$5:$C$304,MATCH(D1846,Players!$B$5:$B$304,0)),""))</f>
        <v/>
      </c>
      <c r="F1846" s="22" t="str">
        <f aca="false">IF(D1846="","",IF(COUNTIFS($B$5:$B$2004,B1846,$D$5:$D$2004,D1846)&gt;1,"DUPLICATE",IF(ISNA(MATCH(D1846,Players!$B$5:$B$304,0)),"UID not found",IF(INDEX(Players!$H$5:$H$304,MATCH(D1846,Players!$B$5:$B$304,0))&lt;0,"LOW BALANCE","OK"))))</f>
        <v/>
      </c>
      <c r="G1846" s="1"/>
      <c r="H1846" s="1"/>
      <c r="I1846" s="1"/>
    </row>
    <row r="1847" customFormat="false" ht="21.75" hidden="false" customHeight="true" outlineLevel="0" collapsed="false">
      <c r="A1847" s="1"/>
      <c r="B1847" s="16"/>
      <c r="C1847" s="16"/>
      <c r="D1847" s="15"/>
      <c r="E1847" s="11" t="str">
        <f aca="false">IF(D1847="","",IFERROR(INDEX(Players!$C$5:$C$304,MATCH(D1847,Players!$B$5:$B$304,0)),""))</f>
        <v/>
      </c>
      <c r="F1847" s="22" t="str">
        <f aca="false">IF(D1847="","",IF(COUNTIFS($B$5:$B$2004,B1847,$D$5:$D$2004,D1847)&gt;1,"DUPLICATE",IF(ISNA(MATCH(D1847,Players!$B$5:$B$304,0)),"UID not found",IF(INDEX(Players!$H$5:$H$304,MATCH(D1847,Players!$B$5:$B$304,0))&lt;0,"LOW BALANCE","OK"))))</f>
        <v/>
      </c>
      <c r="G1847" s="1"/>
      <c r="H1847" s="1"/>
      <c r="I1847" s="1"/>
    </row>
    <row r="1848" customFormat="false" ht="21.75" hidden="false" customHeight="true" outlineLevel="0" collapsed="false">
      <c r="A1848" s="1"/>
      <c r="B1848" s="16"/>
      <c r="C1848" s="16"/>
      <c r="D1848" s="15"/>
      <c r="E1848" s="11" t="str">
        <f aca="false">IF(D1848="","",IFERROR(INDEX(Players!$C$5:$C$304,MATCH(D1848,Players!$B$5:$B$304,0)),""))</f>
        <v/>
      </c>
      <c r="F1848" s="22" t="str">
        <f aca="false">IF(D1848="","",IF(COUNTIFS($B$5:$B$2004,B1848,$D$5:$D$2004,D1848)&gt;1,"DUPLICATE",IF(ISNA(MATCH(D1848,Players!$B$5:$B$304,0)),"UID not found",IF(INDEX(Players!$H$5:$H$304,MATCH(D1848,Players!$B$5:$B$304,0))&lt;0,"LOW BALANCE","OK"))))</f>
        <v/>
      </c>
      <c r="G1848" s="1"/>
      <c r="H1848" s="1"/>
      <c r="I1848" s="1"/>
    </row>
    <row r="1849" customFormat="false" ht="21.75" hidden="false" customHeight="true" outlineLevel="0" collapsed="false">
      <c r="A1849" s="1"/>
      <c r="B1849" s="16"/>
      <c r="C1849" s="16"/>
      <c r="D1849" s="15"/>
      <c r="E1849" s="11" t="str">
        <f aca="false">IF(D1849="","",IFERROR(INDEX(Players!$C$5:$C$304,MATCH(D1849,Players!$B$5:$B$304,0)),""))</f>
        <v/>
      </c>
      <c r="F1849" s="22" t="str">
        <f aca="false">IF(D1849="","",IF(COUNTIFS($B$5:$B$2004,B1849,$D$5:$D$2004,D1849)&gt;1,"DUPLICATE",IF(ISNA(MATCH(D1849,Players!$B$5:$B$304,0)),"UID not found",IF(INDEX(Players!$H$5:$H$304,MATCH(D1849,Players!$B$5:$B$304,0))&lt;0,"LOW BALANCE","OK"))))</f>
        <v/>
      </c>
      <c r="G1849" s="1"/>
      <c r="H1849" s="1"/>
      <c r="I1849" s="1"/>
    </row>
    <row r="1850" customFormat="false" ht="21.75" hidden="false" customHeight="true" outlineLevel="0" collapsed="false">
      <c r="A1850" s="1"/>
      <c r="B1850" s="16"/>
      <c r="C1850" s="16"/>
      <c r="D1850" s="15"/>
      <c r="E1850" s="11" t="str">
        <f aca="false">IF(D1850="","",IFERROR(INDEX(Players!$C$5:$C$304,MATCH(D1850,Players!$B$5:$B$304,0)),""))</f>
        <v/>
      </c>
      <c r="F1850" s="22" t="str">
        <f aca="false">IF(D1850="","",IF(COUNTIFS($B$5:$B$2004,B1850,$D$5:$D$2004,D1850)&gt;1,"DUPLICATE",IF(ISNA(MATCH(D1850,Players!$B$5:$B$304,0)),"UID not found",IF(INDEX(Players!$H$5:$H$304,MATCH(D1850,Players!$B$5:$B$304,0))&lt;0,"LOW BALANCE","OK"))))</f>
        <v/>
      </c>
      <c r="G1850" s="1"/>
      <c r="H1850" s="1"/>
      <c r="I1850" s="1"/>
    </row>
    <row r="1851" customFormat="false" ht="21.75" hidden="false" customHeight="true" outlineLevel="0" collapsed="false">
      <c r="A1851" s="1"/>
      <c r="B1851" s="16"/>
      <c r="C1851" s="16"/>
      <c r="D1851" s="15"/>
      <c r="E1851" s="11" t="str">
        <f aca="false">IF(D1851="","",IFERROR(INDEX(Players!$C$5:$C$304,MATCH(D1851,Players!$B$5:$B$304,0)),""))</f>
        <v/>
      </c>
      <c r="F1851" s="22" t="str">
        <f aca="false">IF(D1851="","",IF(COUNTIFS($B$5:$B$2004,B1851,$D$5:$D$2004,D1851)&gt;1,"DUPLICATE",IF(ISNA(MATCH(D1851,Players!$B$5:$B$304,0)),"UID not found",IF(INDEX(Players!$H$5:$H$304,MATCH(D1851,Players!$B$5:$B$304,0))&lt;0,"LOW BALANCE","OK"))))</f>
        <v/>
      </c>
      <c r="G1851" s="1"/>
      <c r="H1851" s="1"/>
      <c r="I1851" s="1"/>
    </row>
    <row r="1852" customFormat="false" ht="21.75" hidden="false" customHeight="true" outlineLevel="0" collapsed="false">
      <c r="A1852" s="1"/>
      <c r="B1852" s="16"/>
      <c r="C1852" s="16"/>
      <c r="D1852" s="15"/>
      <c r="E1852" s="11" t="str">
        <f aca="false">IF(D1852="","",IFERROR(INDEX(Players!$C$5:$C$304,MATCH(D1852,Players!$B$5:$B$304,0)),""))</f>
        <v/>
      </c>
      <c r="F1852" s="22" t="str">
        <f aca="false">IF(D1852="","",IF(COUNTIFS($B$5:$B$2004,B1852,$D$5:$D$2004,D1852)&gt;1,"DUPLICATE",IF(ISNA(MATCH(D1852,Players!$B$5:$B$304,0)),"UID not found",IF(INDEX(Players!$H$5:$H$304,MATCH(D1852,Players!$B$5:$B$304,0))&lt;0,"LOW BALANCE","OK"))))</f>
        <v/>
      </c>
      <c r="G1852" s="1"/>
      <c r="H1852" s="1"/>
      <c r="I1852" s="1"/>
    </row>
    <row r="1853" customFormat="false" ht="21.75" hidden="false" customHeight="true" outlineLevel="0" collapsed="false">
      <c r="A1853" s="1"/>
      <c r="B1853" s="16"/>
      <c r="C1853" s="16"/>
      <c r="D1853" s="15"/>
      <c r="E1853" s="11" t="str">
        <f aca="false">IF(D1853="","",IFERROR(INDEX(Players!$C$5:$C$304,MATCH(D1853,Players!$B$5:$B$304,0)),""))</f>
        <v/>
      </c>
      <c r="F1853" s="22" t="str">
        <f aca="false">IF(D1853="","",IF(COUNTIFS($B$5:$B$2004,B1853,$D$5:$D$2004,D1853)&gt;1,"DUPLICATE",IF(ISNA(MATCH(D1853,Players!$B$5:$B$304,0)),"UID not found",IF(INDEX(Players!$H$5:$H$304,MATCH(D1853,Players!$B$5:$B$304,0))&lt;0,"LOW BALANCE","OK"))))</f>
        <v/>
      </c>
      <c r="G1853" s="1"/>
      <c r="H1853" s="1"/>
      <c r="I1853" s="1"/>
    </row>
    <row r="1854" customFormat="false" ht="21.75" hidden="false" customHeight="true" outlineLevel="0" collapsed="false">
      <c r="A1854" s="1"/>
      <c r="B1854" s="16"/>
      <c r="C1854" s="16"/>
      <c r="D1854" s="15"/>
      <c r="E1854" s="11" t="str">
        <f aca="false">IF(D1854="","",IFERROR(INDEX(Players!$C$5:$C$304,MATCH(D1854,Players!$B$5:$B$304,0)),""))</f>
        <v/>
      </c>
      <c r="F1854" s="22" t="str">
        <f aca="false">IF(D1854="","",IF(COUNTIFS($B$5:$B$2004,B1854,$D$5:$D$2004,D1854)&gt;1,"DUPLICATE",IF(ISNA(MATCH(D1854,Players!$B$5:$B$304,0)),"UID not found",IF(INDEX(Players!$H$5:$H$304,MATCH(D1854,Players!$B$5:$B$304,0))&lt;0,"LOW BALANCE","OK"))))</f>
        <v/>
      </c>
      <c r="G1854" s="1"/>
      <c r="H1854" s="1"/>
      <c r="I1854" s="1"/>
    </row>
    <row r="1855" customFormat="false" ht="21.75" hidden="false" customHeight="true" outlineLevel="0" collapsed="false">
      <c r="A1855" s="1"/>
      <c r="B1855" s="16"/>
      <c r="C1855" s="16"/>
      <c r="D1855" s="15"/>
      <c r="E1855" s="11" t="str">
        <f aca="false">IF(D1855="","",IFERROR(INDEX(Players!$C$5:$C$304,MATCH(D1855,Players!$B$5:$B$304,0)),""))</f>
        <v/>
      </c>
      <c r="F1855" s="22" t="str">
        <f aca="false">IF(D1855="","",IF(COUNTIFS($B$5:$B$2004,B1855,$D$5:$D$2004,D1855)&gt;1,"DUPLICATE",IF(ISNA(MATCH(D1855,Players!$B$5:$B$304,0)),"UID not found",IF(INDEX(Players!$H$5:$H$304,MATCH(D1855,Players!$B$5:$B$304,0))&lt;0,"LOW BALANCE","OK"))))</f>
        <v/>
      </c>
      <c r="G1855" s="1"/>
      <c r="H1855" s="1"/>
      <c r="I1855" s="1"/>
    </row>
    <row r="1856" customFormat="false" ht="21.75" hidden="false" customHeight="true" outlineLevel="0" collapsed="false">
      <c r="A1856" s="1"/>
      <c r="B1856" s="16"/>
      <c r="C1856" s="16"/>
      <c r="D1856" s="15"/>
      <c r="E1856" s="11" t="str">
        <f aca="false">IF(D1856="","",IFERROR(INDEX(Players!$C$5:$C$304,MATCH(D1856,Players!$B$5:$B$304,0)),""))</f>
        <v/>
      </c>
      <c r="F1856" s="22" t="str">
        <f aca="false">IF(D1856="","",IF(COUNTIFS($B$5:$B$2004,B1856,$D$5:$D$2004,D1856)&gt;1,"DUPLICATE",IF(ISNA(MATCH(D1856,Players!$B$5:$B$304,0)),"UID not found",IF(INDEX(Players!$H$5:$H$304,MATCH(D1856,Players!$B$5:$B$304,0))&lt;0,"LOW BALANCE","OK"))))</f>
        <v/>
      </c>
      <c r="G1856" s="1"/>
      <c r="H1856" s="1"/>
      <c r="I1856" s="1"/>
    </row>
    <row r="1857" customFormat="false" ht="21.75" hidden="false" customHeight="true" outlineLevel="0" collapsed="false">
      <c r="A1857" s="1"/>
      <c r="B1857" s="16"/>
      <c r="C1857" s="16"/>
      <c r="D1857" s="15"/>
      <c r="E1857" s="11" t="str">
        <f aca="false">IF(D1857="","",IFERROR(INDEX(Players!$C$5:$C$304,MATCH(D1857,Players!$B$5:$B$304,0)),""))</f>
        <v/>
      </c>
      <c r="F1857" s="22" t="str">
        <f aca="false">IF(D1857="","",IF(COUNTIFS($B$5:$B$2004,B1857,$D$5:$D$2004,D1857)&gt;1,"DUPLICATE",IF(ISNA(MATCH(D1857,Players!$B$5:$B$304,0)),"UID not found",IF(INDEX(Players!$H$5:$H$304,MATCH(D1857,Players!$B$5:$B$304,0))&lt;0,"LOW BALANCE","OK"))))</f>
        <v/>
      </c>
      <c r="G1857" s="1"/>
      <c r="H1857" s="1"/>
      <c r="I1857" s="1"/>
    </row>
    <row r="1858" customFormat="false" ht="21.75" hidden="false" customHeight="true" outlineLevel="0" collapsed="false">
      <c r="A1858" s="1"/>
      <c r="B1858" s="16"/>
      <c r="C1858" s="16"/>
      <c r="D1858" s="15"/>
      <c r="E1858" s="11" t="str">
        <f aca="false">IF(D1858="","",IFERROR(INDEX(Players!$C$5:$C$304,MATCH(D1858,Players!$B$5:$B$304,0)),""))</f>
        <v/>
      </c>
      <c r="F1858" s="22" t="str">
        <f aca="false">IF(D1858="","",IF(COUNTIFS($B$5:$B$2004,B1858,$D$5:$D$2004,D1858)&gt;1,"DUPLICATE",IF(ISNA(MATCH(D1858,Players!$B$5:$B$304,0)),"UID not found",IF(INDEX(Players!$H$5:$H$304,MATCH(D1858,Players!$B$5:$B$304,0))&lt;0,"LOW BALANCE","OK"))))</f>
        <v/>
      </c>
      <c r="G1858" s="1"/>
      <c r="H1858" s="1"/>
      <c r="I1858" s="1"/>
    </row>
    <row r="1859" customFormat="false" ht="21.75" hidden="false" customHeight="true" outlineLevel="0" collapsed="false">
      <c r="A1859" s="1"/>
      <c r="B1859" s="16"/>
      <c r="C1859" s="16"/>
      <c r="D1859" s="15"/>
      <c r="E1859" s="11" t="str">
        <f aca="false">IF(D1859="","",IFERROR(INDEX(Players!$C$5:$C$304,MATCH(D1859,Players!$B$5:$B$304,0)),""))</f>
        <v/>
      </c>
      <c r="F1859" s="22" t="str">
        <f aca="false">IF(D1859="","",IF(COUNTIFS($B$5:$B$2004,B1859,$D$5:$D$2004,D1859)&gt;1,"DUPLICATE",IF(ISNA(MATCH(D1859,Players!$B$5:$B$304,0)),"UID not found",IF(INDEX(Players!$H$5:$H$304,MATCH(D1859,Players!$B$5:$B$304,0))&lt;0,"LOW BALANCE","OK"))))</f>
        <v/>
      </c>
      <c r="G1859" s="1"/>
      <c r="H1859" s="1"/>
      <c r="I1859" s="1"/>
    </row>
    <row r="1860" customFormat="false" ht="21.75" hidden="false" customHeight="true" outlineLevel="0" collapsed="false">
      <c r="A1860" s="1"/>
      <c r="B1860" s="16"/>
      <c r="C1860" s="16"/>
      <c r="D1860" s="15"/>
      <c r="E1860" s="11" t="str">
        <f aca="false">IF(D1860="","",IFERROR(INDEX(Players!$C$5:$C$304,MATCH(D1860,Players!$B$5:$B$304,0)),""))</f>
        <v/>
      </c>
      <c r="F1860" s="22" t="str">
        <f aca="false">IF(D1860="","",IF(COUNTIFS($B$5:$B$2004,B1860,$D$5:$D$2004,D1860)&gt;1,"DUPLICATE",IF(ISNA(MATCH(D1860,Players!$B$5:$B$304,0)),"UID not found",IF(INDEX(Players!$H$5:$H$304,MATCH(D1860,Players!$B$5:$B$304,0))&lt;0,"LOW BALANCE","OK"))))</f>
        <v/>
      </c>
      <c r="G1860" s="1"/>
      <c r="H1860" s="1"/>
      <c r="I1860" s="1"/>
    </row>
    <row r="1861" customFormat="false" ht="21.75" hidden="false" customHeight="true" outlineLevel="0" collapsed="false">
      <c r="A1861" s="1"/>
      <c r="B1861" s="16"/>
      <c r="C1861" s="16"/>
      <c r="D1861" s="15"/>
      <c r="E1861" s="11" t="str">
        <f aca="false">IF(D1861="","",IFERROR(INDEX(Players!$C$5:$C$304,MATCH(D1861,Players!$B$5:$B$304,0)),""))</f>
        <v/>
      </c>
      <c r="F1861" s="22" t="str">
        <f aca="false">IF(D1861="","",IF(COUNTIFS($B$5:$B$2004,B1861,$D$5:$D$2004,D1861)&gt;1,"DUPLICATE",IF(ISNA(MATCH(D1861,Players!$B$5:$B$304,0)),"UID not found",IF(INDEX(Players!$H$5:$H$304,MATCH(D1861,Players!$B$5:$B$304,0))&lt;0,"LOW BALANCE","OK"))))</f>
        <v/>
      </c>
      <c r="G1861" s="1"/>
      <c r="H1861" s="1"/>
      <c r="I1861" s="1"/>
    </row>
    <row r="1862" customFormat="false" ht="21.75" hidden="false" customHeight="true" outlineLevel="0" collapsed="false">
      <c r="A1862" s="1"/>
      <c r="B1862" s="16"/>
      <c r="C1862" s="16"/>
      <c r="D1862" s="15"/>
      <c r="E1862" s="11" t="str">
        <f aca="false">IF(D1862="","",IFERROR(INDEX(Players!$C$5:$C$304,MATCH(D1862,Players!$B$5:$B$304,0)),""))</f>
        <v/>
      </c>
      <c r="F1862" s="22" t="str">
        <f aca="false">IF(D1862="","",IF(COUNTIFS($B$5:$B$2004,B1862,$D$5:$D$2004,D1862)&gt;1,"DUPLICATE",IF(ISNA(MATCH(D1862,Players!$B$5:$B$304,0)),"UID not found",IF(INDEX(Players!$H$5:$H$304,MATCH(D1862,Players!$B$5:$B$304,0))&lt;0,"LOW BALANCE","OK"))))</f>
        <v/>
      </c>
      <c r="G1862" s="1"/>
      <c r="H1862" s="1"/>
      <c r="I1862" s="1"/>
    </row>
    <row r="1863" customFormat="false" ht="21.75" hidden="false" customHeight="true" outlineLevel="0" collapsed="false">
      <c r="A1863" s="1"/>
      <c r="B1863" s="16"/>
      <c r="C1863" s="16"/>
      <c r="D1863" s="15"/>
      <c r="E1863" s="11" t="str">
        <f aca="false">IF(D1863="","",IFERROR(INDEX(Players!$C$5:$C$304,MATCH(D1863,Players!$B$5:$B$304,0)),""))</f>
        <v/>
      </c>
      <c r="F1863" s="22" t="str">
        <f aca="false">IF(D1863="","",IF(COUNTIFS($B$5:$B$2004,B1863,$D$5:$D$2004,D1863)&gt;1,"DUPLICATE",IF(ISNA(MATCH(D1863,Players!$B$5:$B$304,0)),"UID not found",IF(INDEX(Players!$H$5:$H$304,MATCH(D1863,Players!$B$5:$B$304,0))&lt;0,"LOW BALANCE","OK"))))</f>
        <v/>
      </c>
      <c r="G1863" s="1"/>
      <c r="H1863" s="1"/>
      <c r="I1863" s="1"/>
    </row>
    <row r="1864" customFormat="false" ht="21.75" hidden="false" customHeight="true" outlineLevel="0" collapsed="false">
      <c r="A1864" s="1"/>
      <c r="B1864" s="16"/>
      <c r="C1864" s="16"/>
      <c r="D1864" s="15"/>
      <c r="E1864" s="11" t="str">
        <f aca="false">IF(D1864="","",IFERROR(INDEX(Players!$C$5:$C$304,MATCH(D1864,Players!$B$5:$B$304,0)),""))</f>
        <v/>
      </c>
      <c r="F1864" s="22" t="str">
        <f aca="false">IF(D1864="","",IF(COUNTIFS($B$5:$B$2004,B1864,$D$5:$D$2004,D1864)&gt;1,"DUPLICATE",IF(ISNA(MATCH(D1864,Players!$B$5:$B$304,0)),"UID not found",IF(INDEX(Players!$H$5:$H$304,MATCH(D1864,Players!$B$5:$B$304,0))&lt;0,"LOW BALANCE","OK"))))</f>
        <v/>
      </c>
      <c r="G1864" s="1"/>
      <c r="H1864" s="1"/>
      <c r="I1864" s="1"/>
    </row>
    <row r="1865" customFormat="false" ht="21.75" hidden="false" customHeight="true" outlineLevel="0" collapsed="false">
      <c r="A1865" s="1"/>
      <c r="B1865" s="16"/>
      <c r="C1865" s="16"/>
      <c r="D1865" s="15"/>
      <c r="E1865" s="11" t="str">
        <f aca="false">IF(D1865="","",IFERROR(INDEX(Players!$C$5:$C$304,MATCH(D1865,Players!$B$5:$B$304,0)),""))</f>
        <v/>
      </c>
      <c r="F1865" s="22" t="str">
        <f aca="false">IF(D1865="","",IF(COUNTIFS($B$5:$B$2004,B1865,$D$5:$D$2004,D1865)&gt;1,"DUPLICATE",IF(ISNA(MATCH(D1865,Players!$B$5:$B$304,0)),"UID not found",IF(INDEX(Players!$H$5:$H$304,MATCH(D1865,Players!$B$5:$B$304,0))&lt;0,"LOW BALANCE","OK"))))</f>
        <v/>
      </c>
      <c r="G1865" s="1"/>
      <c r="H1865" s="1"/>
      <c r="I1865" s="1"/>
    </row>
    <row r="1866" customFormat="false" ht="21.75" hidden="false" customHeight="true" outlineLevel="0" collapsed="false">
      <c r="A1866" s="1"/>
      <c r="B1866" s="16"/>
      <c r="C1866" s="16"/>
      <c r="D1866" s="15"/>
      <c r="E1866" s="11" t="str">
        <f aca="false">IF(D1866="","",IFERROR(INDEX(Players!$C$5:$C$304,MATCH(D1866,Players!$B$5:$B$304,0)),""))</f>
        <v/>
      </c>
      <c r="F1866" s="22" t="str">
        <f aca="false">IF(D1866="","",IF(COUNTIFS($B$5:$B$2004,B1866,$D$5:$D$2004,D1866)&gt;1,"DUPLICATE",IF(ISNA(MATCH(D1866,Players!$B$5:$B$304,0)),"UID not found",IF(INDEX(Players!$H$5:$H$304,MATCH(D1866,Players!$B$5:$B$304,0))&lt;0,"LOW BALANCE","OK"))))</f>
        <v/>
      </c>
      <c r="G1866" s="1"/>
      <c r="H1866" s="1"/>
      <c r="I1866" s="1"/>
    </row>
    <row r="1867" customFormat="false" ht="21.75" hidden="false" customHeight="true" outlineLevel="0" collapsed="false">
      <c r="A1867" s="1"/>
      <c r="B1867" s="16"/>
      <c r="C1867" s="16"/>
      <c r="D1867" s="15"/>
      <c r="E1867" s="11" t="str">
        <f aca="false">IF(D1867="","",IFERROR(INDEX(Players!$C$5:$C$304,MATCH(D1867,Players!$B$5:$B$304,0)),""))</f>
        <v/>
      </c>
      <c r="F1867" s="22" t="str">
        <f aca="false">IF(D1867="","",IF(COUNTIFS($B$5:$B$2004,B1867,$D$5:$D$2004,D1867)&gt;1,"DUPLICATE",IF(ISNA(MATCH(D1867,Players!$B$5:$B$304,0)),"UID not found",IF(INDEX(Players!$H$5:$H$304,MATCH(D1867,Players!$B$5:$B$304,0))&lt;0,"LOW BALANCE","OK"))))</f>
        <v/>
      </c>
      <c r="G1867" s="1"/>
      <c r="H1867" s="1"/>
      <c r="I1867" s="1"/>
    </row>
    <row r="1868" customFormat="false" ht="21.75" hidden="false" customHeight="true" outlineLevel="0" collapsed="false">
      <c r="A1868" s="1"/>
      <c r="B1868" s="16"/>
      <c r="C1868" s="16"/>
      <c r="D1868" s="15"/>
      <c r="E1868" s="11" t="str">
        <f aca="false">IF(D1868="","",IFERROR(INDEX(Players!$C$5:$C$304,MATCH(D1868,Players!$B$5:$B$304,0)),""))</f>
        <v/>
      </c>
      <c r="F1868" s="22" t="str">
        <f aca="false">IF(D1868="","",IF(COUNTIFS($B$5:$B$2004,B1868,$D$5:$D$2004,D1868)&gt;1,"DUPLICATE",IF(ISNA(MATCH(D1868,Players!$B$5:$B$304,0)),"UID not found",IF(INDEX(Players!$H$5:$H$304,MATCH(D1868,Players!$B$5:$B$304,0))&lt;0,"LOW BALANCE","OK"))))</f>
        <v/>
      </c>
      <c r="G1868" s="1"/>
      <c r="H1868" s="1"/>
      <c r="I1868" s="1"/>
    </row>
    <row r="1869" customFormat="false" ht="21.75" hidden="false" customHeight="true" outlineLevel="0" collapsed="false">
      <c r="A1869" s="1"/>
      <c r="B1869" s="16"/>
      <c r="C1869" s="16"/>
      <c r="D1869" s="15"/>
      <c r="E1869" s="11" t="str">
        <f aca="false">IF(D1869="","",IFERROR(INDEX(Players!$C$5:$C$304,MATCH(D1869,Players!$B$5:$B$304,0)),""))</f>
        <v/>
      </c>
      <c r="F1869" s="22" t="str">
        <f aca="false">IF(D1869="","",IF(COUNTIFS($B$5:$B$2004,B1869,$D$5:$D$2004,D1869)&gt;1,"DUPLICATE",IF(ISNA(MATCH(D1869,Players!$B$5:$B$304,0)),"UID not found",IF(INDEX(Players!$H$5:$H$304,MATCH(D1869,Players!$B$5:$B$304,0))&lt;0,"LOW BALANCE","OK"))))</f>
        <v/>
      </c>
      <c r="G1869" s="1"/>
      <c r="H1869" s="1"/>
      <c r="I1869" s="1"/>
    </row>
    <row r="1870" customFormat="false" ht="21.75" hidden="false" customHeight="true" outlineLevel="0" collapsed="false">
      <c r="A1870" s="1"/>
      <c r="B1870" s="16"/>
      <c r="C1870" s="16"/>
      <c r="D1870" s="15"/>
      <c r="E1870" s="11" t="str">
        <f aca="false">IF(D1870="","",IFERROR(INDEX(Players!$C$5:$C$304,MATCH(D1870,Players!$B$5:$B$304,0)),""))</f>
        <v/>
      </c>
      <c r="F1870" s="22" t="str">
        <f aca="false">IF(D1870="","",IF(COUNTIFS($B$5:$B$2004,B1870,$D$5:$D$2004,D1870)&gt;1,"DUPLICATE",IF(ISNA(MATCH(D1870,Players!$B$5:$B$304,0)),"UID not found",IF(INDEX(Players!$H$5:$H$304,MATCH(D1870,Players!$B$5:$B$304,0))&lt;0,"LOW BALANCE","OK"))))</f>
        <v/>
      </c>
      <c r="G1870" s="1"/>
      <c r="H1870" s="1"/>
      <c r="I1870" s="1"/>
    </row>
    <row r="1871" customFormat="false" ht="21.75" hidden="false" customHeight="true" outlineLevel="0" collapsed="false">
      <c r="A1871" s="1"/>
      <c r="B1871" s="16"/>
      <c r="C1871" s="16"/>
      <c r="D1871" s="15"/>
      <c r="E1871" s="11" t="str">
        <f aca="false">IF(D1871="","",IFERROR(INDEX(Players!$C$5:$C$304,MATCH(D1871,Players!$B$5:$B$304,0)),""))</f>
        <v/>
      </c>
      <c r="F1871" s="22" t="str">
        <f aca="false">IF(D1871="","",IF(COUNTIFS($B$5:$B$2004,B1871,$D$5:$D$2004,D1871)&gt;1,"DUPLICATE",IF(ISNA(MATCH(D1871,Players!$B$5:$B$304,0)),"UID not found",IF(INDEX(Players!$H$5:$H$304,MATCH(D1871,Players!$B$5:$B$304,0))&lt;0,"LOW BALANCE","OK"))))</f>
        <v/>
      </c>
      <c r="G1871" s="1"/>
      <c r="H1871" s="1"/>
      <c r="I1871" s="1"/>
    </row>
    <row r="1872" customFormat="false" ht="21.75" hidden="false" customHeight="true" outlineLevel="0" collapsed="false">
      <c r="A1872" s="1"/>
      <c r="B1872" s="16"/>
      <c r="C1872" s="16"/>
      <c r="D1872" s="15"/>
      <c r="E1872" s="11" t="str">
        <f aca="false">IF(D1872="","",IFERROR(INDEX(Players!$C$5:$C$304,MATCH(D1872,Players!$B$5:$B$304,0)),""))</f>
        <v/>
      </c>
      <c r="F1872" s="22" t="str">
        <f aca="false">IF(D1872="","",IF(COUNTIFS($B$5:$B$2004,B1872,$D$5:$D$2004,D1872)&gt;1,"DUPLICATE",IF(ISNA(MATCH(D1872,Players!$B$5:$B$304,0)),"UID not found",IF(INDEX(Players!$H$5:$H$304,MATCH(D1872,Players!$B$5:$B$304,0))&lt;0,"LOW BALANCE","OK"))))</f>
        <v/>
      </c>
      <c r="G1872" s="1"/>
      <c r="H1872" s="1"/>
      <c r="I1872" s="1"/>
    </row>
    <row r="1873" customFormat="false" ht="21.75" hidden="false" customHeight="true" outlineLevel="0" collapsed="false">
      <c r="A1873" s="1"/>
      <c r="B1873" s="16"/>
      <c r="C1873" s="16"/>
      <c r="D1873" s="15"/>
      <c r="E1873" s="11" t="str">
        <f aca="false">IF(D1873="","",IFERROR(INDEX(Players!$C$5:$C$304,MATCH(D1873,Players!$B$5:$B$304,0)),""))</f>
        <v/>
      </c>
      <c r="F1873" s="22" t="str">
        <f aca="false">IF(D1873="","",IF(COUNTIFS($B$5:$B$2004,B1873,$D$5:$D$2004,D1873)&gt;1,"DUPLICATE",IF(ISNA(MATCH(D1873,Players!$B$5:$B$304,0)),"UID not found",IF(INDEX(Players!$H$5:$H$304,MATCH(D1873,Players!$B$5:$B$304,0))&lt;0,"LOW BALANCE","OK"))))</f>
        <v/>
      </c>
      <c r="G1873" s="1"/>
      <c r="H1873" s="1"/>
      <c r="I1873" s="1"/>
    </row>
    <row r="1874" customFormat="false" ht="21.75" hidden="false" customHeight="true" outlineLevel="0" collapsed="false">
      <c r="A1874" s="1"/>
      <c r="B1874" s="16"/>
      <c r="C1874" s="16"/>
      <c r="D1874" s="15"/>
      <c r="E1874" s="11" t="str">
        <f aca="false">IF(D1874="","",IFERROR(INDEX(Players!$C$5:$C$304,MATCH(D1874,Players!$B$5:$B$304,0)),""))</f>
        <v/>
      </c>
      <c r="F1874" s="22" t="str">
        <f aca="false">IF(D1874="","",IF(COUNTIFS($B$5:$B$2004,B1874,$D$5:$D$2004,D1874)&gt;1,"DUPLICATE",IF(ISNA(MATCH(D1874,Players!$B$5:$B$304,0)),"UID not found",IF(INDEX(Players!$H$5:$H$304,MATCH(D1874,Players!$B$5:$B$304,0))&lt;0,"LOW BALANCE","OK"))))</f>
        <v/>
      </c>
      <c r="G1874" s="1"/>
      <c r="H1874" s="1"/>
      <c r="I1874" s="1"/>
    </row>
    <row r="1875" customFormat="false" ht="21.75" hidden="false" customHeight="true" outlineLevel="0" collapsed="false">
      <c r="A1875" s="1"/>
      <c r="B1875" s="16"/>
      <c r="C1875" s="16"/>
      <c r="D1875" s="15"/>
      <c r="E1875" s="11" t="str">
        <f aca="false">IF(D1875="","",IFERROR(INDEX(Players!$C$5:$C$304,MATCH(D1875,Players!$B$5:$B$304,0)),""))</f>
        <v/>
      </c>
      <c r="F1875" s="22" t="str">
        <f aca="false">IF(D1875="","",IF(COUNTIFS($B$5:$B$2004,B1875,$D$5:$D$2004,D1875)&gt;1,"DUPLICATE",IF(ISNA(MATCH(D1875,Players!$B$5:$B$304,0)),"UID not found",IF(INDEX(Players!$H$5:$H$304,MATCH(D1875,Players!$B$5:$B$304,0))&lt;0,"LOW BALANCE","OK"))))</f>
        <v/>
      </c>
      <c r="G1875" s="1"/>
      <c r="H1875" s="1"/>
      <c r="I1875" s="1"/>
    </row>
    <row r="1876" customFormat="false" ht="21.75" hidden="false" customHeight="true" outlineLevel="0" collapsed="false">
      <c r="A1876" s="1"/>
      <c r="B1876" s="16"/>
      <c r="C1876" s="16"/>
      <c r="D1876" s="15"/>
      <c r="E1876" s="11" t="str">
        <f aca="false">IF(D1876="","",IFERROR(INDEX(Players!$C$5:$C$304,MATCH(D1876,Players!$B$5:$B$304,0)),""))</f>
        <v/>
      </c>
      <c r="F1876" s="22" t="str">
        <f aca="false">IF(D1876="","",IF(COUNTIFS($B$5:$B$2004,B1876,$D$5:$D$2004,D1876)&gt;1,"DUPLICATE",IF(ISNA(MATCH(D1876,Players!$B$5:$B$304,0)),"UID not found",IF(INDEX(Players!$H$5:$H$304,MATCH(D1876,Players!$B$5:$B$304,0))&lt;0,"LOW BALANCE","OK"))))</f>
        <v/>
      </c>
      <c r="G1876" s="1"/>
      <c r="H1876" s="1"/>
      <c r="I1876" s="1"/>
    </row>
    <row r="1877" customFormat="false" ht="21.75" hidden="false" customHeight="true" outlineLevel="0" collapsed="false">
      <c r="A1877" s="1"/>
      <c r="B1877" s="16"/>
      <c r="C1877" s="16"/>
      <c r="D1877" s="15"/>
      <c r="E1877" s="11" t="str">
        <f aca="false">IF(D1877="","",IFERROR(INDEX(Players!$C$5:$C$304,MATCH(D1877,Players!$B$5:$B$304,0)),""))</f>
        <v/>
      </c>
      <c r="F1877" s="22" t="str">
        <f aca="false">IF(D1877="","",IF(COUNTIFS($B$5:$B$2004,B1877,$D$5:$D$2004,D1877)&gt;1,"DUPLICATE",IF(ISNA(MATCH(D1877,Players!$B$5:$B$304,0)),"UID not found",IF(INDEX(Players!$H$5:$H$304,MATCH(D1877,Players!$B$5:$B$304,0))&lt;0,"LOW BALANCE","OK"))))</f>
        <v/>
      </c>
      <c r="G1877" s="1"/>
      <c r="H1877" s="1"/>
      <c r="I1877" s="1"/>
    </row>
    <row r="1878" customFormat="false" ht="21.75" hidden="false" customHeight="true" outlineLevel="0" collapsed="false">
      <c r="A1878" s="1"/>
      <c r="B1878" s="16"/>
      <c r="C1878" s="16"/>
      <c r="D1878" s="15"/>
      <c r="E1878" s="11" t="str">
        <f aca="false">IF(D1878="","",IFERROR(INDEX(Players!$C$5:$C$304,MATCH(D1878,Players!$B$5:$B$304,0)),""))</f>
        <v/>
      </c>
      <c r="F1878" s="22" t="str">
        <f aca="false">IF(D1878="","",IF(COUNTIFS($B$5:$B$2004,B1878,$D$5:$D$2004,D1878)&gt;1,"DUPLICATE",IF(ISNA(MATCH(D1878,Players!$B$5:$B$304,0)),"UID not found",IF(INDEX(Players!$H$5:$H$304,MATCH(D1878,Players!$B$5:$B$304,0))&lt;0,"LOW BALANCE","OK"))))</f>
        <v/>
      </c>
      <c r="G1878" s="1"/>
      <c r="H1878" s="1"/>
      <c r="I1878" s="1"/>
    </row>
    <row r="1879" customFormat="false" ht="21.75" hidden="false" customHeight="true" outlineLevel="0" collapsed="false">
      <c r="A1879" s="1"/>
      <c r="B1879" s="16"/>
      <c r="C1879" s="16"/>
      <c r="D1879" s="15"/>
      <c r="E1879" s="11" t="str">
        <f aca="false">IF(D1879="","",IFERROR(INDEX(Players!$C$5:$C$304,MATCH(D1879,Players!$B$5:$B$304,0)),""))</f>
        <v/>
      </c>
      <c r="F1879" s="22" t="str">
        <f aca="false">IF(D1879="","",IF(COUNTIFS($B$5:$B$2004,B1879,$D$5:$D$2004,D1879)&gt;1,"DUPLICATE",IF(ISNA(MATCH(D1879,Players!$B$5:$B$304,0)),"UID not found",IF(INDEX(Players!$H$5:$H$304,MATCH(D1879,Players!$B$5:$B$304,0))&lt;0,"LOW BALANCE","OK"))))</f>
        <v/>
      </c>
      <c r="G1879" s="1"/>
      <c r="H1879" s="1"/>
      <c r="I1879" s="1"/>
    </row>
    <row r="1880" customFormat="false" ht="21.75" hidden="false" customHeight="true" outlineLevel="0" collapsed="false">
      <c r="A1880" s="1"/>
      <c r="B1880" s="16"/>
      <c r="C1880" s="16"/>
      <c r="D1880" s="15"/>
      <c r="E1880" s="11" t="str">
        <f aca="false">IF(D1880="","",IFERROR(INDEX(Players!$C$5:$C$304,MATCH(D1880,Players!$B$5:$B$304,0)),""))</f>
        <v/>
      </c>
      <c r="F1880" s="22" t="str">
        <f aca="false">IF(D1880="","",IF(COUNTIFS($B$5:$B$2004,B1880,$D$5:$D$2004,D1880)&gt;1,"DUPLICATE",IF(ISNA(MATCH(D1880,Players!$B$5:$B$304,0)),"UID not found",IF(INDEX(Players!$H$5:$H$304,MATCH(D1880,Players!$B$5:$B$304,0))&lt;0,"LOW BALANCE","OK"))))</f>
        <v/>
      </c>
      <c r="G1880" s="1"/>
      <c r="H1880" s="1"/>
      <c r="I1880" s="1"/>
    </row>
    <row r="1881" customFormat="false" ht="21.75" hidden="false" customHeight="true" outlineLevel="0" collapsed="false">
      <c r="A1881" s="1"/>
      <c r="B1881" s="16"/>
      <c r="C1881" s="16"/>
      <c r="D1881" s="15"/>
      <c r="E1881" s="11" t="str">
        <f aca="false">IF(D1881="","",IFERROR(INDEX(Players!$C$5:$C$304,MATCH(D1881,Players!$B$5:$B$304,0)),""))</f>
        <v/>
      </c>
      <c r="F1881" s="22" t="str">
        <f aca="false">IF(D1881="","",IF(COUNTIFS($B$5:$B$2004,B1881,$D$5:$D$2004,D1881)&gt;1,"DUPLICATE",IF(ISNA(MATCH(D1881,Players!$B$5:$B$304,0)),"UID not found",IF(INDEX(Players!$H$5:$H$304,MATCH(D1881,Players!$B$5:$B$304,0))&lt;0,"LOW BALANCE","OK"))))</f>
        <v/>
      </c>
      <c r="G1881" s="1"/>
      <c r="H1881" s="1"/>
      <c r="I1881" s="1"/>
    </row>
    <row r="1882" customFormat="false" ht="21.75" hidden="false" customHeight="true" outlineLevel="0" collapsed="false">
      <c r="A1882" s="1"/>
      <c r="B1882" s="16"/>
      <c r="C1882" s="16"/>
      <c r="D1882" s="15"/>
      <c r="E1882" s="11" t="str">
        <f aca="false">IF(D1882="","",IFERROR(INDEX(Players!$C$5:$C$304,MATCH(D1882,Players!$B$5:$B$304,0)),""))</f>
        <v/>
      </c>
      <c r="F1882" s="22" t="str">
        <f aca="false">IF(D1882="","",IF(COUNTIFS($B$5:$B$2004,B1882,$D$5:$D$2004,D1882)&gt;1,"DUPLICATE",IF(ISNA(MATCH(D1882,Players!$B$5:$B$304,0)),"UID not found",IF(INDEX(Players!$H$5:$H$304,MATCH(D1882,Players!$B$5:$B$304,0))&lt;0,"LOW BALANCE","OK"))))</f>
        <v/>
      </c>
      <c r="G1882" s="1"/>
      <c r="H1882" s="1"/>
      <c r="I1882" s="1"/>
    </row>
    <row r="1883" customFormat="false" ht="21.75" hidden="false" customHeight="true" outlineLevel="0" collapsed="false">
      <c r="A1883" s="1"/>
      <c r="B1883" s="16"/>
      <c r="C1883" s="16"/>
      <c r="D1883" s="15"/>
      <c r="E1883" s="11" t="str">
        <f aca="false">IF(D1883="","",IFERROR(INDEX(Players!$C$5:$C$304,MATCH(D1883,Players!$B$5:$B$304,0)),""))</f>
        <v/>
      </c>
      <c r="F1883" s="22" t="str">
        <f aca="false">IF(D1883="","",IF(COUNTIFS($B$5:$B$2004,B1883,$D$5:$D$2004,D1883)&gt;1,"DUPLICATE",IF(ISNA(MATCH(D1883,Players!$B$5:$B$304,0)),"UID not found",IF(INDEX(Players!$H$5:$H$304,MATCH(D1883,Players!$B$5:$B$304,0))&lt;0,"LOW BALANCE","OK"))))</f>
        <v/>
      </c>
      <c r="G1883" s="1"/>
      <c r="H1883" s="1"/>
      <c r="I1883" s="1"/>
    </row>
    <row r="1884" customFormat="false" ht="21.75" hidden="false" customHeight="true" outlineLevel="0" collapsed="false">
      <c r="A1884" s="1"/>
      <c r="B1884" s="16"/>
      <c r="C1884" s="16"/>
      <c r="D1884" s="15"/>
      <c r="E1884" s="11" t="str">
        <f aca="false">IF(D1884="","",IFERROR(INDEX(Players!$C$5:$C$304,MATCH(D1884,Players!$B$5:$B$304,0)),""))</f>
        <v/>
      </c>
      <c r="F1884" s="22" t="str">
        <f aca="false">IF(D1884="","",IF(COUNTIFS($B$5:$B$2004,B1884,$D$5:$D$2004,D1884)&gt;1,"DUPLICATE",IF(ISNA(MATCH(D1884,Players!$B$5:$B$304,0)),"UID not found",IF(INDEX(Players!$H$5:$H$304,MATCH(D1884,Players!$B$5:$B$304,0))&lt;0,"LOW BALANCE","OK"))))</f>
        <v/>
      </c>
      <c r="G1884" s="1"/>
      <c r="H1884" s="1"/>
      <c r="I1884" s="1"/>
    </row>
    <row r="1885" customFormat="false" ht="21.75" hidden="false" customHeight="true" outlineLevel="0" collapsed="false">
      <c r="A1885" s="1"/>
      <c r="B1885" s="16"/>
      <c r="C1885" s="16"/>
      <c r="D1885" s="15"/>
      <c r="E1885" s="11" t="str">
        <f aca="false">IF(D1885="","",IFERROR(INDEX(Players!$C$5:$C$304,MATCH(D1885,Players!$B$5:$B$304,0)),""))</f>
        <v/>
      </c>
      <c r="F1885" s="22" t="str">
        <f aca="false">IF(D1885="","",IF(COUNTIFS($B$5:$B$2004,B1885,$D$5:$D$2004,D1885)&gt;1,"DUPLICATE",IF(ISNA(MATCH(D1885,Players!$B$5:$B$304,0)),"UID not found",IF(INDEX(Players!$H$5:$H$304,MATCH(D1885,Players!$B$5:$B$304,0))&lt;0,"LOW BALANCE","OK"))))</f>
        <v/>
      </c>
      <c r="G1885" s="1"/>
      <c r="H1885" s="1"/>
      <c r="I1885" s="1"/>
    </row>
    <row r="1886" customFormat="false" ht="21.75" hidden="false" customHeight="true" outlineLevel="0" collapsed="false">
      <c r="A1886" s="1"/>
      <c r="B1886" s="16"/>
      <c r="C1886" s="16"/>
      <c r="D1886" s="15"/>
      <c r="E1886" s="11" t="str">
        <f aca="false">IF(D1886="","",IFERROR(INDEX(Players!$C$5:$C$304,MATCH(D1886,Players!$B$5:$B$304,0)),""))</f>
        <v/>
      </c>
      <c r="F1886" s="22" t="str">
        <f aca="false">IF(D1886="","",IF(COUNTIFS($B$5:$B$2004,B1886,$D$5:$D$2004,D1886)&gt;1,"DUPLICATE",IF(ISNA(MATCH(D1886,Players!$B$5:$B$304,0)),"UID not found",IF(INDEX(Players!$H$5:$H$304,MATCH(D1886,Players!$B$5:$B$304,0))&lt;0,"LOW BALANCE","OK"))))</f>
        <v/>
      </c>
      <c r="G1886" s="1"/>
      <c r="H1886" s="1"/>
      <c r="I1886" s="1"/>
    </row>
    <row r="1887" customFormat="false" ht="21.75" hidden="false" customHeight="true" outlineLevel="0" collapsed="false">
      <c r="A1887" s="1"/>
      <c r="B1887" s="16"/>
      <c r="C1887" s="16"/>
      <c r="D1887" s="15"/>
      <c r="E1887" s="11" t="str">
        <f aca="false">IF(D1887="","",IFERROR(INDEX(Players!$C$5:$C$304,MATCH(D1887,Players!$B$5:$B$304,0)),""))</f>
        <v/>
      </c>
      <c r="F1887" s="22" t="str">
        <f aca="false">IF(D1887="","",IF(COUNTIFS($B$5:$B$2004,B1887,$D$5:$D$2004,D1887)&gt;1,"DUPLICATE",IF(ISNA(MATCH(D1887,Players!$B$5:$B$304,0)),"UID not found",IF(INDEX(Players!$H$5:$H$304,MATCH(D1887,Players!$B$5:$B$304,0))&lt;0,"LOW BALANCE","OK"))))</f>
        <v/>
      </c>
      <c r="G1887" s="1"/>
      <c r="H1887" s="1"/>
      <c r="I1887" s="1"/>
    </row>
    <row r="1888" customFormat="false" ht="21.75" hidden="false" customHeight="true" outlineLevel="0" collapsed="false">
      <c r="A1888" s="1"/>
      <c r="B1888" s="16"/>
      <c r="C1888" s="16"/>
      <c r="D1888" s="15"/>
      <c r="E1888" s="11" t="str">
        <f aca="false">IF(D1888="","",IFERROR(INDEX(Players!$C$5:$C$304,MATCH(D1888,Players!$B$5:$B$304,0)),""))</f>
        <v/>
      </c>
      <c r="F1888" s="22" t="str">
        <f aca="false">IF(D1888="","",IF(COUNTIFS($B$5:$B$2004,B1888,$D$5:$D$2004,D1888)&gt;1,"DUPLICATE",IF(ISNA(MATCH(D1888,Players!$B$5:$B$304,0)),"UID not found",IF(INDEX(Players!$H$5:$H$304,MATCH(D1888,Players!$B$5:$B$304,0))&lt;0,"LOW BALANCE","OK"))))</f>
        <v/>
      </c>
      <c r="G1888" s="1"/>
      <c r="H1888" s="1"/>
      <c r="I1888" s="1"/>
    </row>
    <row r="1889" customFormat="false" ht="21.75" hidden="false" customHeight="true" outlineLevel="0" collapsed="false">
      <c r="A1889" s="1"/>
      <c r="B1889" s="16"/>
      <c r="C1889" s="16"/>
      <c r="D1889" s="15"/>
      <c r="E1889" s="11" t="str">
        <f aca="false">IF(D1889="","",IFERROR(INDEX(Players!$C$5:$C$304,MATCH(D1889,Players!$B$5:$B$304,0)),""))</f>
        <v/>
      </c>
      <c r="F1889" s="22" t="str">
        <f aca="false">IF(D1889="","",IF(COUNTIFS($B$5:$B$2004,B1889,$D$5:$D$2004,D1889)&gt;1,"DUPLICATE",IF(ISNA(MATCH(D1889,Players!$B$5:$B$304,0)),"UID not found",IF(INDEX(Players!$H$5:$H$304,MATCH(D1889,Players!$B$5:$B$304,0))&lt;0,"LOW BALANCE","OK"))))</f>
        <v/>
      </c>
      <c r="G1889" s="1"/>
      <c r="H1889" s="1"/>
      <c r="I1889" s="1"/>
    </row>
    <row r="1890" customFormat="false" ht="21.75" hidden="false" customHeight="true" outlineLevel="0" collapsed="false">
      <c r="A1890" s="1"/>
      <c r="B1890" s="16"/>
      <c r="C1890" s="16"/>
      <c r="D1890" s="15"/>
      <c r="E1890" s="11" t="str">
        <f aca="false">IF(D1890="","",IFERROR(INDEX(Players!$C$5:$C$304,MATCH(D1890,Players!$B$5:$B$304,0)),""))</f>
        <v/>
      </c>
      <c r="F1890" s="22" t="str">
        <f aca="false">IF(D1890="","",IF(COUNTIFS($B$5:$B$2004,B1890,$D$5:$D$2004,D1890)&gt;1,"DUPLICATE",IF(ISNA(MATCH(D1890,Players!$B$5:$B$304,0)),"UID not found",IF(INDEX(Players!$H$5:$H$304,MATCH(D1890,Players!$B$5:$B$304,0))&lt;0,"LOW BALANCE","OK"))))</f>
        <v/>
      </c>
      <c r="G1890" s="1"/>
      <c r="H1890" s="1"/>
      <c r="I1890" s="1"/>
    </row>
    <row r="1891" customFormat="false" ht="21.75" hidden="false" customHeight="true" outlineLevel="0" collapsed="false">
      <c r="A1891" s="1"/>
      <c r="B1891" s="16"/>
      <c r="C1891" s="16"/>
      <c r="D1891" s="15"/>
      <c r="E1891" s="11" t="str">
        <f aca="false">IF(D1891="","",IFERROR(INDEX(Players!$C$5:$C$304,MATCH(D1891,Players!$B$5:$B$304,0)),""))</f>
        <v/>
      </c>
      <c r="F1891" s="22" t="str">
        <f aca="false">IF(D1891="","",IF(COUNTIFS($B$5:$B$2004,B1891,$D$5:$D$2004,D1891)&gt;1,"DUPLICATE",IF(ISNA(MATCH(D1891,Players!$B$5:$B$304,0)),"UID not found",IF(INDEX(Players!$H$5:$H$304,MATCH(D1891,Players!$B$5:$B$304,0))&lt;0,"LOW BALANCE","OK"))))</f>
        <v/>
      </c>
      <c r="G1891" s="1"/>
      <c r="H1891" s="1"/>
      <c r="I1891" s="1"/>
    </row>
    <row r="1892" customFormat="false" ht="21.75" hidden="false" customHeight="true" outlineLevel="0" collapsed="false">
      <c r="A1892" s="1"/>
      <c r="B1892" s="16"/>
      <c r="C1892" s="16"/>
      <c r="D1892" s="15"/>
      <c r="E1892" s="11" t="str">
        <f aca="false">IF(D1892="","",IFERROR(INDEX(Players!$C$5:$C$304,MATCH(D1892,Players!$B$5:$B$304,0)),""))</f>
        <v/>
      </c>
      <c r="F1892" s="22" t="str">
        <f aca="false">IF(D1892="","",IF(COUNTIFS($B$5:$B$2004,B1892,$D$5:$D$2004,D1892)&gt;1,"DUPLICATE",IF(ISNA(MATCH(D1892,Players!$B$5:$B$304,0)),"UID not found",IF(INDEX(Players!$H$5:$H$304,MATCH(D1892,Players!$B$5:$B$304,0))&lt;0,"LOW BALANCE","OK"))))</f>
        <v/>
      </c>
      <c r="G1892" s="1"/>
      <c r="H1892" s="1"/>
      <c r="I1892" s="1"/>
    </row>
    <row r="1893" customFormat="false" ht="21.75" hidden="false" customHeight="true" outlineLevel="0" collapsed="false">
      <c r="A1893" s="1"/>
      <c r="B1893" s="16"/>
      <c r="C1893" s="16"/>
      <c r="D1893" s="15"/>
      <c r="E1893" s="11" t="str">
        <f aca="false">IF(D1893="","",IFERROR(INDEX(Players!$C$5:$C$304,MATCH(D1893,Players!$B$5:$B$304,0)),""))</f>
        <v/>
      </c>
      <c r="F1893" s="22" t="str">
        <f aca="false">IF(D1893="","",IF(COUNTIFS($B$5:$B$2004,B1893,$D$5:$D$2004,D1893)&gt;1,"DUPLICATE",IF(ISNA(MATCH(D1893,Players!$B$5:$B$304,0)),"UID not found",IF(INDEX(Players!$H$5:$H$304,MATCH(D1893,Players!$B$5:$B$304,0))&lt;0,"LOW BALANCE","OK"))))</f>
        <v/>
      </c>
      <c r="G1893" s="1"/>
      <c r="H1893" s="1"/>
      <c r="I1893" s="1"/>
    </row>
    <row r="1894" customFormat="false" ht="21.75" hidden="false" customHeight="true" outlineLevel="0" collapsed="false">
      <c r="A1894" s="1"/>
      <c r="B1894" s="16"/>
      <c r="C1894" s="16"/>
      <c r="D1894" s="15"/>
      <c r="E1894" s="11" t="str">
        <f aca="false">IF(D1894="","",IFERROR(INDEX(Players!$C$5:$C$304,MATCH(D1894,Players!$B$5:$B$304,0)),""))</f>
        <v/>
      </c>
      <c r="F1894" s="22" t="str">
        <f aca="false">IF(D1894="","",IF(COUNTIFS($B$5:$B$2004,B1894,$D$5:$D$2004,D1894)&gt;1,"DUPLICATE",IF(ISNA(MATCH(D1894,Players!$B$5:$B$304,0)),"UID not found",IF(INDEX(Players!$H$5:$H$304,MATCH(D1894,Players!$B$5:$B$304,0))&lt;0,"LOW BALANCE","OK"))))</f>
        <v/>
      </c>
      <c r="G1894" s="1"/>
      <c r="H1894" s="1"/>
      <c r="I1894" s="1"/>
    </row>
    <row r="1895" customFormat="false" ht="21.75" hidden="false" customHeight="true" outlineLevel="0" collapsed="false">
      <c r="A1895" s="1"/>
      <c r="B1895" s="16"/>
      <c r="C1895" s="16"/>
      <c r="D1895" s="15"/>
      <c r="E1895" s="11" t="str">
        <f aca="false">IF(D1895="","",IFERROR(INDEX(Players!$C$5:$C$304,MATCH(D1895,Players!$B$5:$B$304,0)),""))</f>
        <v/>
      </c>
      <c r="F1895" s="22" t="str">
        <f aca="false">IF(D1895="","",IF(COUNTIFS($B$5:$B$2004,B1895,$D$5:$D$2004,D1895)&gt;1,"DUPLICATE",IF(ISNA(MATCH(D1895,Players!$B$5:$B$304,0)),"UID not found",IF(INDEX(Players!$H$5:$H$304,MATCH(D1895,Players!$B$5:$B$304,0))&lt;0,"LOW BALANCE","OK"))))</f>
        <v/>
      </c>
      <c r="G1895" s="1"/>
      <c r="H1895" s="1"/>
      <c r="I1895" s="1"/>
    </row>
    <row r="1896" customFormat="false" ht="21.75" hidden="false" customHeight="true" outlineLevel="0" collapsed="false">
      <c r="A1896" s="1"/>
      <c r="B1896" s="16"/>
      <c r="C1896" s="16"/>
      <c r="D1896" s="15"/>
      <c r="E1896" s="11" t="str">
        <f aca="false">IF(D1896="","",IFERROR(INDEX(Players!$C$5:$C$304,MATCH(D1896,Players!$B$5:$B$304,0)),""))</f>
        <v/>
      </c>
      <c r="F1896" s="22" t="str">
        <f aca="false">IF(D1896="","",IF(COUNTIFS($B$5:$B$2004,B1896,$D$5:$D$2004,D1896)&gt;1,"DUPLICATE",IF(ISNA(MATCH(D1896,Players!$B$5:$B$304,0)),"UID not found",IF(INDEX(Players!$H$5:$H$304,MATCH(D1896,Players!$B$5:$B$304,0))&lt;0,"LOW BALANCE","OK"))))</f>
        <v/>
      </c>
      <c r="G1896" s="1"/>
      <c r="H1896" s="1"/>
      <c r="I1896" s="1"/>
    </row>
    <row r="1897" customFormat="false" ht="21.75" hidden="false" customHeight="true" outlineLevel="0" collapsed="false">
      <c r="A1897" s="1"/>
      <c r="B1897" s="16"/>
      <c r="C1897" s="16"/>
      <c r="D1897" s="15"/>
      <c r="E1897" s="11" t="str">
        <f aca="false">IF(D1897="","",IFERROR(INDEX(Players!$C$5:$C$304,MATCH(D1897,Players!$B$5:$B$304,0)),""))</f>
        <v/>
      </c>
      <c r="F1897" s="22" t="str">
        <f aca="false">IF(D1897="","",IF(COUNTIFS($B$5:$B$2004,B1897,$D$5:$D$2004,D1897)&gt;1,"DUPLICATE",IF(ISNA(MATCH(D1897,Players!$B$5:$B$304,0)),"UID not found",IF(INDEX(Players!$H$5:$H$304,MATCH(D1897,Players!$B$5:$B$304,0))&lt;0,"LOW BALANCE","OK"))))</f>
        <v/>
      </c>
      <c r="G1897" s="1"/>
      <c r="H1897" s="1"/>
      <c r="I1897" s="1"/>
    </row>
    <row r="1898" customFormat="false" ht="21.75" hidden="false" customHeight="true" outlineLevel="0" collapsed="false">
      <c r="A1898" s="1"/>
      <c r="B1898" s="16"/>
      <c r="C1898" s="16"/>
      <c r="D1898" s="15"/>
      <c r="E1898" s="11" t="str">
        <f aca="false">IF(D1898="","",IFERROR(INDEX(Players!$C$5:$C$304,MATCH(D1898,Players!$B$5:$B$304,0)),""))</f>
        <v/>
      </c>
      <c r="F1898" s="22" t="str">
        <f aca="false">IF(D1898="","",IF(COUNTIFS($B$5:$B$2004,B1898,$D$5:$D$2004,D1898)&gt;1,"DUPLICATE",IF(ISNA(MATCH(D1898,Players!$B$5:$B$304,0)),"UID not found",IF(INDEX(Players!$H$5:$H$304,MATCH(D1898,Players!$B$5:$B$304,0))&lt;0,"LOW BALANCE","OK"))))</f>
        <v/>
      </c>
      <c r="G1898" s="1"/>
      <c r="H1898" s="1"/>
      <c r="I1898" s="1"/>
    </row>
    <row r="1899" customFormat="false" ht="21.75" hidden="false" customHeight="true" outlineLevel="0" collapsed="false">
      <c r="A1899" s="1"/>
      <c r="B1899" s="16"/>
      <c r="C1899" s="16"/>
      <c r="D1899" s="15"/>
      <c r="E1899" s="11" t="str">
        <f aca="false">IF(D1899="","",IFERROR(INDEX(Players!$C$5:$C$304,MATCH(D1899,Players!$B$5:$B$304,0)),""))</f>
        <v/>
      </c>
      <c r="F1899" s="22" t="str">
        <f aca="false">IF(D1899="","",IF(COUNTIFS($B$5:$B$2004,B1899,$D$5:$D$2004,D1899)&gt;1,"DUPLICATE",IF(ISNA(MATCH(D1899,Players!$B$5:$B$304,0)),"UID not found",IF(INDEX(Players!$H$5:$H$304,MATCH(D1899,Players!$B$5:$B$304,0))&lt;0,"LOW BALANCE","OK"))))</f>
        <v/>
      </c>
      <c r="G1899" s="1"/>
      <c r="H1899" s="1"/>
      <c r="I1899" s="1"/>
    </row>
    <row r="1900" customFormat="false" ht="21.75" hidden="false" customHeight="true" outlineLevel="0" collapsed="false">
      <c r="A1900" s="1"/>
      <c r="B1900" s="16"/>
      <c r="C1900" s="16"/>
      <c r="D1900" s="15"/>
      <c r="E1900" s="11" t="str">
        <f aca="false">IF(D1900="","",IFERROR(INDEX(Players!$C$5:$C$304,MATCH(D1900,Players!$B$5:$B$304,0)),""))</f>
        <v/>
      </c>
      <c r="F1900" s="22" t="str">
        <f aca="false">IF(D1900="","",IF(COUNTIFS($B$5:$B$2004,B1900,$D$5:$D$2004,D1900)&gt;1,"DUPLICATE",IF(ISNA(MATCH(D1900,Players!$B$5:$B$304,0)),"UID not found",IF(INDEX(Players!$H$5:$H$304,MATCH(D1900,Players!$B$5:$B$304,0))&lt;0,"LOW BALANCE","OK"))))</f>
        <v/>
      </c>
      <c r="G1900" s="1"/>
      <c r="H1900" s="1"/>
      <c r="I1900" s="1"/>
    </row>
    <row r="1901" customFormat="false" ht="21.75" hidden="false" customHeight="true" outlineLevel="0" collapsed="false">
      <c r="A1901" s="1"/>
      <c r="B1901" s="16"/>
      <c r="C1901" s="16"/>
      <c r="D1901" s="15"/>
      <c r="E1901" s="11" t="str">
        <f aca="false">IF(D1901="","",IFERROR(INDEX(Players!$C$5:$C$304,MATCH(D1901,Players!$B$5:$B$304,0)),""))</f>
        <v/>
      </c>
      <c r="F1901" s="22" t="str">
        <f aca="false">IF(D1901="","",IF(COUNTIFS($B$5:$B$2004,B1901,$D$5:$D$2004,D1901)&gt;1,"DUPLICATE",IF(ISNA(MATCH(D1901,Players!$B$5:$B$304,0)),"UID not found",IF(INDEX(Players!$H$5:$H$304,MATCH(D1901,Players!$B$5:$B$304,0))&lt;0,"LOW BALANCE","OK"))))</f>
        <v/>
      </c>
      <c r="G1901" s="1"/>
      <c r="H1901" s="1"/>
      <c r="I1901" s="1"/>
    </row>
    <row r="1902" customFormat="false" ht="21.75" hidden="false" customHeight="true" outlineLevel="0" collapsed="false">
      <c r="A1902" s="1"/>
      <c r="B1902" s="16"/>
      <c r="C1902" s="16"/>
      <c r="D1902" s="15"/>
      <c r="E1902" s="11" t="str">
        <f aca="false">IF(D1902="","",IFERROR(INDEX(Players!$C$5:$C$304,MATCH(D1902,Players!$B$5:$B$304,0)),""))</f>
        <v/>
      </c>
      <c r="F1902" s="22" t="str">
        <f aca="false">IF(D1902="","",IF(COUNTIFS($B$5:$B$2004,B1902,$D$5:$D$2004,D1902)&gt;1,"DUPLICATE",IF(ISNA(MATCH(D1902,Players!$B$5:$B$304,0)),"UID not found",IF(INDEX(Players!$H$5:$H$304,MATCH(D1902,Players!$B$5:$B$304,0))&lt;0,"LOW BALANCE","OK"))))</f>
        <v/>
      </c>
      <c r="G1902" s="1"/>
      <c r="H1902" s="1"/>
      <c r="I1902" s="1"/>
    </row>
    <row r="1903" customFormat="false" ht="21.75" hidden="false" customHeight="true" outlineLevel="0" collapsed="false">
      <c r="A1903" s="1"/>
      <c r="B1903" s="16"/>
      <c r="C1903" s="16"/>
      <c r="D1903" s="15"/>
      <c r="E1903" s="11" t="str">
        <f aca="false">IF(D1903="","",IFERROR(INDEX(Players!$C$5:$C$304,MATCH(D1903,Players!$B$5:$B$304,0)),""))</f>
        <v/>
      </c>
      <c r="F1903" s="22" t="str">
        <f aca="false">IF(D1903="","",IF(COUNTIFS($B$5:$B$2004,B1903,$D$5:$D$2004,D1903)&gt;1,"DUPLICATE",IF(ISNA(MATCH(D1903,Players!$B$5:$B$304,0)),"UID not found",IF(INDEX(Players!$H$5:$H$304,MATCH(D1903,Players!$B$5:$B$304,0))&lt;0,"LOW BALANCE","OK"))))</f>
        <v/>
      </c>
      <c r="G1903" s="1"/>
      <c r="H1903" s="1"/>
      <c r="I1903" s="1"/>
    </row>
    <row r="1904" customFormat="false" ht="21.75" hidden="false" customHeight="true" outlineLevel="0" collapsed="false">
      <c r="A1904" s="1"/>
      <c r="B1904" s="16"/>
      <c r="C1904" s="16"/>
      <c r="D1904" s="15"/>
      <c r="E1904" s="11" t="str">
        <f aca="false">IF(D1904="","",IFERROR(INDEX(Players!$C$5:$C$304,MATCH(D1904,Players!$B$5:$B$304,0)),""))</f>
        <v/>
      </c>
      <c r="F1904" s="22" t="str">
        <f aca="false">IF(D1904="","",IF(COUNTIFS($B$5:$B$2004,B1904,$D$5:$D$2004,D1904)&gt;1,"DUPLICATE",IF(ISNA(MATCH(D1904,Players!$B$5:$B$304,0)),"UID not found",IF(INDEX(Players!$H$5:$H$304,MATCH(D1904,Players!$B$5:$B$304,0))&lt;0,"LOW BALANCE","OK"))))</f>
        <v/>
      </c>
      <c r="G1904" s="1"/>
      <c r="H1904" s="1"/>
      <c r="I1904" s="1"/>
    </row>
    <row r="1905" customFormat="false" ht="21.75" hidden="false" customHeight="true" outlineLevel="0" collapsed="false">
      <c r="A1905" s="1"/>
      <c r="B1905" s="16"/>
      <c r="C1905" s="16"/>
      <c r="D1905" s="15"/>
      <c r="E1905" s="11" t="str">
        <f aca="false">IF(D1905="","",IFERROR(INDEX(Players!$C$5:$C$304,MATCH(D1905,Players!$B$5:$B$304,0)),""))</f>
        <v/>
      </c>
      <c r="F1905" s="22" t="str">
        <f aca="false">IF(D1905="","",IF(COUNTIFS($B$5:$B$2004,B1905,$D$5:$D$2004,D1905)&gt;1,"DUPLICATE",IF(ISNA(MATCH(D1905,Players!$B$5:$B$304,0)),"UID not found",IF(INDEX(Players!$H$5:$H$304,MATCH(D1905,Players!$B$5:$B$304,0))&lt;0,"LOW BALANCE","OK"))))</f>
        <v/>
      </c>
      <c r="G1905" s="1"/>
      <c r="H1905" s="1"/>
      <c r="I1905" s="1"/>
    </row>
    <row r="1906" customFormat="false" ht="21.75" hidden="false" customHeight="true" outlineLevel="0" collapsed="false">
      <c r="A1906" s="1"/>
      <c r="B1906" s="16"/>
      <c r="C1906" s="16"/>
      <c r="D1906" s="15"/>
      <c r="E1906" s="11" t="str">
        <f aca="false">IF(D1906="","",IFERROR(INDEX(Players!$C$5:$C$304,MATCH(D1906,Players!$B$5:$B$304,0)),""))</f>
        <v/>
      </c>
      <c r="F1906" s="22" t="str">
        <f aca="false">IF(D1906="","",IF(COUNTIFS($B$5:$B$2004,B1906,$D$5:$D$2004,D1906)&gt;1,"DUPLICATE",IF(ISNA(MATCH(D1906,Players!$B$5:$B$304,0)),"UID not found",IF(INDEX(Players!$H$5:$H$304,MATCH(D1906,Players!$B$5:$B$304,0))&lt;0,"LOW BALANCE","OK"))))</f>
        <v/>
      </c>
      <c r="G1906" s="1"/>
      <c r="H1906" s="1"/>
      <c r="I1906" s="1"/>
    </row>
    <row r="1907" customFormat="false" ht="21.75" hidden="false" customHeight="true" outlineLevel="0" collapsed="false">
      <c r="A1907" s="1"/>
      <c r="B1907" s="16"/>
      <c r="C1907" s="16"/>
      <c r="D1907" s="15"/>
      <c r="E1907" s="11" t="str">
        <f aca="false">IF(D1907="","",IFERROR(INDEX(Players!$C$5:$C$304,MATCH(D1907,Players!$B$5:$B$304,0)),""))</f>
        <v/>
      </c>
      <c r="F1907" s="22" t="str">
        <f aca="false">IF(D1907="","",IF(COUNTIFS($B$5:$B$2004,B1907,$D$5:$D$2004,D1907)&gt;1,"DUPLICATE",IF(ISNA(MATCH(D1907,Players!$B$5:$B$304,0)),"UID not found",IF(INDEX(Players!$H$5:$H$304,MATCH(D1907,Players!$B$5:$B$304,0))&lt;0,"LOW BALANCE","OK"))))</f>
        <v/>
      </c>
      <c r="G1907" s="1"/>
      <c r="H1907" s="1"/>
      <c r="I1907" s="1"/>
    </row>
    <row r="1908" customFormat="false" ht="21.75" hidden="false" customHeight="true" outlineLevel="0" collapsed="false">
      <c r="A1908" s="1"/>
      <c r="B1908" s="16"/>
      <c r="C1908" s="16"/>
      <c r="D1908" s="15"/>
      <c r="E1908" s="11" t="str">
        <f aca="false">IF(D1908="","",IFERROR(INDEX(Players!$C$5:$C$304,MATCH(D1908,Players!$B$5:$B$304,0)),""))</f>
        <v/>
      </c>
      <c r="F1908" s="22" t="str">
        <f aca="false">IF(D1908="","",IF(COUNTIFS($B$5:$B$2004,B1908,$D$5:$D$2004,D1908)&gt;1,"DUPLICATE",IF(ISNA(MATCH(D1908,Players!$B$5:$B$304,0)),"UID not found",IF(INDEX(Players!$H$5:$H$304,MATCH(D1908,Players!$B$5:$B$304,0))&lt;0,"LOW BALANCE","OK"))))</f>
        <v/>
      </c>
      <c r="G1908" s="1"/>
      <c r="H1908" s="1"/>
      <c r="I1908" s="1"/>
    </row>
    <row r="1909" customFormat="false" ht="21.75" hidden="false" customHeight="true" outlineLevel="0" collapsed="false">
      <c r="A1909" s="1"/>
      <c r="B1909" s="16"/>
      <c r="C1909" s="16"/>
      <c r="D1909" s="15"/>
      <c r="E1909" s="11" t="str">
        <f aca="false">IF(D1909="","",IFERROR(INDEX(Players!$C$5:$C$304,MATCH(D1909,Players!$B$5:$B$304,0)),""))</f>
        <v/>
      </c>
      <c r="F1909" s="22" t="str">
        <f aca="false">IF(D1909="","",IF(COUNTIFS($B$5:$B$2004,B1909,$D$5:$D$2004,D1909)&gt;1,"DUPLICATE",IF(ISNA(MATCH(D1909,Players!$B$5:$B$304,0)),"UID not found",IF(INDEX(Players!$H$5:$H$304,MATCH(D1909,Players!$B$5:$B$304,0))&lt;0,"LOW BALANCE","OK"))))</f>
        <v/>
      </c>
      <c r="G1909" s="1"/>
      <c r="H1909" s="1"/>
      <c r="I1909" s="1"/>
    </row>
    <row r="1910" customFormat="false" ht="21.75" hidden="false" customHeight="true" outlineLevel="0" collapsed="false">
      <c r="A1910" s="1"/>
      <c r="B1910" s="16"/>
      <c r="C1910" s="16"/>
      <c r="D1910" s="15"/>
      <c r="E1910" s="11" t="str">
        <f aca="false">IF(D1910="","",IFERROR(INDEX(Players!$C$5:$C$304,MATCH(D1910,Players!$B$5:$B$304,0)),""))</f>
        <v/>
      </c>
      <c r="F1910" s="22" t="str">
        <f aca="false">IF(D1910="","",IF(COUNTIFS($B$5:$B$2004,B1910,$D$5:$D$2004,D1910)&gt;1,"DUPLICATE",IF(ISNA(MATCH(D1910,Players!$B$5:$B$304,0)),"UID not found",IF(INDEX(Players!$H$5:$H$304,MATCH(D1910,Players!$B$5:$B$304,0))&lt;0,"LOW BALANCE","OK"))))</f>
        <v/>
      </c>
      <c r="G1910" s="1"/>
      <c r="H1910" s="1"/>
      <c r="I1910" s="1"/>
    </row>
    <row r="1911" customFormat="false" ht="21.75" hidden="false" customHeight="true" outlineLevel="0" collapsed="false">
      <c r="A1911" s="1"/>
      <c r="B1911" s="16"/>
      <c r="C1911" s="16"/>
      <c r="D1911" s="15"/>
      <c r="E1911" s="11" t="str">
        <f aca="false">IF(D1911="","",IFERROR(INDEX(Players!$C$5:$C$304,MATCH(D1911,Players!$B$5:$B$304,0)),""))</f>
        <v/>
      </c>
      <c r="F1911" s="22" t="str">
        <f aca="false">IF(D1911="","",IF(COUNTIFS($B$5:$B$2004,B1911,$D$5:$D$2004,D1911)&gt;1,"DUPLICATE",IF(ISNA(MATCH(D1911,Players!$B$5:$B$304,0)),"UID not found",IF(INDEX(Players!$H$5:$H$304,MATCH(D1911,Players!$B$5:$B$304,0))&lt;0,"LOW BALANCE","OK"))))</f>
        <v/>
      </c>
      <c r="G1911" s="1"/>
      <c r="H1911" s="1"/>
      <c r="I1911" s="1"/>
    </row>
    <row r="1912" customFormat="false" ht="21.75" hidden="false" customHeight="true" outlineLevel="0" collapsed="false">
      <c r="A1912" s="1"/>
      <c r="B1912" s="16"/>
      <c r="C1912" s="16"/>
      <c r="D1912" s="15"/>
      <c r="E1912" s="11" t="str">
        <f aca="false">IF(D1912="","",IFERROR(INDEX(Players!$C$5:$C$304,MATCH(D1912,Players!$B$5:$B$304,0)),""))</f>
        <v/>
      </c>
      <c r="F1912" s="22" t="str">
        <f aca="false">IF(D1912="","",IF(COUNTIFS($B$5:$B$2004,B1912,$D$5:$D$2004,D1912)&gt;1,"DUPLICATE",IF(ISNA(MATCH(D1912,Players!$B$5:$B$304,0)),"UID not found",IF(INDEX(Players!$H$5:$H$304,MATCH(D1912,Players!$B$5:$B$304,0))&lt;0,"LOW BALANCE","OK"))))</f>
        <v/>
      </c>
      <c r="G1912" s="1"/>
      <c r="H1912" s="1"/>
      <c r="I1912" s="1"/>
    </row>
    <row r="1913" customFormat="false" ht="21.75" hidden="false" customHeight="true" outlineLevel="0" collapsed="false">
      <c r="A1913" s="1"/>
      <c r="B1913" s="16"/>
      <c r="C1913" s="16"/>
      <c r="D1913" s="15"/>
      <c r="E1913" s="11" t="str">
        <f aca="false">IF(D1913="","",IFERROR(INDEX(Players!$C$5:$C$304,MATCH(D1913,Players!$B$5:$B$304,0)),""))</f>
        <v/>
      </c>
      <c r="F1913" s="22" t="str">
        <f aca="false">IF(D1913="","",IF(COUNTIFS($B$5:$B$2004,B1913,$D$5:$D$2004,D1913)&gt;1,"DUPLICATE",IF(ISNA(MATCH(D1913,Players!$B$5:$B$304,0)),"UID not found",IF(INDEX(Players!$H$5:$H$304,MATCH(D1913,Players!$B$5:$B$304,0))&lt;0,"LOW BALANCE","OK"))))</f>
        <v/>
      </c>
      <c r="G1913" s="1"/>
      <c r="H1913" s="1"/>
      <c r="I1913" s="1"/>
    </row>
    <row r="1914" customFormat="false" ht="21.75" hidden="false" customHeight="true" outlineLevel="0" collapsed="false">
      <c r="A1914" s="1"/>
      <c r="B1914" s="16"/>
      <c r="C1914" s="16"/>
      <c r="D1914" s="15"/>
      <c r="E1914" s="11" t="str">
        <f aca="false">IF(D1914="","",IFERROR(INDEX(Players!$C$5:$C$304,MATCH(D1914,Players!$B$5:$B$304,0)),""))</f>
        <v/>
      </c>
      <c r="F1914" s="22" t="str">
        <f aca="false">IF(D1914="","",IF(COUNTIFS($B$5:$B$2004,B1914,$D$5:$D$2004,D1914)&gt;1,"DUPLICATE",IF(ISNA(MATCH(D1914,Players!$B$5:$B$304,0)),"UID not found",IF(INDEX(Players!$H$5:$H$304,MATCH(D1914,Players!$B$5:$B$304,0))&lt;0,"LOW BALANCE","OK"))))</f>
        <v/>
      </c>
      <c r="G1914" s="1"/>
      <c r="H1914" s="1"/>
      <c r="I1914" s="1"/>
    </row>
    <row r="1915" customFormat="false" ht="21.75" hidden="false" customHeight="true" outlineLevel="0" collapsed="false">
      <c r="A1915" s="1"/>
      <c r="B1915" s="16"/>
      <c r="C1915" s="16"/>
      <c r="D1915" s="15"/>
      <c r="E1915" s="11" t="str">
        <f aca="false">IF(D1915="","",IFERROR(INDEX(Players!$C$5:$C$304,MATCH(D1915,Players!$B$5:$B$304,0)),""))</f>
        <v/>
      </c>
      <c r="F1915" s="22" t="str">
        <f aca="false">IF(D1915="","",IF(COUNTIFS($B$5:$B$2004,B1915,$D$5:$D$2004,D1915)&gt;1,"DUPLICATE",IF(ISNA(MATCH(D1915,Players!$B$5:$B$304,0)),"UID not found",IF(INDEX(Players!$H$5:$H$304,MATCH(D1915,Players!$B$5:$B$304,0))&lt;0,"LOW BALANCE","OK"))))</f>
        <v/>
      </c>
      <c r="G1915" s="1"/>
      <c r="H1915" s="1"/>
      <c r="I1915" s="1"/>
    </row>
    <row r="1916" customFormat="false" ht="21.75" hidden="false" customHeight="true" outlineLevel="0" collapsed="false">
      <c r="A1916" s="1"/>
      <c r="B1916" s="16"/>
      <c r="C1916" s="16"/>
      <c r="D1916" s="15"/>
      <c r="E1916" s="11" t="str">
        <f aca="false">IF(D1916="","",IFERROR(INDEX(Players!$C$5:$C$304,MATCH(D1916,Players!$B$5:$B$304,0)),""))</f>
        <v/>
      </c>
      <c r="F1916" s="22" t="str">
        <f aca="false">IF(D1916="","",IF(COUNTIFS($B$5:$B$2004,B1916,$D$5:$D$2004,D1916)&gt;1,"DUPLICATE",IF(ISNA(MATCH(D1916,Players!$B$5:$B$304,0)),"UID not found",IF(INDEX(Players!$H$5:$H$304,MATCH(D1916,Players!$B$5:$B$304,0))&lt;0,"LOW BALANCE","OK"))))</f>
        <v/>
      </c>
      <c r="G1916" s="1"/>
      <c r="H1916" s="1"/>
      <c r="I1916" s="1"/>
    </row>
    <row r="1917" customFormat="false" ht="21.75" hidden="false" customHeight="true" outlineLevel="0" collapsed="false">
      <c r="A1917" s="1"/>
      <c r="B1917" s="16"/>
      <c r="C1917" s="16"/>
      <c r="D1917" s="15"/>
      <c r="E1917" s="11" t="str">
        <f aca="false">IF(D1917="","",IFERROR(INDEX(Players!$C$5:$C$304,MATCH(D1917,Players!$B$5:$B$304,0)),""))</f>
        <v/>
      </c>
      <c r="F1917" s="22" t="str">
        <f aca="false">IF(D1917="","",IF(COUNTIFS($B$5:$B$2004,B1917,$D$5:$D$2004,D1917)&gt;1,"DUPLICATE",IF(ISNA(MATCH(D1917,Players!$B$5:$B$304,0)),"UID not found",IF(INDEX(Players!$H$5:$H$304,MATCH(D1917,Players!$B$5:$B$304,0))&lt;0,"LOW BALANCE","OK"))))</f>
        <v/>
      </c>
      <c r="G1917" s="1"/>
      <c r="H1917" s="1"/>
      <c r="I1917" s="1"/>
    </row>
    <row r="1918" customFormat="false" ht="21.75" hidden="false" customHeight="true" outlineLevel="0" collapsed="false">
      <c r="A1918" s="1"/>
      <c r="B1918" s="16"/>
      <c r="C1918" s="16"/>
      <c r="D1918" s="15"/>
      <c r="E1918" s="11" t="str">
        <f aca="false">IF(D1918="","",IFERROR(INDEX(Players!$C$5:$C$304,MATCH(D1918,Players!$B$5:$B$304,0)),""))</f>
        <v/>
      </c>
      <c r="F1918" s="22" t="str">
        <f aca="false">IF(D1918="","",IF(COUNTIFS($B$5:$B$2004,B1918,$D$5:$D$2004,D1918)&gt;1,"DUPLICATE",IF(ISNA(MATCH(D1918,Players!$B$5:$B$304,0)),"UID not found",IF(INDEX(Players!$H$5:$H$304,MATCH(D1918,Players!$B$5:$B$304,0))&lt;0,"LOW BALANCE","OK"))))</f>
        <v/>
      </c>
      <c r="G1918" s="1"/>
      <c r="H1918" s="1"/>
      <c r="I1918" s="1"/>
    </row>
    <row r="1919" customFormat="false" ht="21.75" hidden="false" customHeight="true" outlineLevel="0" collapsed="false">
      <c r="A1919" s="1"/>
      <c r="B1919" s="16"/>
      <c r="C1919" s="16"/>
      <c r="D1919" s="15"/>
      <c r="E1919" s="11" t="str">
        <f aca="false">IF(D1919="","",IFERROR(INDEX(Players!$C$5:$C$304,MATCH(D1919,Players!$B$5:$B$304,0)),""))</f>
        <v/>
      </c>
      <c r="F1919" s="22" t="str">
        <f aca="false">IF(D1919="","",IF(COUNTIFS($B$5:$B$2004,B1919,$D$5:$D$2004,D1919)&gt;1,"DUPLICATE",IF(ISNA(MATCH(D1919,Players!$B$5:$B$304,0)),"UID not found",IF(INDEX(Players!$H$5:$H$304,MATCH(D1919,Players!$B$5:$B$304,0))&lt;0,"LOW BALANCE","OK"))))</f>
        <v/>
      </c>
      <c r="G1919" s="1"/>
      <c r="H1919" s="1"/>
      <c r="I1919" s="1"/>
    </row>
    <row r="1920" customFormat="false" ht="21.75" hidden="false" customHeight="true" outlineLevel="0" collapsed="false">
      <c r="A1920" s="1"/>
      <c r="B1920" s="16"/>
      <c r="C1920" s="16"/>
      <c r="D1920" s="15"/>
      <c r="E1920" s="11" t="str">
        <f aca="false">IF(D1920="","",IFERROR(INDEX(Players!$C$5:$C$304,MATCH(D1920,Players!$B$5:$B$304,0)),""))</f>
        <v/>
      </c>
      <c r="F1920" s="22" t="str">
        <f aca="false">IF(D1920="","",IF(COUNTIFS($B$5:$B$2004,B1920,$D$5:$D$2004,D1920)&gt;1,"DUPLICATE",IF(ISNA(MATCH(D1920,Players!$B$5:$B$304,0)),"UID not found",IF(INDEX(Players!$H$5:$H$304,MATCH(D1920,Players!$B$5:$B$304,0))&lt;0,"LOW BALANCE","OK"))))</f>
        <v/>
      </c>
      <c r="G1920" s="1"/>
      <c r="H1920" s="1"/>
      <c r="I1920" s="1"/>
    </row>
    <row r="1921" customFormat="false" ht="21.75" hidden="false" customHeight="true" outlineLevel="0" collapsed="false">
      <c r="A1921" s="1"/>
      <c r="B1921" s="16"/>
      <c r="C1921" s="16"/>
      <c r="D1921" s="15"/>
      <c r="E1921" s="11" t="str">
        <f aca="false">IF(D1921="","",IFERROR(INDEX(Players!$C$5:$C$304,MATCH(D1921,Players!$B$5:$B$304,0)),""))</f>
        <v/>
      </c>
      <c r="F1921" s="22" t="str">
        <f aca="false">IF(D1921="","",IF(COUNTIFS($B$5:$B$2004,B1921,$D$5:$D$2004,D1921)&gt;1,"DUPLICATE",IF(ISNA(MATCH(D1921,Players!$B$5:$B$304,0)),"UID not found",IF(INDEX(Players!$H$5:$H$304,MATCH(D1921,Players!$B$5:$B$304,0))&lt;0,"LOW BALANCE","OK"))))</f>
        <v/>
      </c>
      <c r="G1921" s="1"/>
      <c r="H1921" s="1"/>
      <c r="I1921" s="1"/>
    </row>
    <row r="1922" customFormat="false" ht="21.75" hidden="false" customHeight="true" outlineLevel="0" collapsed="false">
      <c r="A1922" s="1"/>
      <c r="B1922" s="16"/>
      <c r="C1922" s="16"/>
      <c r="D1922" s="15"/>
      <c r="E1922" s="11" t="str">
        <f aca="false">IF(D1922="","",IFERROR(INDEX(Players!$C$5:$C$304,MATCH(D1922,Players!$B$5:$B$304,0)),""))</f>
        <v/>
      </c>
      <c r="F1922" s="22" t="str">
        <f aca="false">IF(D1922="","",IF(COUNTIFS($B$5:$B$2004,B1922,$D$5:$D$2004,D1922)&gt;1,"DUPLICATE",IF(ISNA(MATCH(D1922,Players!$B$5:$B$304,0)),"UID not found",IF(INDEX(Players!$H$5:$H$304,MATCH(D1922,Players!$B$5:$B$304,0))&lt;0,"LOW BALANCE","OK"))))</f>
        <v/>
      </c>
      <c r="G1922" s="1"/>
      <c r="H1922" s="1"/>
      <c r="I1922" s="1"/>
    </row>
    <row r="1923" customFormat="false" ht="21.75" hidden="false" customHeight="true" outlineLevel="0" collapsed="false">
      <c r="A1923" s="1"/>
      <c r="B1923" s="16"/>
      <c r="C1923" s="16"/>
      <c r="D1923" s="15"/>
      <c r="E1923" s="11" t="str">
        <f aca="false">IF(D1923="","",IFERROR(INDEX(Players!$C$5:$C$304,MATCH(D1923,Players!$B$5:$B$304,0)),""))</f>
        <v/>
      </c>
      <c r="F1923" s="22" t="str">
        <f aca="false">IF(D1923="","",IF(COUNTIFS($B$5:$B$2004,B1923,$D$5:$D$2004,D1923)&gt;1,"DUPLICATE",IF(ISNA(MATCH(D1923,Players!$B$5:$B$304,0)),"UID not found",IF(INDEX(Players!$H$5:$H$304,MATCH(D1923,Players!$B$5:$B$304,0))&lt;0,"LOW BALANCE","OK"))))</f>
        <v/>
      </c>
      <c r="G1923" s="1"/>
      <c r="H1923" s="1"/>
      <c r="I1923" s="1"/>
    </row>
    <row r="1924" customFormat="false" ht="21.75" hidden="false" customHeight="true" outlineLevel="0" collapsed="false">
      <c r="A1924" s="1"/>
      <c r="B1924" s="16"/>
      <c r="C1924" s="16"/>
      <c r="D1924" s="15"/>
      <c r="E1924" s="11" t="str">
        <f aca="false">IF(D1924="","",IFERROR(INDEX(Players!$C$5:$C$304,MATCH(D1924,Players!$B$5:$B$304,0)),""))</f>
        <v/>
      </c>
      <c r="F1924" s="22" t="str">
        <f aca="false">IF(D1924="","",IF(COUNTIFS($B$5:$B$2004,B1924,$D$5:$D$2004,D1924)&gt;1,"DUPLICATE",IF(ISNA(MATCH(D1924,Players!$B$5:$B$304,0)),"UID not found",IF(INDEX(Players!$H$5:$H$304,MATCH(D1924,Players!$B$5:$B$304,0))&lt;0,"LOW BALANCE","OK"))))</f>
        <v/>
      </c>
      <c r="G1924" s="1"/>
      <c r="H1924" s="1"/>
      <c r="I1924" s="1"/>
    </row>
    <row r="1925" customFormat="false" ht="21.75" hidden="false" customHeight="true" outlineLevel="0" collapsed="false">
      <c r="A1925" s="1"/>
      <c r="B1925" s="16"/>
      <c r="C1925" s="16"/>
      <c r="D1925" s="15"/>
      <c r="E1925" s="11" t="str">
        <f aca="false">IF(D1925="","",IFERROR(INDEX(Players!$C$5:$C$304,MATCH(D1925,Players!$B$5:$B$304,0)),""))</f>
        <v/>
      </c>
      <c r="F1925" s="22" t="str">
        <f aca="false">IF(D1925="","",IF(COUNTIFS($B$5:$B$2004,B1925,$D$5:$D$2004,D1925)&gt;1,"DUPLICATE",IF(ISNA(MATCH(D1925,Players!$B$5:$B$304,0)),"UID not found",IF(INDEX(Players!$H$5:$H$304,MATCH(D1925,Players!$B$5:$B$304,0))&lt;0,"LOW BALANCE","OK"))))</f>
        <v/>
      </c>
      <c r="G1925" s="1"/>
      <c r="H1925" s="1"/>
      <c r="I1925" s="1"/>
    </row>
    <row r="1926" customFormat="false" ht="21.75" hidden="false" customHeight="true" outlineLevel="0" collapsed="false">
      <c r="A1926" s="1"/>
      <c r="B1926" s="16"/>
      <c r="C1926" s="16"/>
      <c r="D1926" s="15"/>
      <c r="E1926" s="11" t="str">
        <f aca="false">IF(D1926="","",IFERROR(INDEX(Players!$C$5:$C$304,MATCH(D1926,Players!$B$5:$B$304,0)),""))</f>
        <v/>
      </c>
      <c r="F1926" s="22" t="str">
        <f aca="false">IF(D1926="","",IF(COUNTIFS($B$5:$B$2004,B1926,$D$5:$D$2004,D1926)&gt;1,"DUPLICATE",IF(ISNA(MATCH(D1926,Players!$B$5:$B$304,0)),"UID not found",IF(INDEX(Players!$H$5:$H$304,MATCH(D1926,Players!$B$5:$B$304,0))&lt;0,"LOW BALANCE","OK"))))</f>
        <v/>
      </c>
      <c r="G1926" s="1"/>
      <c r="H1926" s="1"/>
      <c r="I1926" s="1"/>
    </row>
    <row r="1927" customFormat="false" ht="21.75" hidden="false" customHeight="true" outlineLevel="0" collapsed="false">
      <c r="A1927" s="1"/>
      <c r="B1927" s="16"/>
      <c r="C1927" s="16"/>
      <c r="D1927" s="15"/>
      <c r="E1927" s="11" t="str">
        <f aca="false">IF(D1927="","",IFERROR(INDEX(Players!$C$5:$C$304,MATCH(D1927,Players!$B$5:$B$304,0)),""))</f>
        <v/>
      </c>
      <c r="F1927" s="22" t="str">
        <f aca="false">IF(D1927="","",IF(COUNTIFS($B$5:$B$2004,B1927,$D$5:$D$2004,D1927)&gt;1,"DUPLICATE",IF(ISNA(MATCH(D1927,Players!$B$5:$B$304,0)),"UID not found",IF(INDEX(Players!$H$5:$H$304,MATCH(D1927,Players!$B$5:$B$304,0))&lt;0,"LOW BALANCE","OK"))))</f>
        <v/>
      </c>
      <c r="G1927" s="1"/>
      <c r="H1927" s="1"/>
      <c r="I1927" s="1"/>
    </row>
    <row r="1928" customFormat="false" ht="21.75" hidden="false" customHeight="true" outlineLevel="0" collapsed="false">
      <c r="A1928" s="1"/>
      <c r="B1928" s="16"/>
      <c r="C1928" s="16"/>
      <c r="D1928" s="15"/>
      <c r="E1928" s="11" t="str">
        <f aca="false">IF(D1928="","",IFERROR(INDEX(Players!$C$5:$C$304,MATCH(D1928,Players!$B$5:$B$304,0)),""))</f>
        <v/>
      </c>
      <c r="F1928" s="22" t="str">
        <f aca="false">IF(D1928="","",IF(COUNTIFS($B$5:$B$2004,B1928,$D$5:$D$2004,D1928)&gt;1,"DUPLICATE",IF(ISNA(MATCH(D1928,Players!$B$5:$B$304,0)),"UID not found",IF(INDEX(Players!$H$5:$H$304,MATCH(D1928,Players!$B$5:$B$304,0))&lt;0,"LOW BALANCE","OK"))))</f>
        <v/>
      </c>
      <c r="G1928" s="1"/>
      <c r="H1928" s="1"/>
      <c r="I1928" s="1"/>
    </row>
    <row r="1929" customFormat="false" ht="21.75" hidden="false" customHeight="true" outlineLevel="0" collapsed="false">
      <c r="A1929" s="1"/>
      <c r="B1929" s="16"/>
      <c r="C1929" s="16"/>
      <c r="D1929" s="15"/>
      <c r="E1929" s="11" t="str">
        <f aca="false">IF(D1929="","",IFERROR(INDEX(Players!$C$5:$C$304,MATCH(D1929,Players!$B$5:$B$304,0)),""))</f>
        <v/>
      </c>
      <c r="F1929" s="22" t="str">
        <f aca="false">IF(D1929="","",IF(COUNTIFS($B$5:$B$2004,B1929,$D$5:$D$2004,D1929)&gt;1,"DUPLICATE",IF(ISNA(MATCH(D1929,Players!$B$5:$B$304,0)),"UID not found",IF(INDEX(Players!$H$5:$H$304,MATCH(D1929,Players!$B$5:$B$304,0))&lt;0,"LOW BALANCE","OK"))))</f>
        <v/>
      </c>
      <c r="G1929" s="1"/>
      <c r="H1929" s="1"/>
      <c r="I1929" s="1"/>
    </row>
    <row r="1930" customFormat="false" ht="21.75" hidden="false" customHeight="true" outlineLevel="0" collapsed="false">
      <c r="A1930" s="1"/>
      <c r="B1930" s="16"/>
      <c r="C1930" s="16"/>
      <c r="D1930" s="15"/>
      <c r="E1930" s="11" t="str">
        <f aca="false">IF(D1930="","",IFERROR(INDEX(Players!$C$5:$C$304,MATCH(D1930,Players!$B$5:$B$304,0)),""))</f>
        <v/>
      </c>
      <c r="F1930" s="22" t="str">
        <f aca="false">IF(D1930="","",IF(COUNTIFS($B$5:$B$2004,B1930,$D$5:$D$2004,D1930)&gt;1,"DUPLICATE",IF(ISNA(MATCH(D1930,Players!$B$5:$B$304,0)),"UID not found",IF(INDEX(Players!$H$5:$H$304,MATCH(D1930,Players!$B$5:$B$304,0))&lt;0,"LOW BALANCE","OK"))))</f>
        <v/>
      </c>
      <c r="G1930" s="1"/>
      <c r="H1930" s="1"/>
      <c r="I1930" s="1"/>
    </row>
    <row r="1931" customFormat="false" ht="21.75" hidden="false" customHeight="true" outlineLevel="0" collapsed="false">
      <c r="A1931" s="1"/>
      <c r="B1931" s="16"/>
      <c r="C1931" s="16"/>
      <c r="D1931" s="15"/>
      <c r="E1931" s="11" t="str">
        <f aca="false">IF(D1931="","",IFERROR(INDEX(Players!$C$5:$C$304,MATCH(D1931,Players!$B$5:$B$304,0)),""))</f>
        <v/>
      </c>
      <c r="F1931" s="22" t="str">
        <f aca="false">IF(D1931="","",IF(COUNTIFS($B$5:$B$2004,B1931,$D$5:$D$2004,D1931)&gt;1,"DUPLICATE",IF(ISNA(MATCH(D1931,Players!$B$5:$B$304,0)),"UID not found",IF(INDEX(Players!$H$5:$H$304,MATCH(D1931,Players!$B$5:$B$304,0))&lt;0,"LOW BALANCE","OK"))))</f>
        <v/>
      </c>
      <c r="G1931" s="1"/>
      <c r="H1931" s="1"/>
      <c r="I1931" s="1"/>
    </row>
    <row r="1932" customFormat="false" ht="21.75" hidden="false" customHeight="true" outlineLevel="0" collapsed="false">
      <c r="A1932" s="1"/>
      <c r="B1932" s="16"/>
      <c r="C1932" s="16"/>
      <c r="D1932" s="15"/>
      <c r="E1932" s="11" t="str">
        <f aca="false">IF(D1932="","",IFERROR(INDEX(Players!$C$5:$C$304,MATCH(D1932,Players!$B$5:$B$304,0)),""))</f>
        <v/>
      </c>
      <c r="F1932" s="22" t="str">
        <f aca="false">IF(D1932="","",IF(COUNTIFS($B$5:$B$2004,B1932,$D$5:$D$2004,D1932)&gt;1,"DUPLICATE",IF(ISNA(MATCH(D1932,Players!$B$5:$B$304,0)),"UID not found",IF(INDEX(Players!$H$5:$H$304,MATCH(D1932,Players!$B$5:$B$304,0))&lt;0,"LOW BALANCE","OK"))))</f>
        <v/>
      </c>
      <c r="G1932" s="1"/>
      <c r="H1932" s="1"/>
      <c r="I1932" s="1"/>
    </row>
    <row r="1933" customFormat="false" ht="21.75" hidden="false" customHeight="true" outlineLevel="0" collapsed="false">
      <c r="A1933" s="1"/>
      <c r="B1933" s="16"/>
      <c r="C1933" s="16"/>
      <c r="D1933" s="15"/>
      <c r="E1933" s="11" t="str">
        <f aca="false">IF(D1933="","",IFERROR(INDEX(Players!$C$5:$C$304,MATCH(D1933,Players!$B$5:$B$304,0)),""))</f>
        <v/>
      </c>
      <c r="F1933" s="22" t="str">
        <f aca="false">IF(D1933="","",IF(COUNTIFS($B$5:$B$2004,B1933,$D$5:$D$2004,D1933)&gt;1,"DUPLICATE",IF(ISNA(MATCH(D1933,Players!$B$5:$B$304,0)),"UID not found",IF(INDEX(Players!$H$5:$H$304,MATCH(D1933,Players!$B$5:$B$304,0))&lt;0,"LOW BALANCE","OK"))))</f>
        <v/>
      </c>
      <c r="G1933" s="1"/>
      <c r="H1933" s="1"/>
      <c r="I1933" s="1"/>
    </row>
    <row r="1934" customFormat="false" ht="21.75" hidden="false" customHeight="true" outlineLevel="0" collapsed="false">
      <c r="A1934" s="1"/>
      <c r="B1934" s="16"/>
      <c r="C1934" s="16"/>
      <c r="D1934" s="15"/>
      <c r="E1934" s="11" t="str">
        <f aca="false">IF(D1934="","",IFERROR(INDEX(Players!$C$5:$C$304,MATCH(D1934,Players!$B$5:$B$304,0)),""))</f>
        <v/>
      </c>
      <c r="F1934" s="22" t="str">
        <f aca="false">IF(D1934="","",IF(COUNTIFS($B$5:$B$2004,B1934,$D$5:$D$2004,D1934)&gt;1,"DUPLICATE",IF(ISNA(MATCH(D1934,Players!$B$5:$B$304,0)),"UID not found",IF(INDEX(Players!$H$5:$H$304,MATCH(D1934,Players!$B$5:$B$304,0))&lt;0,"LOW BALANCE","OK"))))</f>
        <v/>
      </c>
      <c r="G1934" s="1"/>
      <c r="H1934" s="1"/>
      <c r="I1934" s="1"/>
    </row>
    <row r="1935" customFormat="false" ht="21.75" hidden="false" customHeight="true" outlineLevel="0" collapsed="false">
      <c r="A1935" s="1"/>
      <c r="B1935" s="16"/>
      <c r="C1935" s="16"/>
      <c r="D1935" s="15"/>
      <c r="E1935" s="11" t="str">
        <f aca="false">IF(D1935="","",IFERROR(INDEX(Players!$C$5:$C$304,MATCH(D1935,Players!$B$5:$B$304,0)),""))</f>
        <v/>
      </c>
      <c r="F1935" s="22" t="str">
        <f aca="false">IF(D1935="","",IF(COUNTIFS($B$5:$B$2004,B1935,$D$5:$D$2004,D1935)&gt;1,"DUPLICATE",IF(ISNA(MATCH(D1935,Players!$B$5:$B$304,0)),"UID not found",IF(INDEX(Players!$H$5:$H$304,MATCH(D1935,Players!$B$5:$B$304,0))&lt;0,"LOW BALANCE","OK"))))</f>
        <v/>
      </c>
      <c r="G1935" s="1"/>
      <c r="H1935" s="1"/>
      <c r="I1935" s="1"/>
    </row>
    <row r="1936" customFormat="false" ht="21.75" hidden="false" customHeight="true" outlineLevel="0" collapsed="false">
      <c r="A1936" s="1"/>
      <c r="B1936" s="16"/>
      <c r="C1936" s="16"/>
      <c r="D1936" s="15"/>
      <c r="E1936" s="11" t="str">
        <f aca="false">IF(D1936="","",IFERROR(INDEX(Players!$C$5:$C$304,MATCH(D1936,Players!$B$5:$B$304,0)),""))</f>
        <v/>
      </c>
      <c r="F1936" s="22" t="str">
        <f aca="false">IF(D1936="","",IF(COUNTIFS($B$5:$B$2004,B1936,$D$5:$D$2004,D1936)&gt;1,"DUPLICATE",IF(ISNA(MATCH(D1936,Players!$B$5:$B$304,0)),"UID not found",IF(INDEX(Players!$H$5:$H$304,MATCH(D1936,Players!$B$5:$B$304,0))&lt;0,"LOW BALANCE","OK"))))</f>
        <v/>
      </c>
      <c r="G1936" s="1"/>
      <c r="H1936" s="1"/>
      <c r="I1936" s="1"/>
    </row>
    <row r="1937" customFormat="false" ht="21.75" hidden="false" customHeight="true" outlineLevel="0" collapsed="false">
      <c r="A1937" s="1"/>
      <c r="B1937" s="16"/>
      <c r="C1937" s="16"/>
      <c r="D1937" s="15"/>
      <c r="E1937" s="11" t="str">
        <f aca="false">IF(D1937="","",IFERROR(INDEX(Players!$C$5:$C$304,MATCH(D1937,Players!$B$5:$B$304,0)),""))</f>
        <v/>
      </c>
      <c r="F1937" s="22" t="str">
        <f aca="false">IF(D1937="","",IF(COUNTIFS($B$5:$B$2004,B1937,$D$5:$D$2004,D1937)&gt;1,"DUPLICATE",IF(ISNA(MATCH(D1937,Players!$B$5:$B$304,0)),"UID not found",IF(INDEX(Players!$H$5:$H$304,MATCH(D1937,Players!$B$5:$B$304,0))&lt;0,"LOW BALANCE","OK"))))</f>
        <v/>
      </c>
      <c r="G1937" s="1"/>
      <c r="H1937" s="1"/>
      <c r="I1937" s="1"/>
    </row>
    <row r="1938" customFormat="false" ht="21.75" hidden="false" customHeight="true" outlineLevel="0" collapsed="false">
      <c r="A1938" s="1"/>
      <c r="B1938" s="16"/>
      <c r="C1938" s="16"/>
      <c r="D1938" s="15"/>
      <c r="E1938" s="11" t="str">
        <f aca="false">IF(D1938="","",IFERROR(INDEX(Players!$C$5:$C$304,MATCH(D1938,Players!$B$5:$B$304,0)),""))</f>
        <v/>
      </c>
      <c r="F1938" s="22" t="str">
        <f aca="false">IF(D1938="","",IF(COUNTIFS($B$5:$B$2004,B1938,$D$5:$D$2004,D1938)&gt;1,"DUPLICATE",IF(ISNA(MATCH(D1938,Players!$B$5:$B$304,0)),"UID not found",IF(INDEX(Players!$H$5:$H$304,MATCH(D1938,Players!$B$5:$B$304,0))&lt;0,"LOW BALANCE","OK"))))</f>
        <v/>
      </c>
      <c r="G1938" s="1"/>
      <c r="H1938" s="1"/>
      <c r="I1938" s="1"/>
    </row>
    <row r="1939" customFormat="false" ht="21.75" hidden="false" customHeight="true" outlineLevel="0" collapsed="false">
      <c r="A1939" s="1"/>
      <c r="B1939" s="16"/>
      <c r="C1939" s="16"/>
      <c r="D1939" s="15"/>
      <c r="E1939" s="11" t="str">
        <f aca="false">IF(D1939="","",IFERROR(INDEX(Players!$C$5:$C$304,MATCH(D1939,Players!$B$5:$B$304,0)),""))</f>
        <v/>
      </c>
      <c r="F1939" s="22" t="str">
        <f aca="false">IF(D1939="","",IF(COUNTIFS($B$5:$B$2004,B1939,$D$5:$D$2004,D1939)&gt;1,"DUPLICATE",IF(ISNA(MATCH(D1939,Players!$B$5:$B$304,0)),"UID not found",IF(INDEX(Players!$H$5:$H$304,MATCH(D1939,Players!$B$5:$B$304,0))&lt;0,"LOW BALANCE","OK"))))</f>
        <v/>
      </c>
      <c r="G1939" s="1"/>
      <c r="H1939" s="1"/>
      <c r="I1939" s="1"/>
    </row>
    <row r="1940" customFormat="false" ht="21.75" hidden="false" customHeight="true" outlineLevel="0" collapsed="false">
      <c r="A1940" s="1"/>
      <c r="B1940" s="16"/>
      <c r="C1940" s="16"/>
      <c r="D1940" s="15"/>
      <c r="E1940" s="11" t="str">
        <f aca="false">IF(D1940="","",IFERROR(INDEX(Players!$C$5:$C$304,MATCH(D1940,Players!$B$5:$B$304,0)),""))</f>
        <v/>
      </c>
      <c r="F1940" s="22" t="str">
        <f aca="false">IF(D1940="","",IF(COUNTIFS($B$5:$B$2004,B1940,$D$5:$D$2004,D1940)&gt;1,"DUPLICATE",IF(ISNA(MATCH(D1940,Players!$B$5:$B$304,0)),"UID not found",IF(INDEX(Players!$H$5:$H$304,MATCH(D1940,Players!$B$5:$B$304,0))&lt;0,"LOW BALANCE","OK"))))</f>
        <v/>
      </c>
      <c r="G1940" s="1"/>
      <c r="H1940" s="1"/>
      <c r="I1940" s="1"/>
    </row>
    <row r="1941" customFormat="false" ht="21.75" hidden="false" customHeight="true" outlineLevel="0" collapsed="false">
      <c r="A1941" s="1"/>
      <c r="B1941" s="16"/>
      <c r="C1941" s="16"/>
      <c r="D1941" s="15"/>
      <c r="E1941" s="11" t="str">
        <f aca="false">IF(D1941="","",IFERROR(INDEX(Players!$C$5:$C$304,MATCH(D1941,Players!$B$5:$B$304,0)),""))</f>
        <v/>
      </c>
      <c r="F1941" s="22" t="str">
        <f aca="false">IF(D1941="","",IF(COUNTIFS($B$5:$B$2004,B1941,$D$5:$D$2004,D1941)&gt;1,"DUPLICATE",IF(ISNA(MATCH(D1941,Players!$B$5:$B$304,0)),"UID not found",IF(INDEX(Players!$H$5:$H$304,MATCH(D1941,Players!$B$5:$B$304,0))&lt;0,"LOW BALANCE","OK"))))</f>
        <v/>
      </c>
      <c r="G1941" s="1"/>
      <c r="H1941" s="1"/>
      <c r="I1941" s="1"/>
    </row>
    <row r="1942" customFormat="false" ht="21.75" hidden="false" customHeight="true" outlineLevel="0" collapsed="false">
      <c r="A1942" s="1"/>
      <c r="B1942" s="16"/>
      <c r="C1942" s="16"/>
      <c r="D1942" s="15"/>
      <c r="E1942" s="11" t="str">
        <f aca="false">IF(D1942="","",IFERROR(INDEX(Players!$C$5:$C$304,MATCH(D1942,Players!$B$5:$B$304,0)),""))</f>
        <v/>
      </c>
      <c r="F1942" s="22" t="str">
        <f aca="false">IF(D1942="","",IF(COUNTIFS($B$5:$B$2004,B1942,$D$5:$D$2004,D1942)&gt;1,"DUPLICATE",IF(ISNA(MATCH(D1942,Players!$B$5:$B$304,0)),"UID not found",IF(INDEX(Players!$H$5:$H$304,MATCH(D1942,Players!$B$5:$B$304,0))&lt;0,"LOW BALANCE","OK"))))</f>
        <v/>
      </c>
      <c r="G1942" s="1"/>
      <c r="H1942" s="1"/>
      <c r="I1942" s="1"/>
    </row>
    <row r="1943" customFormat="false" ht="21.75" hidden="false" customHeight="true" outlineLevel="0" collapsed="false">
      <c r="A1943" s="1"/>
      <c r="B1943" s="16"/>
      <c r="C1943" s="16"/>
      <c r="D1943" s="15"/>
      <c r="E1943" s="11" t="str">
        <f aca="false">IF(D1943="","",IFERROR(INDEX(Players!$C$5:$C$304,MATCH(D1943,Players!$B$5:$B$304,0)),""))</f>
        <v/>
      </c>
      <c r="F1943" s="22" t="str">
        <f aca="false">IF(D1943="","",IF(COUNTIFS($B$5:$B$2004,B1943,$D$5:$D$2004,D1943)&gt;1,"DUPLICATE",IF(ISNA(MATCH(D1943,Players!$B$5:$B$304,0)),"UID not found",IF(INDEX(Players!$H$5:$H$304,MATCH(D1943,Players!$B$5:$B$304,0))&lt;0,"LOW BALANCE","OK"))))</f>
        <v/>
      </c>
      <c r="G1943" s="1"/>
      <c r="H1943" s="1"/>
      <c r="I1943" s="1"/>
    </row>
    <row r="1944" customFormat="false" ht="21.75" hidden="false" customHeight="true" outlineLevel="0" collapsed="false">
      <c r="A1944" s="1"/>
      <c r="B1944" s="16"/>
      <c r="C1944" s="16"/>
      <c r="D1944" s="15"/>
      <c r="E1944" s="11" t="str">
        <f aca="false">IF(D1944="","",IFERROR(INDEX(Players!$C$5:$C$304,MATCH(D1944,Players!$B$5:$B$304,0)),""))</f>
        <v/>
      </c>
      <c r="F1944" s="22" t="str">
        <f aca="false">IF(D1944="","",IF(COUNTIFS($B$5:$B$2004,B1944,$D$5:$D$2004,D1944)&gt;1,"DUPLICATE",IF(ISNA(MATCH(D1944,Players!$B$5:$B$304,0)),"UID not found",IF(INDEX(Players!$H$5:$H$304,MATCH(D1944,Players!$B$5:$B$304,0))&lt;0,"LOW BALANCE","OK"))))</f>
        <v/>
      </c>
      <c r="G1944" s="1"/>
      <c r="H1944" s="1"/>
      <c r="I1944" s="1"/>
    </row>
    <row r="1945" customFormat="false" ht="21.75" hidden="false" customHeight="true" outlineLevel="0" collapsed="false">
      <c r="A1945" s="1"/>
      <c r="B1945" s="16"/>
      <c r="C1945" s="16"/>
      <c r="D1945" s="15"/>
      <c r="E1945" s="11" t="str">
        <f aca="false">IF(D1945="","",IFERROR(INDEX(Players!$C$5:$C$304,MATCH(D1945,Players!$B$5:$B$304,0)),""))</f>
        <v/>
      </c>
      <c r="F1945" s="22" t="str">
        <f aca="false">IF(D1945="","",IF(COUNTIFS($B$5:$B$2004,B1945,$D$5:$D$2004,D1945)&gt;1,"DUPLICATE",IF(ISNA(MATCH(D1945,Players!$B$5:$B$304,0)),"UID not found",IF(INDEX(Players!$H$5:$H$304,MATCH(D1945,Players!$B$5:$B$304,0))&lt;0,"LOW BALANCE","OK"))))</f>
        <v/>
      </c>
      <c r="G1945" s="1"/>
      <c r="H1945" s="1"/>
      <c r="I1945" s="1"/>
    </row>
    <row r="1946" customFormat="false" ht="21.75" hidden="false" customHeight="true" outlineLevel="0" collapsed="false">
      <c r="A1946" s="1"/>
      <c r="B1946" s="16"/>
      <c r="C1946" s="16"/>
      <c r="D1946" s="15"/>
      <c r="E1946" s="11" t="str">
        <f aca="false">IF(D1946="","",IFERROR(INDEX(Players!$C$5:$C$304,MATCH(D1946,Players!$B$5:$B$304,0)),""))</f>
        <v/>
      </c>
      <c r="F1946" s="22" t="str">
        <f aca="false">IF(D1946="","",IF(COUNTIFS($B$5:$B$2004,B1946,$D$5:$D$2004,D1946)&gt;1,"DUPLICATE",IF(ISNA(MATCH(D1946,Players!$B$5:$B$304,0)),"UID not found",IF(INDEX(Players!$H$5:$H$304,MATCH(D1946,Players!$B$5:$B$304,0))&lt;0,"LOW BALANCE","OK"))))</f>
        <v/>
      </c>
      <c r="G1946" s="1"/>
      <c r="H1946" s="1"/>
      <c r="I1946" s="1"/>
    </row>
    <row r="1947" customFormat="false" ht="21.75" hidden="false" customHeight="true" outlineLevel="0" collapsed="false">
      <c r="A1947" s="1"/>
      <c r="B1947" s="16"/>
      <c r="C1947" s="16"/>
      <c r="D1947" s="15"/>
      <c r="E1947" s="11" t="str">
        <f aca="false">IF(D1947="","",IFERROR(INDEX(Players!$C$5:$C$304,MATCH(D1947,Players!$B$5:$B$304,0)),""))</f>
        <v/>
      </c>
      <c r="F1947" s="22" t="str">
        <f aca="false">IF(D1947="","",IF(COUNTIFS($B$5:$B$2004,B1947,$D$5:$D$2004,D1947)&gt;1,"DUPLICATE",IF(ISNA(MATCH(D1947,Players!$B$5:$B$304,0)),"UID not found",IF(INDEX(Players!$H$5:$H$304,MATCH(D1947,Players!$B$5:$B$304,0))&lt;0,"LOW BALANCE","OK"))))</f>
        <v/>
      </c>
      <c r="G1947" s="1"/>
      <c r="H1947" s="1"/>
      <c r="I1947" s="1"/>
    </row>
    <row r="1948" customFormat="false" ht="21.75" hidden="false" customHeight="true" outlineLevel="0" collapsed="false">
      <c r="A1948" s="1"/>
      <c r="B1948" s="16"/>
      <c r="C1948" s="16"/>
      <c r="D1948" s="15"/>
      <c r="E1948" s="11" t="str">
        <f aca="false">IF(D1948="","",IFERROR(INDEX(Players!$C$5:$C$304,MATCH(D1948,Players!$B$5:$B$304,0)),""))</f>
        <v/>
      </c>
      <c r="F1948" s="22" t="str">
        <f aca="false">IF(D1948="","",IF(COUNTIFS($B$5:$B$2004,B1948,$D$5:$D$2004,D1948)&gt;1,"DUPLICATE",IF(ISNA(MATCH(D1948,Players!$B$5:$B$304,0)),"UID not found",IF(INDEX(Players!$H$5:$H$304,MATCH(D1948,Players!$B$5:$B$304,0))&lt;0,"LOW BALANCE","OK"))))</f>
        <v/>
      </c>
      <c r="G1948" s="1"/>
      <c r="H1948" s="1"/>
      <c r="I1948" s="1"/>
    </row>
    <row r="1949" customFormat="false" ht="21.75" hidden="false" customHeight="true" outlineLevel="0" collapsed="false">
      <c r="A1949" s="1"/>
      <c r="B1949" s="16"/>
      <c r="C1949" s="16"/>
      <c r="D1949" s="15"/>
      <c r="E1949" s="11" t="str">
        <f aca="false">IF(D1949="","",IFERROR(INDEX(Players!$C$5:$C$304,MATCH(D1949,Players!$B$5:$B$304,0)),""))</f>
        <v/>
      </c>
      <c r="F1949" s="22" t="str">
        <f aca="false">IF(D1949="","",IF(COUNTIFS($B$5:$B$2004,B1949,$D$5:$D$2004,D1949)&gt;1,"DUPLICATE",IF(ISNA(MATCH(D1949,Players!$B$5:$B$304,0)),"UID not found",IF(INDEX(Players!$H$5:$H$304,MATCH(D1949,Players!$B$5:$B$304,0))&lt;0,"LOW BALANCE","OK"))))</f>
        <v/>
      </c>
      <c r="G1949" s="1"/>
      <c r="H1949" s="1"/>
      <c r="I1949" s="1"/>
    </row>
    <row r="1950" customFormat="false" ht="21.75" hidden="false" customHeight="true" outlineLevel="0" collapsed="false">
      <c r="A1950" s="1"/>
      <c r="B1950" s="16"/>
      <c r="C1950" s="16"/>
      <c r="D1950" s="15"/>
      <c r="E1950" s="11" t="str">
        <f aca="false">IF(D1950="","",IFERROR(INDEX(Players!$C$5:$C$304,MATCH(D1950,Players!$B$5:$B$304,0)),""))</f>
        <v/>
      </c>
      <c r="F1950" s="22" t="str">
        <f aca="false">IF(D1950="","",IF(COUNTIFS($B$5:$B$2004,B1950,$D$5:$D$2004,D1950)&gt;1,"DUPLICATE",IF(ISNA(MATCH(D1950,Players!$B$5:$B$304,0)),"UID not found",IF(INDEX(Players!$H$5:$H$304,MATCH(D1950,Players!$B$5:$B$304,0))&lt;0,"LOW BALANCE","OK"))))</f>
        <v/>
      </c>
      <c r="G1950" s="1"/>
      <c r="H1950" s="1"/>
      <c r="I1950" s="1"/>
    </row>
    <row r="1951" customFormat="false" ht="21.75" hidden="false" customHeight="true" outlineLevel="0" collapsed="false">
      <c r="A1951" s="1"/>
      <c r="B1951" s="16"/>
      <c r="C1951" s="16"/>
      <c r="D1951" s="15"/>
      <c r="E1951" s="11" t="str">
        <f aca="false">IF(D1951="","",IFERROR(INDEX(Players!$C$5:$C$304,MATCH(D1951,Players!$B$5:$B$304,0)),""))</f>
        <v/>
      </c>
      <c r="F1951" s="22" t="str">
        <f aca="false">IF(D1951="","",IF(COUNTIFS($B$5:$B$2004,B1951,$D$5:$D$2004,D1951)&gt;1,"DUPLICATE",IF(ISNA(MATCH(D1951,Players!$B$5:$B$304,0)),"UID not found",IF(INDEX(Players!$H$5:$H$304,MATCH(D1951,Players!$B$5:$B$304,0))&lt;0,"LOW BALANCE","OK"))))</f>
        <v/>
      </c>
      <c r="G1951" s="1"/>
      <c r="H1951" s="1"/>
      <c r="I1951" s="1"/>
    </row>
    <row r="1952" customFormat="false" ht="21.75" hidden="false" customHeight="true" outlineLevel="0" collapsed="false">
      <c r="A1952" s="1"/>
      <c r="B1952" s="16"/>
      <c r="C1952" s="16"/>
      <c r="D1952" s="15"/>
      <c r="E1952" s="11" t="str">
        <f aca="false">IF(D1952="","",IFERROR(INDEX(Players!$C$5:$C$304,MATCH(D1952,Players!$B$5:$B$304,0)),""))</f>
        <v/>
      </c>
      <c r="F1952" s="22" t="str">
        <f aca="false">IF(D1952="","",IF(COUNTIFS($B$5:$B$2004,B1952,$D$5:$D$2004,D1952)&gt;1,"DUPLICATE",IF(ISNA(MATCH(D1952,Players!$B$5:$B$304,0)),"UID not found",IF(INDEX(Players!$H$5:$H$304,MATCH(D1952,Players!$B$5:$B$304,0))&lt;0,"LOW BALANCE","OK"))))</f>
        <v/>
      </c>
      <c r="G1952" s="1"/>
      <c r="H1952" s="1"/>
      <c r="I1952" s="1"/>
    </row>
    <row r="1953" customFormat="false" ht="21.75" hidden="false" customHeight="true" outlineLevel="0" collapsed="false">
      <c r="A1953" s="1"/>
      <c r="B1953" s="16"/>
      <c r="C1953" s="16"/>
      <c r="D1953" s="15"/>
      <c r="E1953" s="11" t="str">
        <f aca="false">IF(D1953="","",IFERROR(INDEX(Players!$C$5:$C$304,MATCH(D1953,Players!$B$5:$B$304,0)),""))</f>
        <v/>
      </c>
      <c r="F1953" s="22" t="str">
        <f aca="false">IF(D1953="","",IF(COUNTIFS($B$5:$B$2004,B1953,$D$5:$D$2004,D1953)&gt;1,"DUPLICATE",IF(ISNA(MATCH(D1953,Players!$B$5:$B$304,0)),"UID not found",IF(INDEX(Players!$H$5:$H$304,MATCH(D1953,Players!$B$5:$B$304,0))&lt;0,"LOW BALANCE","OK"))))</f>
        <v/>
      </c>
      <c r="G1953" s="1"/>
      <c r="H1953" s="1"/>
      <c r="I1953" s="1"/>
    </row>
    <row r="1954" customFormat="false" ht="21.75" hidden="false" customHeight="true" outlineLevel="0" collapsed="false">
      <c r="A1954" s="1"/>
      <c r="B1954" s="16"/>
      <c r="C1954" s="16"/>
      <c r="D1954" s="15"/>
      <c r="E1954" s="11" t="str">
        <f aca="false">IF(D1954="","",IFERROR(INDEX(Players!$C$5:$C$304,MATCH(D1954,Players!$B$5:$B$304,0)),""))</f>
        <v/>
      </c>
      <c r="F1954" s="22" t="str">
        <f aca="false">IF(D1954="","",IF(COUNTIFS($B$5:$B$2004,B1954,$D$5:$D$2004,D1954)&gt;1,"DUPLICATE",IF(ISNA(MATCH(D1954,Players!$B$5:$B$304,0)),"UID not found",IF(INDEX(Players!$H$5:$H$304,MATCH(D1954,Players!$B$5:$B$304,0))&lt;0,"LOW BALANCE","OK"))))</f>
        <v/>
      </c>
      <c r="G1954" s="1"/>
      <c r="H1954" s="1"/>
      <c r="I1954" s="1"/>
    </row>
    <row r="1955" customFormat="false" ht="21.75" hidden="false" customHeight="true" outlineLevel="0" collapsed="false">
      <c r="A1955" s="1"/>
      <c r="B1955" s="16"/>
      <c r="C1955" s="16"/>
      <c r="D1955" s="15"/>
      <c r="E1955" s="11" t="str">
        <f aca="false">IF(D1955="","",IFERROR(INDEX(Players!$C$5:$C$304,MATCH(D1955,Players!$B$5:$B$304,0)),""))</f>
        <v/>
      </c>
      <c r="F1955" s="22" t="str">
        <f aca="false">IF(D1955="","",IF(COUNTIFS($B$5:$B$2004,B1955,$D$5:$D$2004,D1955)&gt;1,"DUPLICATE",IF(ISNA(MATCH(D1955,Players!$B$5:$B$304,0)),"UID not found",IF(INDEX(Players!$H$5:$H$304,MATCH(D1955,Players!$B$5:$B$304,0))&lt;0,"LOW BALANCE","OK"))))</f>
        <v/>
      </c>
      <c r="G1955" s="1"/>
      <c r="H1955" s="1"/>
      <c r="I1955" s="1"/>
    </row>
    <row r="1956" customFormat="false" ht="21.75" hidden="false" customHeight="true" outlineLevel="0" collapsed="false">
      <c r="A1956" s="1"/>
      <c r="B1956" s="16"/>
      <c r="C1956" s="16"/>
      <c r="D1956" s="15"/>
      <c r="E1956" s="11" t="str">
        <f aca="false">IF(D1956="","",IFERROR(INDEX(Players!$C$5:$C$304,MATCH(D1956,Players!$B$5:$B$304,0)),""))</f>
        <v/>
      </c>
      <c r="F1956" s="22" t="str">
        <f aca="false">IF(D1956="","",IF(COUNTIFS($B$5:$B$2004,B1956,$D$5:$D$2004,D1956)&gt;1,"DUPLICATE",IF(ISNA(MATCH(D1956,Players!$B$5:$B$304,0)),"UID not found",IF(INDEX(Players!$H$5:$H$304,MATCH(D1956,Players!$B$5:$B$304,0))&lt;0,"LOW BALANCE","OK"))))</f>
        <v/>
      </c>
      <c r="G1956" s="1"/>
      <c r="H1956" s="1"/>
      <c r="I1956" s="1"/>
    </row>
    <row r="1957" customFormat="false" ht="21.75" hidden="false" customHeight="true" outlineLevel="0" collapsed="false">
      <c r="A1957" s="1"/>
      <c r="B1957" s="16"/>
      <c r="C1957" s="16"/>
      <c r="D1957" s="15"/>
      <c r="E1957" s="11" t="str">
        <f aca="false">IF(D1957="","",IFERROR(INDEX(Players!$C$5:$C$304,MATCH(D1957,Players!$B$5:$B$304,0)),""))</f>
        <v/>
      </c>
      <c r="F1957" s="22" t="str">
        <f aca="false">IF(D1957="","",IF(COUNTIFS($B$5:$B$2004,B1957,$D$5:$D$2004,D1957)&gt;1,"DUPLICATE",IF(ISNA(MATCH(D1957,Players!$B$5:$B$304,0)),"UID not found",IF(INDEX(Players!$H$5:$H$304,MATCH(D1957,Players!$B$5:$B$304,0))&lt;0,"LOW BALANCE","OK"))))</f>
        <v/>
      </c>
      <c r="G1957" s="1"/>
      <c r="H1957" s="1"/>
      <c r="I1957" s="1"/>
    </row>
    <row r="1958" customFormat="false" ht="21.75" hidden="false" customHeight="true" outlineLevel="0" collapsed="false">
      <c r="A1958" s="1"/>
      <c r="B1958" s="16"/>
      <c r="C1958" s="16"/>
      <c r="D1958" s="15"/>
      <c r="E1958" s="11" t="str">
        <f aca="false">IF(D1958="","",IFERROR(INDEX(Players!$C$5:$C$304,MATCH(D1958,Players!$B$5:$B$304,0)),""))</f>
        <v/>
      </c>
      <c r="F1958" s="22" t="str">
        <f aca="false">IF(D1958="","",IF(COUNTIFS($B$5:$B$2004,B1958,$D$5:$D$2004,D1958)&gt;1,"DUPLICATE",IF(ISNA(MATCH(D1958,Players!$B$5:$B$304,0)),"UID not found",IF(INDEX(Players!$H$5:$H$304,MATCH(D1958,Players!$B$5:$B$304,0))&lt;0,"LOW BALANCE","OK"))))</f>
        <v/>
      </c>
      <c r="G1958" s="1"/>
      <c r="H1958" s="1"/>
      <c r="I1958" s="1"/>
    </row>
    <row r="1959" customFormat="false" ht="21.75" hidden="false" customHeight="true" outlineLevel="0" collapsed="false">
      <c r="A1959" s="1"/>
      <c r="B1959" s="16"/>
      <c r="C1959" s="16"/>
      <c r="D1959" s="15"/>
      <c r="E1959" s="11" t="str">
        <f aca="false">IF(D1959="","",IFERROR(INDEX(Players!$C$5:$C$304,MATCH(D1959,Players!$B$5:$B$304,0)),""))</f>
        <v/>
      </c>
      <c r="F1959" s="22" t="str">
        <f aca="false">IF(D1959="","",IF(COUNTIFS($B$5:$B$2004,B1959,$D$5:$D$2004,D1959)&gt;1,"DUPLICATE",IF(ISNA(MATCH(D1959,Players!$B$5:$B$304,0)),"UID not found",IF(INDEX(Players!$H$5:$H$304,MATCH(D1959,Players!$B$5:$B$304,0))&lt;0,"LOW BALANCE","OK"))))</f>
        <v/>
      </c>
      <c r="G1959" s="1"/>
      <c r="H1959" s="1"/>
      <c r="I1959" s="1"/>
    </row>
    <row r="1960" customFormat="false" ht="21.75" hidden="false" customHeight="true" outlineLevel="0" collapsed="false">
      <c r="A1960" s="1"/>
      <c r="B1960" s="16"/>
      <c r="C1960" s="16"/>
      <c r="D1960" s="15"/>
      <c r="E1960" s="11" t="str">
        <f aca="false">IF(D1960="","",IFERROR(INDEX(Players!$C$5:$C$304,MATCH(D1960,Players!$B$5:$B$304,0)),""))</f>
        <v/>
      </c>
      <c r="F1960" s="22" t="str">
        <f aca="false">IF(D1960="","",IF(COUNTIFS($B$5:$B$2004,B1960,$D$5:$D$2004,D1960)&gt;1,"DUPLICATE",IF(ISNA(MATCH(D1960,Players!$B$5:$B$304,0)),"UID not found",IF(INDEX(Players!$H$5:$H$304,MATCH(D1960,Players!$B$5:$B$304,0))&lt;0,"LOW BALANCE","OK"))))</f>
        <v/>
      </c>
      <c r="G1960" s="1"/>
      <c r="H1960" s="1"/>
      <c r="I1960" s="1"/>
    </row>
    <row r="1961" customFormat="false" ht="21.75" hidden="false" customHeight="true" outlineLevel="0" collapsed="false">
      <c r="A1961" s="1"/>
      <c r="B1961" s="16"/>
      <c r="C1961" s="16"/>
      <c r="D1961" s="15"/>
      <c r="E1961" s="11" t="str">
        <f aca="false">IF(D1961="","",IFERROR(INDEX(Players!$C$5:$C$304,MATCH(D1961,Players!$B$5:$B$304,0)),""))</f>
        <v/>
      </c>
      <c r="F1961" s="22" t="str">
        <f aca="false">IF(D1961="","",IF(COUNTIFS($B$5:$B$2004,B1961,$D$5:$D$2004,D1961)&gt;1,"DUPLICATE",IF(ISNA(MATCH(D1961,Players!$B$5:$B$304,0)),"UID not found",IF(INDEX(Players!$H$5:$H$304,MATCH(D1961,Players!$B$5:$B$304,0))&lt;0,"LOW BALANCE","OK"))))</f>
        <v/>
      </c>
      <c r="G1961" s="1"/>
      <c r="H1961" s="1"/>
      <c r="I1961" s="1"/>
    </row>
    <row r="1962" customFormat="false" ht="21.75" hidden="false" customHeight="true" outlineLevel="0" collapsed="false">
      <c r="A1962" s="1"/>
      <c r="B1962" s="16"/>
      <c r="C1962" s="16"/>
      <c r="D1962" s="15"/>
      <c r="E1962" s="11" t="str">
        <f aca="false">IF(D1962="","",IFERROR(INDEX(Players!$C$5:$C$304,MATCH(D1962,Players!$B$5:$B$304,0)),""))</f>
        <v/>
      </c>
      <c r="F1962" s="22" t="str">
        <f aca="false">IF(D1962="","",IF(COUNTIFS($B$5:$B$2004,B1962,$D$5:$D$2004,D1962)&gt;1,"DUPLICATE",IF(ISNA(MATCH(D1962,Players!$B$5:$B$304,0)),"UID not found",IF(INDEX(Players!$H$5:$H$304,MATCH(D1962,Players!$B$5:$B$304,0))&lt;0,"LOW BALANCE","OK"))))</f>
        <v/>
      </c>
      <c r="G1962" s="1"/>
      <c r="H1962" s="1"/>
      <c r="I1962" s="1"/>
    </row>
    <row r="1963" customFormat="false" ht="21.75" hidden="false" customHeight="true" outlineLevel="0" collapsed="false">
      <c r="A1963" s="1"/>
      <c r="B1963" s="16"/>
      <c r="C1963" s="16"/>
      <c r="D1963" s="15"/>
      <c r="E1963" s="11" t="str">
        <f aca="false">IF(D1963="","",IFERROR(INDEX(Players!$C$5:$C$304,MATCH(D1963,Players!$B$5:$B$304,0)),""))</f>
        <v/>
      </c>
      <c r="F1963" s="22" t="str">
        <f aca="false">IF(D1963="","",IF(COUNTIFS($B$5:$B$2004,B1963,$D$5:$D$2004,D1963)&gt;1,"DUPLICATE",IF(ISNA(MATCH(D1963,Players!$B$5:$B$304,0)),"UID not found",IF(INDEX(Players!$H$5:$H$304,MATCH(D1963,Players!$B$5:$B$304,0))&lt;0,"LOW BALANCE","OK"))))</f>
        <v/>
      </c>
      <c r="G1963" s="1"/>
      <c r="H1963" s="1"/>
      <c r="I1963" s="1"/>
    </row>
    <row r="1964" customFormat="false" ht="21.75" hidden="false" customHeight="true" outlineLevel="0" collapsed="false">
      <c r="A1964" s="1"/>
      <c r="B1964" s="16"/>
      <c r="C1964" s="16"/>
      <c r="D1964" s="15"/>
      <c r="E1964" s="11" t="str">
        <f aca="false">IF(D1964="","",IFERROR(INDEX(Players!$C$5:$C$304,MATCH(D1964,Players!$B$5:$B$304,0)),""))</f>
        <v/>
      </c>
      <c r="F1964" s="22" t="str">
        <f aca="false">IF(D1964="","",IF(COUNTIFS($B$5:$B$2004,B1964,$D$5:$D$2004,D1964)&gt;1,"DUPLICATE",IF(ISNA(MATCH(D1964,Players!$B$5:$B$304,0)),"UID not found",IF(INDEX(Players!$H$5:$H$304,MATCH(D1964,Players!$B$5:$B$304,0))&lt;0,"LOW BALANCE","OK"))))</f>
        <v/>
      </c>
      <c r="G1964" s="1"/>
      <c r="H1964" s="1"/>
      <c r="I1964" s="1"/>
    </row>
    <row r="1965" customFormat="false" ht="21.75" hidden="false" customHeight="true" outlineLevel="0" collapsed="false">
      <c r="A1965" s="1"/>
      <c r="B1965" s="16"/>
      <c r="C1965" s="16"/>
      <c r="D1965" s="15"/>
      <c r="E1965" s="11" t="str">
        <f aca="false">IF(D1965="","",IFERROR(INDEX(Players!$C$5:$C$304,MATCH(D1965,Players!$B$5:$B$304,0)),""))</f>
        <v/>
      </c>
      <c r="F1965" s="22" t="str">
        <f aca="false">IF(D1965="","",IF(COUNTIFS($B$5:$B$2004,B1965,$D$5:$D$2004,D1965)&gt;1,"DUPLICATE",IF(ISNA(MATCH(D1965,Players!$B$5:$B$304,0)),"UID not found",IF(INDEX(Players!$H$5:$H$304,MATCH(D1965,Players!$B$5:$B$304,0))&lt;0,"LOW BALANCE","OK"))))</f>
        <v/>
      </c>
      <c r="G1965" s="1"/>
      <c r="H1965" s="1"/>
      <c r="I1965" s="1"/>
    </row>
    <row r="1966" customFormat="false" ht="21.75" hidden="false" customHeight="true" outlineLevel="0" collapsed="false">
      <c r="A1966" s="1"/>
      <c r="B1966" s="16"/>
      <c r="C1966" s="16"/>
      <c r="D1966" s="15"/>
      <c r="E1966" s="11" t="str">
        <f aca="false">IF(D1966="","",IFERROR(INDEX(Players!$C$5:$C$304,MATCH(D1966,Players!$B$5:$B$304,0)),""))</f>
        <v/>
      </c>
      <c r="F1966" s="22" t="str">
        <f aca="false">IF(D1966="","",IF(COUNTIFS($B$5:$B$2004,B1966,$D$5:$D$2004,D1966)&gt;1,"DUPLICATE",IF(ISNA(MATCH(D1966,Players!$B$5:$B$304,0)),"UID not found",IF(INDEX(Players!$H$5:$H$304,MATCH(D1966,Players!$B$5:$B$304,0))&lt;0,"LOW BALANCE","OK"))))</f>
        <v/>
      </c>
      <c r="G1966" s="1"/>
      <c r="H1966" s="1"/>
      <c r="I1966" s="1"/>
    </row>
    <row r="1967" customFormat="false" ht="21.75" hidden="false" customHeight="true" outlineLevel="0" collapsed="false">
      <c r="A1967" s="1"/>
      <c r="B1967" s="16"/>
      <c r="C1967" s="16"/>
      <c r="D1967" s="15"/>
      <c r="E1967" s="11" t="str">
        <f aca="false">IF(D1967="","",IFERROR(INDEX(Players!$C$5:$C$304,MATCH(D1967,Players!$B$5:$B$304,0)),""))</f>
        <v/>
      </c>
      <c r="F1967" s="22" t="str">
        <f aca="false">IF(D1967="","",IF(COUNTIFS($B$5:$B$2004,B1967,$D$5:$D$2004,D1967)&gt;1,"DUPLICATE",IF(ISNA(MATCH(D1967,Players!$B$5:$B$304,0)),"UID not found",IF(INDEX(Players!$H$5:$H$304,MATCH(D1967,Players!$B$5:$B$304,0))&lt;0,"LOW BALANCE","OK"))))</f>
        <v/>
      </c>
      <c r="G1967" s="1"/>
      <c r="H1967" s="1"/>
      <c r="I1967" s="1"/>
    </row>
    <row r="1968" customFormat="false" ht="21.75" hidden="false" customHeight="true" outlineLevel="0" collapsed="false">
      <c r="A1968" s="1"/>
      <c r="B1968" s="16"/>
      <c r="C1968" s="16"/>
      <c r="D1968" s="15"/>
      <c r="E1968" s="11" t="str">
        <f aca="false">IF(D1968="","",IFERROR(INDEX(Players!$C$5:$C$304,MATCH(D1968,Players!$B$5:$B$304,0)),""))</f>
        <v/>
      </c>
      <c r="F1968" s="22" t="str">
        <f aca="false">IF(D1968="","",IF(COUNTIFS($B$5:$B$2004,B1968,$D$5:$D$2004,D1968)&gt;1,"DUPLICATE",IF(ISNA(MATCH(D1968,Players!$B$5:$B$304,0)),"UID not found",IF(INDEX(Players!$H$5:$H$304,MATCH(D1968,Players!$B$5:$B$304,0))&lt;0,"LOW BALANCE","OK"))))</f>
        <v/>
      </c>
      <c r="G1968" s="1"/>
      <c r="H1968" s="1"/>
      <c r="I1968" s="1"/>
    </row>
    <row r="1969" customFormat="false" ht="21.75" hidden="false" customHeight="true" outlineLevel="0" collapsed="false">
      <c r="A1969" s="1"/>
      <c r="B1969" s="16"/>
      <c r="C1969" s="16"/>
      <c r="D1969" s="15"/>
      <c r="E1969" s="11" t="str">
        <f aca="false">IF(D1969="","",IFERROR(INDEX(Players!$C$5:$C$304,MATCH(D1969,Players!$B$5:$B$304,0)),""))</f>
        <v/>
      </c>
      <c r="F1969" s="22" t="str">
        <f aca="false">IF(D1969="","",IF(COUNTIFS($B$5:$B$2004,B1969,$D$5:$D$2004,D1969)&gt;1,"DUPLICATE",IF(ISNA(MATCH(D1969,Players!$B$5:$B$304,0)),"UID not found",IF(INDEX(Players!$H$5:$H$304,MATCH(D1969,Players!$B$5:$B$304,0))&lt;0,"LOW BALANCE","OK"))))</f>
        <v/>
      </c>
      <c r="G1969" s="1"/>
      <c r="H1969" s="1"/>
      <c r="I1969" s="1"/>
    </row>
    <row r="1970" customFormat="false" ht="21.75" hidden="false" customHeight="true" outlineLevel="0" collapsed="false">
      <c r="A1970" s="1"/>
      <c r="B1970" s="16"/>
      <c r="C1970" s="16"/>
      <c r="D1970" s="15"/>
      <c r="E1970" s="11" t="str">
        <f aca="false">IF(D1970="","",IFERROR(INDEX(Players!$C$5:$C$304,MATCH(D1970,Players!$B$5:$B$304,0)),""))</f>
        <v/>
      </c>
      <c r="F1970" s="22" t="str">
        <f aca="false">IF(D1970="","",IF(COUNTIFS($B$5:$B$2004,B1970,$D$5:$D$2004,D1970)&gt;1,"DUPLICATE",IF(ISNA(MATCH(D1970,Players!$B$5:$B$304,0)),"UID not found",IF(INDEX(Players!$H$5:$H$304,MATCH(D1970,Players!$B$5:$B$304,0))&lt;0,"LOW BALANCE","OK"))))</f>
        <v/>
      </c>
      <c r="G1970" s="1"/>
      <c r="H1970" s="1"/>
      <c r="I1970" s="1"/>
    </row>
    <row r="1971" customFormat="false" ht="21.75" hidden="false" customHeight="true" outlineLevel="0" collapsed="false">
      <c r="A1971" s="1"/>
      <c r="B1971" s="16"/>
      <c r="C1971" s="16"/>
      <c r="D1971" s="15"/>
      <c r="E1971" s="11" t="str">
        <f aca="false">IF(D1971="","",IFERROR(INDEX(Players!$C$5:$C$304,MATCH(D1971,Players!$B$5:$B$304,0)),""))</f>
        <v/>
      </c>
      <c r="F1971" s="22" t="str">
        <f aca="false">IF(D1971="","",IF(COUNTIFS($B$5:$B$2004,B1971,$D$5:$D$2004,D1971)&gt;1,"DUPLICATE",IF(ISNA(MATCH(D1971,Players!$B$5:$B$304,0)),"UID not found",IF(INDEX(Players!$H$5:$H$304,MATCH(D1971,Players!$B$5:$B$304,0))&lt;0,"LOW BALANCE","OK"))))</f>
        <v/>
      </c>
      <c r="G1971" s="1"/>
      <c r="H1971" s="1"/>
      <c r="I1971" s="1"/>
    </row>
    <row r="1972" customFormat="false" ht="21.75" hidden="false" customHeight="true" outlineLevel="0" collapsed="false">
      <c r="A1972" s="1"/>
      <c r="B1972" s="16"/>
      <c r="C1972" s="16"/>
      <c r="D1972" s="15"/>
      <c r="E1972" s="11" t="str">
        <f aca="false">IF(D1972="","",IFERROR(INDEX(Players!$C$5:$C$304,MATCH(D1972,Players!$B$5:$B$304,0)),""))</f>
        <v/>
      </c>
      <c r="F1972" s="22" t="str">
        <f aca="false">IF(D1972="","",IF(COUNTIFS($B$5:$B$2004,B1972,$D$5:$D$2004,D1972)&gt;1,"DUPLICATE",IF(ISNA(MATCH(D1972,Players!$B$5:$B$304,0)),"UID not found",IF(INDEX(Players!$H$5:$H$304,MATCH(D1972,Players!$B$5:$B$304,0))&lt;0,"LOW BALANCE","OK"))))</f>
        <v/>
      </c>
      <c r="G1972" s="1"/>
      <c r="H1972" s="1"/>
      <c r="I1972" s="1"/>
    </row>
    <row r="1973" customFormat="false" ht="21.75" hidden="false" customHeight="true" outlineLevel="0" collapsed="false">
      <c r="A1973" s="1"/>
      <c r="B1973" s="16"/>
      <c r="C1973" s="16"/>
      <c r="D1973" s="15"/>
      <c r="E1973" s="11" t="str">
        <f aca="false">IF(D1973="","",IFERROR(INDEX(Players!$C$5:$C$304,MATCH(D1973,Players!$B$5:$B$304,0)),""))</f>
        <v/>
      </c>
      <c r="F1973" s="22" t="str">
        <f aca="false">IF(D1973="","",IF(COUNTIFS($B$5:$B$2004,B1973,$D$5:$D$2004,D1973)&gt;1,"DUPLICATE",IF(ISNA(MATCH(D1973,Players!$B$5:$B$304,0)),"UID not found",IF(INDEX(Players!$H$5:$H$304,MATCH(D1973,Players!$B$5:$B$304,0))&lt;0,"LOW BALANCE","OK"))))</f>
        <v/>
      </c>
      <c r="G1973" s="1"/>
      <c r="H1973" s="1"/>
      <c r="I1973" s="1"/>
    </row>
    <row r="1974" customFormat="false" ht="21.75" hidden="false" customHeight="true" outlineLevel="0" collapsed="false">
      <c r="A1974" s="1"/>
      <c r="B1974" s="16"/>
      <c r="C1974" s="16"/>
      <c r="D1974" s="15"/>
      <c r="E1974" s="11" t="str">
        <f aca="false">IF(D1974="","",IFERROR(INDEX(Players!$C$5:$C$304,MATCH(D1974,Players!$B$5:$B$304,0)),""))</f>
        <v/>
      </c>
      <c r="F1974" s="22" t="str">
        <f aca="false">IF(D1974="","",IF(COUNTIFS($B$5:$B$2004,B1974,$D$5:$D$2004,D1974)&gt;1,"DUPLICATE",IF(ISNA(MATCH(D1974,Players!$B$5:$B$304,0)),"UID not found",IF(INDEX(Players!$H$5:$H$304,MATCH(D1974,Players!$B$5:$B$304,0))&lt;0,"LOW BALANCE","OK"))))</f>
        <v/>
      </c>
      <c r="G1974" s="1"/>
      <c r="H1974" s="1"/>
      <c r="I1974" s="1"/>
    </row>
    <row r="1975" customFormat="false" ht="21.75" hidden="false" customHeight="true" outlineLevel="0" collapsed="false">
      <c r="A1975" s="1"/>
      <c r="B1975" s="16"/>
      <c r="C1975" s="16"/>
      <c r="D1975" s="15"/>
      <c r="E1975" s="11" t="str">
        <f aca="false">IF(D1975="","",IFERROR(INDEX(Players!$C$5:$C$304,MATCH(D1975,Players!$B$5:$B$304,0)),""))</f>
        <v/>
      </c>
      <c r="F1975" s="22" t="str">
        <f aca="false">IF(D1975="","",IF(COUNTIFS($B$5:$B$2004,B1975,$D$5:$D$2004,D1975)&gt;1,"DUPLICATE",IF(ISNA(MATCH(D1975,Players!$B$5:$B$304,0)),"UID not found",IF(INDEX(Players!$H$5:$H$304,MATCH(D1975,Players!$B$5:$B$304,0))&lt;0,"LOW BALANCE","OK"))))</f>
        <v/>
      </c>
      <c r="G1975" s="1"/>
      <c r="H1975" s="1"/>
      <c r="I1975" s="1"/>
    </row>
    <row r="1976" customFormat="false" ht="21.75" hidden="false" customHeight="true" outlineLevel="0" collapsed="false">
      <c r="A1976" s="1"/>
      <c r="B1976" s="16"/>
      <c r="C1976" s="16"/>
      <c r="D1976" s="15"/>
      <c r="E1976" s="11" t="str">
        <f aca="false">IF(D1976="","",IFERROR(INDEX(Players!$C$5:$C$304,MATCH(D1976,Players!$B$5:$B$304,0)),""))</f>
        <v/>
      </c>
      <c r="F1976" s="22" t="str">
        <f aca="false">IF(D1976="","",IF(COUNTIFS($B$5:$B$2004,B1976,$D$5:$D$2004,D1976)&gt;1,"DUPLICATE",IF(ISNA(MATCH(D1976,Players!$B$5:$B$304,0)),"UID not found",IF(INDEX(Players!$H$5:$H$304,MATCH(D1976,Players!$B$5:$B$304,0))&lt;0,"LOW BALANCE","OK"))))</f>
        <v/>
      </c>
      <c r="G1976" s="1"/>
      <c r="H1976" s="1"/>
      <c r="I1976" s="1"/>
    </row>
    <row r="1977" customFormat="false" ht="21.75" hidden="false" customHeight="true" outlineLevel="0" collapsed="false">
      <c r="A1977" s="1"/>
      <c r="B1977" s="16"/>
      <c r="C1977" s="16"/>
      <c r="D1977" s="15"/>
      <c r="E1977" s="11" t="str">
        <f aca="false">IF(D1977="","",IFERROR(INDEX(Players!$C$5:$C$304,MATCH(D1977,Players!$B$5:$B$304,0)),""))</f>
        <v/>
      </c>
      <c r="F1977" s="22" t="str">
        <f aca="false">IF(D1977="","",IF(COUNTIFS($B$5:$B$2004,B1977,$D$5:$D$2004,D1977)&gt;1,"DUPLICATE",IF(ISNA(MATCH(D1977,Players!$B$5:$B$304,0)),"UID not found",IF(INDEX(Players!$H$5:$H$304,MATCH(D1977,Players!$B$5:$B$304,0))&lt;0,"LOW BALANCE","OK"))))</f>
        <v/>
      </c>
      <c r="G1977" s="1"/>
      <c r="H1977" s="1"/>
      <c r="I1977" s="1"/>
    </row>
    <row r="1978" customFormat="false" ht="21.75" hidden="false" customHeight="true" outlineLevel="0" collapsed="false">
      <c r="A1978" s="1"/>
      <c r="B1978" s="16"/>
      <c r="C1978" s="16"/>
      <c r="D1978" s="15"/>
      <c r="E1978" s="11" t="str">
        <f aca="false">IF(D1978="","",IFERROR(INDEX(Players!$C$5:$C$304,MATCH(D1978,Players!$B$5:$B$304,0)),""))</f>
        <v/>
      </c>
      <c r="F1978" s="22" t="str">
        <f aca="false">IF(D1978="","",IF(COUNTIFS($B$5:$B$2004,B1978,$D$5:$D$2004,D1978)&gt;1,"DUPLICATE",IF(ISNA(MATCH(D1978,Players!$B$5:$B$304,0)),"UID not found",IF(INDEX(Players!$H$5:$H$304,MATCH(D1978,Players!$B$5:$B$304,0))&lt;0,"LOW BALANCE","OK"))))</f>
        <v/>
      </c>
      <c r="G1978" s="1"/>
      <c r="H1978" s="1"/>
      <c r="I1978" s="1"/>
    </row>
    <row r="1979" customFormat="false" ht="21.75" hidden="false" customHeight="true" outlineLevel="0" collapsed="false">
      <c r="A1979" s="1"/>
      <c r="B1979" s="16"/>
      <c r="C1979" s="16"/>
      <c r="D1979" s="15"/>
      <c r="E1979" s="11" t="str">
        <f aca="false">IF(D1979="","",IFERROR(INDEX(Players!$C$5:$C$304,MATCH(D1979,Players!$B$5:$B$304,0)),""))</f>
        <v/>
      </c>
      <c r="F1979" s="22" t="str">
        <f aca="false">IF(D1979="","",IF(COUNTIFS($B$5:$B$2004,B1979,$D$5:$D$2004,D1979)&gt;1,"DUPLICATE",IF(ISNA(MATCH(D1979,Players!$B$5:$B$304,0)),"UID not found",IF(INDEX(Players!$H$5:$H$304,MATCH(D1979,Players!$B$5:$B$304,0))&lt;0,"LOW BALANCE","OK"))))</f>
        <v/>
      </c>
      <c r="G1979" s="1"/>
      <c r="H1979" s="1"/>
      <c r="I1979" s="1"/>
    </row>
    <row r="1980" customFormat="false" ht="21.75" hidden="false" customHeight="true" outlineLevel="0" collapsed="false">
      <c r="A1980" s="1"/>
      <c r="B1980" s="16"/>
      <c r="C1980" s="16"/>
      <c r="D1980" s="15"/>
      <c r="E1980" s="11" t="str">
        <f aca="false">IF(D1980="","",IFERROR(INDEX(Players!$C$5:$C$304,MATCH(D1980,Players!$B$5:$B$304,0)),""))</f>
        <v/>
      </c>
      <c r="F1980" s="22" t="str">
        <f aca="false">IF(D1980="","",IF(COUNTIFS($B$5:$B$2004,B1980,$D$5:$D$2004,D1980)&gt;1,"DUPLICATE",IF(ISNA(MATCH(D1980,Players!$B$5:$B$304,0)),"UID not found",IF(INDEX(Players!$H$5:$H$304,MATCH(D1980,Players!$B$5:$B$304,0))&lt;0,"LOW BALANCE","OK"))))</f>
        <v/>
      </c>
      <c r="G1980" s="1"/>
      <c r="H1980" s="1"/>
      <c r="I1980" s="1"/>
    </row>
    <row r="1981" customFormat="false" ht="21.75" hidden="false" customHeight="true" outlineLevel="0" collapsed="false">
      <c r="A1981" s="1"/>
      <c r="B1981" s="16"/>
      <c r="C1981" s="16"/>
      <c r="D1981" s="15"/>
      <c r="E1981" s="11" t="str">
        <f aca="false">IF(D1981="","",IFERROR(INDEX(Players!$C$5:$C$304,MATCH(D1981,Players!$B$5:$B$304,0)),""))</f>
        <v/>
      </c>
      <c r="F1981" s="22" t="str">
        <f aca="false">IF(D1981="","",IF(COUNTIFS($B$5:$B$2004,B1981,$D$5:$D$2004,D1981)&gt;1,"DUPLICATE",IF(ISNA(MATCH(D1981,Players!$B$5:$B$304,0)),"UID not found",IF(INDEX(Players!$H$5:$H$304,MATCH(D1981,Players!$B$5:$B$304,0))&lt;0,"LOW BALANCE","OK"))))</f>
        <v/>
      </c>
      <c r="G1981" s="1"/>
      <c r="H1981" s="1"/>
      <c r="I1981" s="1"/>
    </row>
    <row r="1982" customFormat="false" ht="21.75" hidden="false" customHeight="true" outlineLevel="0" collapsed="false">
      <c r="A1982" s="1"/>
      <c r="B1982" s="16"/>
      <c r="C1982" s="16"/>
      <c r="D1982" s="15"/>
      <c r="E1982" s="11" t="str">
        <f aca="false">IF(D1982="","",IFERROR(INDEX(Players!$C$5:$C$304,MATCH(D1982,Players!$B$5:$B$304,0)),""))</f>
        <v/>
      </c>
      <c r="F1982" s="22" t="str">
        <f aca="false">IF(D1982="","",IF(COUNTIFS($B$5:$B$2004,B1982,$D$5:$D$2004,D1982)&gt;1,"DUPLICATE",IF(ISNA(MATCH(D1982,Players!$B$5:$B$304,0)),"UID not found",IF(INDEX(Players!$H$5:$H$304,MATCH(D1982,Players!$B$5:$B$304,0))&lt;0,"LOW BALANCE","OK"))))</f>
        <v/>
      </c>
      <c r="G1982" s="1"/>
      <c r="H1982" s="1"/>
      <c r="I1982" s="1"/>
    </row>
    <row r="1983" customFormat="false" ht="21.75" hidden="false" customHeight="true" outlineLevel="0" collapsed="false">
      <c r="A1983" s="1"/>
      <c r="B1983" s="16"/>
      <c r="C1983" s="16"/>
      <c r="D1983" s="15"/>
      <c r="E1983" s="11" t="str">
        <f aca="false">IF(D1983="","",IFERROR(INDEX(Players!$C$5:$C$304,MATCH(D1983,Players!$B$5:$B$304,0)),""))</f>
        <v/>
      </c>
      <c r="F1983" s="22" t="str">
        <f aca="false">IF(D1983="","",IF(COUNTIFS($B$5:$B$2004,B1983,$D$5:$D$2004,D1983)&gt;1,"DUPLICATE",IF(ISNA(MATCH(D1983,Players!$B$5:$B$304,0)),"UID not found",IF(INDEX(Players!$H$5:$H$304,MATCH(D1983,Players!$B$5:$B$304,0))&lt;0,"LOW BALANCE","OK"))))</f>
        <v/>
      </c>
      <c r="G1983" s="1"/>
      <c r="H1983" s="1"/>
      <c r="I1983" s="1"/>
    </row>
    <row r="1984" customFormat="false" ht="21.75" hidden="false" customHeight="true" outlineLevel="0" collapsed="false">
      <c r="A1984" s="1"/>
      <c r="B1984" s="16"/>
      <c r="C1984" s="16"/>
      <c r="D1984" s="15"/>
      <c r="E1984" s="11" t="str">
        <f aca="false">IF(D1984="","",IFERROR(INDEX(Players!$C$5:$C$304,MATCH(D1984,Players!$B$5:$B$304,0)),""))</f>
        <v/>
      </c>
      <c r="F1984" s="22" t="str">
        <f aca="false">IF(D1984="","",IF(COUNTIFS($B$5:$B$2004,B1984,$D$5:$D$2004,D1984)&gt;1,"DUPLICATE",IF(ISNA(MATCH(D1984,Players!$B$5:$B$304,0)),"UID not found",IF(INDEX(Players!$H$5:$H$304,MATCH(D1984,Players!$B$5:$B$304,0))&lt;0,"LOW BALANCE","OK"))))</f>
        <v/>
      </c>
      <c r="G1984" s="1"/>
      <c r="H1984" s="1"/>
      <c r="I1984" s="1"/>
    </row>
    <row r="1985" customFormat="false" ht="21.75" hidden="false" customHeight="true" outlineLevel="0" collapsed="false">
      <c r="A1985" s="1"/>
      <c r="B1985" s="16"/>
      <c r="C1985" s="16"/>
      <c r="D1985" s="15"/>
      <c r="E1985" s="11" t="str">
        <f aca="false">IF(D1985="","",IFERROR(INDEX(Players!$C$5:$C$304,MATCH(D1985,Players!$B$5:$B$304,0)),""))</f>
        <v/>
      </c>
      <c r="F1985" s="22" t="str">
        <f aca="false">IF(D1985="","",IF(COUNTIFS($B$5:$B$2004,B1985,$D$5:$D$2004,D1985)&gt;1,"DUPLICATE",IF(ISNA(MATCH(D1985,Players!$B$5:$B$304,0)),"UID not found",IF(INDEX(Players!$H$5:$H$304,MATCH(D1985,Players!$B$5:$B$304,0))&lt;0,"LOW BALANCE","OK"))))</f>
        <v/>
      </c>
      <c r="G1985" s="1"/>
      <c r="H1985" s="1"/>
      <c r="I1985" s="1"/>
    </row>
    <row r="1986" customFormat="false" ht="21.75" hidden="false" customHeight="true" outlineLevel="0" collapsed="false">
      <c r="A1986" s="1"/>
      <c r="B1986" s="16"/>
      <c r="C1986" s="16"/>
      <c r="D1986" s="15"/>
      <c r="E1986" s="11" t="str">
        <f aca="false">IF(D1986="","",IFERROR(INDEX(Players!$C$5:$C$304,MATCH(D1986,Players!$B$5:$B$304,0)),""))</f>
        <v/>
      </c>
      <c r="F1986" s="22" t="str">
        <f aca="false">IF(D1986="","",IF(COUNTIFS($B$5:$B$2004,B1986,$D$5:$D$2004,D1986)&gt;1,"DUPLICATE",IF(ISNA(MATCH(D1986,Players!$B$5:$B$304,0)),"UID not found",IF(INDEX(Players!$H$5:$H$304,MATCH(D1986,Players!$B$5:$B$304,0))&lt;0,"LOW BALANCE","OK"))))</f>
        <v/>
      </c>
      <c r="G1986" s="1"/>
      <c r="H1986" s="1"/>
      <c r="I1986" s="1"/>
    </row>
    <row r="1987" customFormat="false" ht="21.75" hidden="false" customHeight="true" outlineLevel="0" collapsed="false">
      <c r="A1987" s="1"/>
      <c r="B1987" s="16"/>
      <c r="C1987" s="16"/>
      <c r="D1987" s="15"/>
      <c r="E1987" s="11" t="str">
        <f aca="false">IF(D1987="","",IFERROR(INDEX(Players!$C$5:$C$304,MATCH(D1987,Players!$B$5:$B$304,0)),""))</f>
        <v/>
      </c>
      <c r="F1987" s="22" t="str">
        <f aca="false">IF(D1987="","",IF(COUNTIFS($B$5:$B$2004,B1987,$D$5:$D$2004,D1987)&gt;1,"DUPLICATE",IF(ISNA(MATCH(D1987,Players!$B$5:$B$304,0)),"UID not found",IF(INDEX(Players!$H$5:$H$304,MATCH(D1987,Players!$B$5:$B$304,0))&lt;0,"LOW BALANCE","OK"))))</f>
        <v/>
      </c>
      <c r="G1987" s="1"/>
      <c r="H1987" s="1"/>
      <c r="I1987" s="1"/>
    </row>
    <row r="1988" customFormat="false" ht="21.75" hidden="false" customHeight="true" outlineLevel="0" collapsed="false">
      <c r="A1988" s="1"/>
      <c r="B1988" s="16"/>
      <c r="C1988" s="16"/>
      <c r="D1988" s="15"/>
      <c r="E1988" s="11" t="str">
        <f aca="false">IF(D1988="","",IFERROR(INDEX(Players!$C$5:$C$304,MATCH(D1988,Players!$B$5:$B$304,0)),""))</f>
        <v/>
      </c>
      <c r="F1988" s="22" t="str">
        <f aca="false">IF(D1988="","",IF(COUNTIFS($B$5:$B$2004,B1988,$D$5:$D$2004,D1988)&gt;1,"DUPLICATE",IF(ISNA(MATCH(D1988,Players!$B$5:$B$304,0)),"UID not found",IF(INDEX(Players!$H$5:$H$304,MATCH(D1988,Players!$B$5:$B$304,0))&lt;0,"LOW BALANCE","OK"))))</f>
        <v/>
      </c>
      <c r="G1988" s="1"/>
      <c r="H1988" s="1"/>
      <c r="I1988" s="1"/>
    </row>
    <row r="1989" customFormat="false" ht="21.75" hidden="false" customHeight="true" outlineLevel="0" collapsed="false">
      <c r="A1989" s="1"/>
      <c r="B1989" s="16"/>
      <c r="C1989" s="16"/>
      <c r="D1989" s="15"/>
      <c r="E1989" s="11" t="str">
        <f aca="false">IF(D1989="","",IFERROR(INDEX(Players!$C$5:$C$304,MATCH(D1989,Players!$B$5:$B$304,0)),""))</f>
        <v/>
      </c>
      <c r="F1989" s="22" t="str">
        <f aca="false">IF(D1989="","",IF(COUNTIFS($B$5:$B$2004,B1989,$D$5:$D$2004,D1989)&gt;1,"DUPLICATE",IF(ISNA(MATCH(D1989,Players!$B$5:$B$304,0)),"UID not found",IF(INDEX(Players!$H$5:$H$304,MATCH(D1989,Players!$B$5:$B$304,0))&lt;0,"LOW BALANCE","OK"))))</f>
        <v/>
      </c>
      <c r="G1989" s="1"/>
      <c r="H1989" s="1"/>
      <c r="I1989" s="1"/>
    </row>
    <row r="1990" customFormat="false" ht="21.75" hidden="false" customHeight="true" outlineLevel="0" collapsed="false">
      <c r="A1990" s="1"/>
      <c r="B1990" s="16"/>
      <c r="C1990" s="16"/>
      <c r="D1990" s="15"/>
      <c r="E1990" s="11" t="str">
        <f aca="false">IF(D1990="","",IFERROR(INDEX(Players!$C$5:$C$304,MATCH(D1990,Players!$B$5:$B$304,0)),""))</f>
        <v/>
      </c>
      <c r="F1990" s="22" t="str">
        <f aca="false">IF(D1990="","",IF(COUNTIFS($B$5:$B$2004,B1990,$D$5:$D$2004,D1990)&gt;1,"DUPLICATE",IF(ISNA(MATCH(D1990,Players!$B$5:$B$304,0)),"UID not found",IF(INDEX(Players!$H$5:$H$304,MATCH(D1990,Players!$B$5:$B$304,0))&lt;0,"LOW BALANCE","OK"))))</f>
        <v/>
      </c>
      <c r="G1990" s="1"/>
      <c r="H1990" s="1"/>
      <c r="I1990" s="1"/>
    </row>
    <row r="1991" customFormat="false" ht="21.75" hidden="false" customHeight="true" outlineLevel="0" collapsed="false">
      <c r="A1991" s="1"/>
      <c r="B1991" s="16"/>
      <c r="C1991" s="16"/>
      <c r="D1991" s="15"/>
      <c r="E1991" s="11" t="str">
        <f aca="false">IF(D1991="","",IFERROR(INDEX(Players!$C$5:$C$304,MATCH(D1991,Players!$B$5:$B$304,0)),""))</f>
        <v/>
      </c>
      <c r="F1991" s="22" t="str">
        <f aca="false">IF(D1991="","",IF(COUNTIFS($B$5:$B$2004,B1991,$D$5:$D$2004,D1991)&gt;1,"DUPLICATE",IF(ISNA(MATCH(D1991,Players!$B$5:$B$304,0)),"UID not found",IF(INDEX(Players!$H$5:$H$304,MATCH(D1991,Players!$B$5:$B$304,0))&lt;0,"LOW BALANCE","OK"))))</f>
        <v/>
      </c>
      <c r="G1991" s="1"/>
      <c r="H1991" s="1"/>
      <c r="I1991" s="1"/>
    </row>
    <row r="1992" customFormat="false" ht="21.75" hidden="false" customHeight="true" outlineLevel="0" collapsed="false">
      <c r="A1992" s="1"/>
      <c r="B1992" s="16"/>
      <c r="C1992" s="16"/>
      <c r="D1992" s="15"/>
      <c r="E1992" s="11" t="str">
        <f aca="false">IF(D1992="","",IFERROR(INDEX(Players!$C$5:$C$304,MATCH(D1992,Players!$B$5:$B$304,0)),""))</f>
        <v/>
      </c>
      <c r="F1992" s="22" t="str">
        <f aca="false">IF(D1992="","",IF(COUNTIFS($B$5:$B$2004,B1992,$D$5:$D$2004,D1992)&gt;1,"DUPLICATE",IF(ISNA(MATCH(D1992,Players!$B$5:$B$304,0)),"UID not found",IF(INDEX(Players!$H$5:$H$304,MATCH(D1992,Players!$B$5:$B$304,0))&lt;0,"LOW BALANCE","OK"))))</f>
        <v/>
      </c>
      <c r="G1992" s="1"/>
      <c r="H1992" s="1"/>
      <c r="I1992" s="1"/>
    </row>
    <row r="1993" customFormat="false" ht="21.75" hidden="false" customHeight="true" outlineLevel="0" collapsed="false">
      <c r="A1993" s="1"/>
      <c r="B1993" s="16"/>
      <c r="C1993" s="16"/>
      <c r="D1993" s="15"/>
      <c r="E1993" s="11" t="str">
        <f aca="false">IF(D1993="","",IFERROR(INDEX(Players!$C$5:$C$304,MATCH(D1993,Players!$B$5:$B$304,0)),""))</f>
        <v/>
      </c>
      <c r="F1993" s="22" t="str">
        <f aca="false">IF(D1993="","",IF(COUNTIFS($B$5:$B$2004,B1993,$D$5:$D$2004,D1993)&gt;1,"DUPLICATE",IF(ISNA(MATCH(D1993,Players!$B$5:$B$304,0)),"UID not found",IF(INDEX(Players!$H$5:$H$304,MATCH(D1993,Players!$B$5:$B$304,0))&lt;0,"LOW BALANCE","OK"))))</f>
        <v/>
      </c>
      <c r="G1993" s="1"/>
      <c r="H1993" s="1"/>
      <c r="I1993" s="1"/>
    </row>
    <row r="1994" customFormat="false" ht="21.75" hidden="false" customHeight="true" outlineLevel="0" collapsed="false">
      <c r="A1994" s="1"/>
      <c r="B1994" s="16"/>
      <c r="C1994" s="16"/>
      <c r="D1994" s="15"/>
      <c r="E1994" s="11" t="str">
        <f aca="false">IF(D1994="","",IFERROR(INDEX(Players!$C$5:$C$304,MATCH(D1994,Players!$B$5:$B$304,0)),""))</f>
        <v/>
      </c>
      <c r="F1994" s="22" t="str">
        <f aca="false">IF(D1994="","",IF(COUNTIFS($B$5:$B$2004,B1994,$D$5:$D$2004,D1994)&gt;1,"DUPLICATE",IF(ISNA(MATCH(D1994,Players!$B$5:$B$304,0)),"UID not found",IF(INDEX(Players!$H$5:$H$304,MATCH(D1994,Players!$B$5:$B$304,0))&lt;0,"LOW BALANCE","OK"))))</f>
        <v/>
      </c>
      <c r="G1994" s="1"/>
      <c r="H1994" s="1"/>
      <c r="I1994" s="1"/>
    </row>
    <row r="1995" customFormat="false" ht="21.75" hidden="false" customHeight="true" outlineLevel="0" collapsed="false">
      <c r="A1995" s="1"/>
      <c r="B1995" s="16"/>
      <c r="C1995" s="16"/>
      <c r="D1995" s="15"/>
      <c r="E1995" s="11" t="str">
        <f aca="false">IF(D1995="","",IFERROR(INDEX(Players!$C$5:$C$304,MATCH(D1995,Players!$B$5:$B$304,0)),""))</f>
        <v/>
      </c>
      <c r="F1995" s="22" t="str">
        <f aca="false">IF(D1995="","",IF(COUNTIFS($B$5:$B$2004,B1995,$D$5:$D$2004,D1995)&gt;1,"DUPLICATE",IF(ISNA(MATCH(D1995,Players!$B$5:$B$304,0)),"UID not found",IF(INDEX(Players!$H$5:$H$304,MATCH(D1995,Players!$B$5:$B$304,0))&lt;0,"LOW BALANCE","OK"))))</f>
        <v/>
      </c>
      <c r="G1995" s="1"/>
      <c r="H1995" s="1"/>
      <c r="I1995" s="1"/>
    </row>
    <row r="1996" customFormat="false" ht="21.75" hidden="false" customHeight="true" outlineLevel="0" collapsed="false">
      <c r="A1996" s="1"/>
      <c r="B1996" s="16"/>
      <c r="C1996" s="16"/>
      <c r="D1996" s="15"/>
      <c r="E1996" s="11" t="str">
        <f aca="false">IF(D1996="","",IFERROR(INDEX(Players!$C$5:$C$304,MATCH(D1996,Players!$B$5:$B$304,0)),""))</f>
        <v/>
      </c>
      <c r="F1996" s="22" t="str">
        <f aca="false">IF(D1996="","",IF(COUNTIFS($B$5:$B$2004,B1996,$D$5:$D$2004,D1996)&gt;1,"DUPLICATE",IF(ISNA(MATCH(D1996,Players!$B$5:$B$304,0)),"UID not found",IF(INDEX(Players!$H$5:$H$304,MATCH(D1996,Players!$B$5:$B$304,0))&lt;0,"LOW BALANCE","OK"))))</f>
        <v/>
      </c>
      <c r="G1996" s="1"/>
      <c r="H1996" s="1"/>
      <c r="I1996" s="1"/>
    </row>
    <row r="1997" customFormat="false" ht="21.75" hidden="false" customHeight="true" outlineLevel="0" collapsed="false">
      <c r="A1997" s="1"/>
      <c r="B1997" s="16"/>
      <c r="C1997" s="16"/>
      <c r="D1997" s="15"/>
      <c r="E1997" s="11" t="str">
        <f aca="false">IF(D1997="","",IFERROR(INDEX(Players!$C$5:$C$304,MATCH(D1997,Players!$B$5:$B$304,0)),""))</f>
        <v/>
      </c>
      <c r="F1997" s="22" t="str">
        <f aca="false">IF(D1997="","",IF(COUNTIFS($B$5:$B$2004,B1997,$D$5:$D$2004,D1997)&gt;1,"DUPLICATE",IF(ISNA(MATCH(D1997,Players!$B$5:$B$304,0)),"UID not found",IF(INDEX(Players!$H$5:$H$304,MATCH(D1997,Players!$B$5:$B$304,0))&lt;0,"LOW BALANCE","OK"))))</f>
        <v/>
      </c>
      <c r="G1997" s="1"/>
      <c r="H1997" s="1"/>
      <c r="I1997" s="1"/>
    </row>
    <row r="1998" customFormat="false" ht="21.75" hidden="false" customHeight="true" outlineLevel="0" collapsed="false">
      <c r="A1998" s="1"/>
      <c r="B1998" s="16"/>
      <c r="C1998" s="16"/>
      <c r="D1998" s="15"/>
      <c r="E1998" s="11" t="str">
        <f aca="false">IF(D1998="","",IFERROR(INDEX(Players!$C$5:$C$304,MATCH(D1998,Players!$B$5:$B$304,0)),""))</f>
        <v/>
      </c>
      <c r="F1998" s="22" t="str">
        <f aca="false">IF(D1998="","",IF(COUNTIFS($B$5:$B$2004,B1998,$D$5:$D$2004,D1998)&gt;1,"DUPLICATE",IF(ISNA(MATCH(D1998,Players!$B$5:$B$304,0)),"UID not found",IF(INDEX(Players!$H$5:$H$304,MATCH(D1998,Players!$B$5:$B$304,0))&lt;0,"LOW BALANCE","OK"))))</f>
        <v/>
      </c>
      <c r="G1998" s="1"/>
      <c r="H1998" s="1"/>
      <c r="I1998" s="1"/>
    </row>
    <row r="1999" customFormat="false" ht="21.75" hidden="false" customHeight="true" outlineLevel="0" collapsed="false">
      <c r="A1999" s="1"/>
      <c r="B1999" s="16"/>
      <c r="C1999" s="16"/>
      <c r="D1999" s="15"/>
      <c r="E1999" s="11" t="str">
        <f aca="false">IF(D1999="","",IFERROR(INDEX(Players!$C$5:$C$304,MATCH(D1999,Players!$B$5:$B$304,0)),""))</f>
        <v/>
      </c>
      <c r="F1999" s="22" t="str">
        <f aca="false">IF(D1999="","",IF(COUNTIFS($B$5:$B$2004,B1999,$D$5:$D$2004,D1999)&gt;1,"DUPLICATE",IF(ISNA(MATCH(D1999,Players!$B$5:$B$304,0)),"UID not found",IF(INDEX(Players!$H$5:$H$304,MATCH(D1999,Players!$B$5:$B$304,0))&lt;0,"LOW BALANCE","OK"))))</f>
        <v/>
      </c>
      <c r="G1999" s="1"/>
      <c r="H1999" s="1"/>
      <c r="I1999" s="1"/>
    </row>
    <row r="2000" customFormat="false" ht="21.75" hidden="false" customHeight="true" outlineLevel="0" collapsed="false">
      <c r="A2000" s="1"/>
      <c r="B2000" s="16"/>
      <c r="C2000" s="16"/>
      <c r="D2000" s="15"/>
      <c r="E2000" s="11" t="str">
        <f aca="false">IF(D2000="","",IFERROR(INDEX(Players!$C$5:$C$304,MATCH(D2000,Players!$B$5:$B$304,0)),""))</f>
        <v/>
      </c>
      <c r="F2000" s="22" t="str">
        <f aca="false">IF(D2000="","",IF(COUNTIFS($B$5:$B$2004,B2000,$D$5:$D$2004,D2000)&gt;1,"DUPLICATE",IF(ISNA(MATCH(D2000,Players!$B$5:$B$304,0)),"UID not found",IF(INDEX(Players!$H$5:$H$304,MATCH(D2000,Players!$B$5:$B$304,0))&lt;0,"LOW BALANCE","OK"))))</f>
        <v/>
      </c>
      <c r="G2000" s="1"/>
      <c r="H2000" s="1"/>
      <c r="I2000" s="1"/>
    </row>
    <row r="2001" customFormat="false" ht="21.75" hidden="false" customHeight="true" outlineLevel="0" collapsed="false">
      <c r="A2001" s="1"/>
      <c r="B2001" s="16"/>
      <c r="C2001" s="16"/>
      <c r="D2001" s="15"/>
      <c r="E2001" s="11" t="str">
        <f aca="false">IF(D2001="","",IFERROR(INDEX(Players!$C$5:$C$304,MATCH(D2001,Players!$B$5:$B$304,0)),""))</f>
        <v/>
      </c>
      <c r="F2001" s="22" t="str">
        <f aca="false">IF(D2001="","",IF(COUNTIFS($B$5:$B$2004,B2001,$D$5:$D$2004,D2001)&gt;1,"DUPLICATE",IF(ISNA(MATCH(D2001,Players!$B$5:$B$304,0)),"UID not found",IF(INDEX(Players!$H$5:$H$304,MATCH(D2001,Players!$B$5:$B$304,0))&lt;0,"LOW BALANCE","OK"))))</f>
        <v/>
      </c>
      <c r="G2001" s="1"/>
      <c r="H2001" s="1"/>
      <c r="I2001" s="1"/>
    </row>
    <row r="2002" customFormat="false" ht="21.75" hidden="false" customHeight="true" outlineLevel="0" collapsed="false">
      <c r="A2002" s="1"/>
      <c r="B2002" s="16"/>
      <c r="C2002" s="16"/>
      <c r="D2002" s="15"/>
      <c r="E2002" s="11" t="str">
        <f aca="false">IF(D2002="","",IFERROR(INDEX(Players!$C$5:$C$304,MATCH(D2002,Players!$B$5:$B$304,0)),""))</f>
        <v/>
      </c>
      <c r="F2002" s="22" t="str">
        <f aca="false">IF(D2002="","",IF(COUNTIFS($B$5:$B$2004,B2002,$D$5:$D$2004,D2002)&gt;1,"DUPLICATE",IF(ISNA(MATCH(D2002,Players!$B$5:$B$304,0)),"UID not found",IF(INDEX(Players!$H$5:$H$304,MATCH(D2002,Players!$B$5:$B$304,0))&lt;0,"LOW BALANCE","OK"))))</f>
        <v/>
      </c>
      <c r="G2002" s="1"/>
      <c r="H2002" s="1"/>
      <c r="I2002" s="1"/>
    </row>
    <row r="2003" customFormat="false" ht="21.75" hidden="false" customHeight="true" outlineLevel="0" collapsed="false">
      <c r="A2003" s="1"/>
      <c r="B2003" s="16"/>
      <c r="C2003" s="16"/>
      <c r="D2003" s="15"/>
      <c r="E2003" s="11" t="str">
        <f aca="false">IF(D2003="","",IFERROR(INDEX(Players!$C$5:$C$304,MATCH(D2003,Players!$B$5:$B$304,0)),""))</f>
        <v/>
      </c>
      <c r="F2003" s="22" t="str">
        <f aca="false">IF(D2003="","",IF(COUNTIFS($B$5:$B$2004,B2003,$D$5:$D$2004,D2003)&gt;1,"DUPLICATE",IF(ISNA(MATCH(D2003,Players!$B$5:$B$304,0)),"UID not found",IF(INDEX(Players!$H$5:$H$304,MATCH(D2003,Players!$B$5:$B$304,0))&lt;0,"LOW BALANCE","OK"))))</f>
        <v/>
      </c>
      <c r="G2003" s="1"/>
      <c r="H2003" s="1"/>
      <c r="I2003" s="1"/>
    </row>
    <row r="2004" customFormat="false" ht="21.75" hidden="false" customHeight="true" outlineLevel="0" collapsed="false">
      <c r="A2004" s="1"/>
      <c r="B2004" s="16"/>
      <c r="C2004" s="16"/>
      <c r="D2004" s="15"/>
      <c r="E2004" s="11" t="str">
        <f aca="false">IF(D2004="","",IFERROR(INDEX(Players!$C$5:$C$304,MATCH(D2004,Players!$B$5:$B$304,0)),""))</f>
        <v/>
      </c>
      <c r="F2004" s="22" t="str">
        <f aca="false">IF(D2004="","",IF(COUNTIFS($B$5:$B$2004,B2004,$D$5:$D$2004,D2004)&gt;1,"DUPLICATE",IF(ISNA(MATCH(D2004,Players!$B$5:$B$304,0)),"UID not found",IF(INDEX(Players!$H$5:$H$304,MATCH(D2004,Players!$B$5:$B$304,0))&lt;0,"LOW BALANCE","OK"))))</f>
        <v/>
      </c>
      <c r="G2004" s="1"/>
      <c r="H2004" s="1"/>
      <c r="I2004" s="1"/>
    </row>
    <row r="2005" customFormat="false" ht="15" hidden="false" customHeight="false" outlineLevel="0" collapsed="false">
      <c r="A2005" s="1"/>
      <c r="B2005" s="1"/>
      <c r="C2005" s="1"/>
      <c r="D2005" s="1"/>
      <c r="E2005" s="1"/>
      <c r="F2005" s="1"/>
      <c r="G2005" s="1"/>
      <c r="H2005" s="1"/>
      <c r="I2005" s="1"/>
    </row>
    <row r="2006" customFormat="false" ht="15" hidden="false" customHeight="false" outlineLevel="0" collapsed="false">
      <c r="A2006" s="1"/>
      <c r="B2006" s="1"/>
      <c r="C2006" s="1"/>
      <c r="D2006" s="1"/>
      <c r="E2006" s="1"/>
      <c r="F2006" s="1"/>
      <c r="G2006" s="1"/>
      <c r="H2006" s="1"/>
      <c r="I2006" s="1"/>
    </row>
  </sheetData>
  <autoFilter ref="B4:F2004"/>
  <conditionalFormatting sqref="F5:F2004">
    <cfRule type="expression" priority="2" aboveAverage="0" equalAverage="0" bottom="0" percent="0" rank="0" text="" dxfId="8">
      <formula>F5="OK"</formula>
    </cfRule>
    <cfRule type="expression" priority="3" aboveAverage="0" equalAverage="0" bottom="0" percent="0" rank="0" text="" dxfId="7">
      <formula>AND(F5&lt;&gt;"",F5&lt;&gt;"OK")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400"/>
    <pageSetUpPr fitToPage="false"/>
  </sheetPr>
  <dimension ref="A1:I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44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7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1"/>
      <c r="B3" s="3" t="s">
        <v>72</v>
      </c>
      <c r="C3" s="1"/>
      <c r="D3" s="1"/>
      <c r="E3" s="1"/>
      <c r="F3" s="1"/>
      <c r="G3" s="1"/>
      <c r="H3" s="1"/>
      <c r="I3" s="1"/>
    </row>
    <row r="4" customFormat="false" ht="30" hidden="false" customHeight="true" outlineLevel="0" collapsed="false">
      <c r="A4" s="1"/>
      <c r="B4" s="10" t="s">
        <v>63</v>
      </c>
      <c r="C4" s="10" t="s">
        <v>73</v>
      </c>
      <c r="D4" s="10" t="s">
        <v>74</v>
      </c>
      <c r="E4" s="10" t="s">
        <v>75</v>
      </c>
      <c r="F4" s="10" t="s">
        <v>76</v>
      </c>
      <c r="G4" s="1"/>
      <c r="H4" s="10" t="s">
        <v>41</v>
      </c>
      <c r="I4" s="1"/>
    </row>
    <row r="5" customFormat="false" ht="21.75" hidden="false" customHeight="true" outlineLevel="0" collapsed="false">
      <c r="A5" s="1"/>
      <c r="B5" s="16" t="s">
        <v>66</v>
      </c>
      <c r="C5" s="23" t="n">
        <v>12</v>
      </c>
      <c r="D5" s="24" t="n">
        <f aca="false">IF(B5="","",COUNTIF(Entries!$B$5:$B$2004,B5))</f>
        <v>1</v>
      </c>
      <c r="E5" s="24" t="n">
        <f aca="false">IF(B5="","",ROUNDUP(D5/Settings!$C$6,0))</f>
        <v>1</v>
      </c>
      <c r="F5" s="24" t="n">
        <f aca="false">IF(B5="","",C5-E5)</f>
        <v>11</v>
      </c>
      <c r="G5" s="1"/>
      <c r="H5" s="13" t="s">
        <v>45</v>
      </c>
      <c r="I5" s="1"/>
    </row>
    <row r="6" customFormat="false" ht="21.75" hidden="false" customHeight="true" outlineLevel="0" collapsed="false">
      <c r="A6" s="1"/>
      <c r="B6" s="16"/>
      <c r="C6" s="23"/>
      <c r="D6" s="24" t="str">
        <f aca="false">IF(B6="","",COUNTIF(Entries!$B$5:$B$2004,B6))</f>
        <v/>
      </c>
      <c r="E6" s="24" t="str">
        <f aca="false">IF(B6="","",ROUNDUP(D6/Settings!$C$6,0))</f>
        <v/>
      </c>
      <c r="F6" s="24" t="str">
        <f aca="false">IF(B6="","",C6-E6)</f>
        <v/>
      </c>
      <c r="G6" s="1"/>
      <c r="H6" s="13" t="s">
        <v>77</v>
      </c>
      <c r="I6" s="1"/>
    </row>
    <row r="7" customFormat="false" ht="21.75" hidden="false" customHeight="true" outlineLevel="0" collapsed="false">
      <c r="A7" s="1"/>
      <c r="B7" s="16"/>
      <c r="C7" s="23"/>
      <c r="D7" s="24" t="str">
        <f aca="false">IF(B7="","",COUNTIF(Entries!$B$5:$B$2004,B7))</f>
        <v/>
      </c>
      <c r="E7" s="24" t="str">
        <f aca="false">IF(B7="","",ROUNDUP(D7/Settings!$C$6,0))</f>
        <v/>
      </c>
      <c r="F7" s="24" t="str">
        <f aca="false">IF(B7="","",C7-E7)</f>
        <v/>
      </c>
      <c r="G7" s="1"/>
      <c r="H7" s="13" t="s">
        <v>78</v>
      </c>
      <c r="I7" s="1"/>
    </row>
    <row r="8" customFormat="false" ht="21.75" hidden="false" customHeight="true" outlineLevel="0" collapsed="false">
      <c r="A8" s="1"/>
      <c r="B8" s="16"/>
      <c r="C8" s="23"/>
      <c r="D8" s="24" t="str">
        <f aca="false">IF(B8="","",COUNTIF(Entries!$B$5:$B$2004,B8))</f>
        <v/>
      </c>
      <c r="E8" s="24" t="str">
        <f aca="false">IF(B8="","",ROUNDUP(D8/Settings!$C$6,0))</f>
        <v/>
      </c>
      <c r="F8" s="24" t="str">
        <f aca="false">IF(B8="","",C8-E8)</f>
        <v/>
      </c>
      <c r="G8" s="1"/>
      <c r="H8" s="13" t="s">
        <v>79</v>
      </c>
      <c r="I8" s="1"/>
    </row>
    <row r="9" customFormat="false" ht="21.75" hidden="false" customHeight="true" outlineLevel="0" collapsed="false">
      <c r="A9" s="1"/>
      <c r="B9" s="16"/>
      <c r="C9" s="23"/>
      <c r="D9" s="24" t="str">
        <f aca="false">IF(B9="","",COUNTIF(Entries!$B$5:$B$2004,B9))</f>
        <v/>
      </c>
      <c r="E9" s="24" t="str">
        <f aca="false">IF(B9="","",ROUNDUP(D9/Settings!$C$6,0))</f>
        <v/>
      </c>
      <c r="F9" s="24" t="str">
        <f aca="false">IF(B9="","",C9-E9)</f>
        <v/>
      </c>
      <c r="G9" s="1"/>
      <c r="H9" s="1"/>
      <c r="I9" s="1"/>
    </row>
    <row r="10" customFormat="false" ht="21.75" hidden="false" customHeight="true" outlineLevel="0" collapsed="false">
      <c r="A10" s="1"/>
      <c r="B10" s="16"/>
      <c r="C10" s="23"/>
      <c r="D10" s="24" t="str">
        <f aca="false">IF(B10="","",COUNTIF(Entries!$B$5:$B$2004,B10))</f>
        <v/>
      </c>
      <c r="E10" s="24" t="str">
        <f aca="false">IF(B10="","",ROUNDUP(D10/Settings!$C$6,0))</f>
        <v/>
      </c>
      <c r="F10" s="24" t="str">
        <f aca="false">IF(B10="","",C10-E10)</f>
        <v/>
      </c>
      <c r="G10" s="1"/>
      <c r="H10" s="1"/>
      <c r="I10" s="1"/>
    </row>
    <row r="11" customFormat="false" ht="21.75" hidden="false" customHeight="true" outlineLevel="0" collapsed="false">
      <c r="A11" s="1"/>
      <c r="B11" s="16"/>
      <c r="C11" s="23"/>
      <c r="D11" s="24" t="str">
        <f aca="false">IF(B11="","",COUNTIF(Entries!$B$5:$B$2004,B11))</f>
        <v/>
      </c>
      <c r="E11" s="24" t="str">
        <f aca="false">IF(B11="","",ROUNDUP(D11/Settings!$C$6,0))</f>
        <v/>
      </c>
      <c r="F11" s="24" t="str">
        <f aca="false">IF(B11="","",C11-E11)</f>
        <v/>
      </c>
      <c r="G11" s="1"/>
      <c r="H11" s="1"/>
      <c r="I11" s="1"/>
    </row>
    <row r="12" customFormat="false" ht="21.75" hidden="false" customHeight="true" outlineLevel="0" collapsed="false">
      <c r="A12" s="1"/>
      <c r="B12" s="16"/>
      <c r="C12" s="23"/>
      <c r="D12" s="24" t="str">
        <f aca="false">IF(B12="","",COUNTIF(Entries!$B$5:$B$2004,B12))</f>
        <v/>
      </c>
      <c r="E12" s="24" t="str">
        <f aca="false">IF(B12="","",ROUNDUP(D12/Settings!$C$6,0))</f>
        <v/>
      </c>
      <c r="F12" s="24" t="str">
        <f aca="false">IF(B12="","",C12-E12)</f>
        <v/>
      </c>
      <c r="G12" s="1"/>
      <c r="H12" s="1"/>
      <c r="I12" s="1"/>
    </row>
    <row r="13" customFormat="false" ht="21.75" hidden="false" customHeight="true" outlineLevel="0" collapsed="false">
      <c r="A13" s="1"/>
      <c r="B13" s="16"/>
      <c r="C13" s="23"/>
      <c r="D13" s="24" t="str">
        <f aca="false">IF(B13="","",COUNTIF(Entries!$B$5:$B$2004,B13))</f>
        <v/>
      </c>
      <c r="E13" s="24" t="str">
        <f aca="false">IF(B13="","",ROUNDUP(D13/Settings!$C$6,0))</f>
        <v/>
      </c>
      <c r="F13" s="24" t="str">
        <f aca="false">IF(B13="","",C13-E13)</f>
        <v/>
      </c>
      <c r="G13" s="1"/>
      <c r="H13" s="1"/>
      <c r="I13" s="1"/>
    </row>
    <row r="14" customFormat="false" ht="21.75" hidden="false" customHeight="true" outlineLevel="0" collapsed="false">
      <c r="A14" s="1"/>
      <c r="B14" s="16"/>
      <c r="C14" s="23"/>
      <c r="D14" s="24" t="str">
        <f aca="false">IF(B14="","",COUNTIF(Entries!$B$5:$B$2004,B14))</f>
        <v/>
      </c>
      <c r="E14" s="24" t="str">
        <f aca="false">IF(B14="","",ROUNDUP(D14/Settings!$C$6,0))</f>
        <v/>
      </c>
      <c r="F14" s="24" t="str">
        <f aca="false">IF(B14="","",C14-E14)</f>
        <v/>
      </c>
      <c r="G14" s="1"/>
      <c r="H14" s="1"/>
      <c r="I14" s="1"/>
    </row>
    <row r="15" customFormat="false" ht="21.75" hidden="false" customHeight="true" outlineLevel="0" collapsed="false">
      <c r="A15" s="1"/>
      <c r="B15" s="16"/>
      <c r="C15" s="23"/>
      <c r="D15" s="24" t="str">
        <f aca="false">IF(B15="","",COUNTIF(Entries!$B$5:$B$2004,B15))</f>
        <v/>
      </c>
      <c r="E15" s="24" t="str">
        <f aca="false">IF(B15="","",ROUNDUP(D15/Settings!$C$6,0))</f>
        <v/>
      </c>
      <c r="F15" s="24" t="str">
        <f aca="false">IF(B15="","",C15-E15)</f>
        <v/>
      </c>
      <c r="G15" s="1"/>
      <c r="H15" s="1"/>
      <c r="I15" s="1"/>
    </row>
    <row r="16" customFormat="false" ht="21.75" hidden="false" customHeight="true" outlineLevel="0" collapsed="false">
      <c r="A16" s="1"/>
      <c r="B16" s="16"/>
      <c r="C16" s="23"/>
      <c r="D16" s="24" t="str">
        <f aca="false">IF(B16="","",COUNTIF(Entries!$B$5:$B$2004,B16))</f>
        <v/>
      </c>
      <c r="E16" s="24" t="str">
        <f aca="false">IF(B16="","",ROUNDUP(D16/Settings!$C$6,0))</f>
        <v/>
      </c>
      <c r="F16" s="24" t="str">
        <f aca="false">IF(B16="","",C16-E16)</f>
        <v/>
      </c>
      <c r="G16" s="1"/>
      <c r="H16" s="1"/>
      <c r="I16" s="1"/>
    </row>
    <row r="17" customFormat="false" ht="21.75" hidden="false" customHeight="true" outlineLevel="0" collapsed="false">
      <c r="A17" s="1"/>
      <c r="B17" s="16"/>
      <c r="C17" s="23"/>
      <c r="D17" s="24" t="str">
        <f aca="false">IF(B17="","",COUNTIF(Entries!$B$5:$B$2004,B17))</f>
        <v/>
      </c>
      <c r="E17" s="24" t="str">
        <f aca="false">IF(B17="","",ROUNDUP(D17/Settings!$C$6,0))</f>
        <v/>
      </c>
      <c r="F17" s="24" t="str">
        <f aca="false">IF(B17="","",C17-E17)</f>
        <v/>
      </c>
      <c r="G17" s="1"/>
      <c r="H17" s="1"/>
      <c r="I17" s="1"/>
    </row>
    <row r="18" customFormat="false" ht="21.75" hidden="false" customHeight="true" outlineLevel="0" collapsed="false">
      <c r="A18" s="1"/>
      <c r="B18" s="16"/>
      <c r="C18" s="23"/>
      <c r="D18" s="24" t="str">
        <f aca="false">IF(B18="","",COUNTIF(Entries!$B$5:$B$2004,B18))</f>
        <v/>
      </c>
      <c r="E18" s="24" t="str">
        <f aca="false">IF(B18="","",ROUNDUP(D18/Settings!$C$6,0))</f>
        <v/>
      </c>
      <c r="F18" s="24" t="str">
        <f aca="false">IF(B18="","",C18-E18)</f>
        <v/>
      </c>
      <c r="G18" s="1"/>
      <c r="H18" s="1"/>
      <c r="I18" s="1"/>
    </row>
    <row r="19" customFormat="false" ht="21.75" hidden="false" customHeight="true" outlineLevel="0" collapsed="false">
      <c r="A19" s="1"/>
      <c r="B19" s="16"/>
      <c r="C19" s="23"/>
      <c r="D19" s="24" t="str">
        <f aca="false">IF(B19="","",COUNTIF(Entries!$B$5:$B$2004,B19))</f>
        <v/>
      </c>
      <c r="E19" s="24" t="str">
        <f aca="false">IF(B19="","",ROUNDUP(D19/Settings!$C$6,0))</f>
        <v/>
      </c>
      <c r="F19" s="24" t="str">
        <f aca="false">IF(B19="","",C19-E19)</f>
        <v/>
      </c>
      <c r="G19" s="1"/>
      <c r="H19" s="1"/>
      <c r="I19" s="1"/>
    </row>
    <row r="20" customFormat="false" ht="21.75" hidden="false" customHeight="true" outlineLevel="0" collapsed="false">
      <c r="A20" s="1"/>
      <c r="B20" s="16"/>
      <c r="C20" s="23"/>
      <c r="D20" s="24" t="str">
        <f aca="false">IF(B20="","",COUNTIF(Entries!$B$5:$B$2004,B20))</f>
        <v/>
      </c>
      <c r="E20" s="24" t="str">
        <f aca="false">IF(B20="","",ROUNDUP(D20/Settings!$C$6,0))</f>
        <v/>
      </c>
      <c r="F20" s="24" t="str">
        <f aca="false">IF(B20="","",C20-E20)</f>
        <v/>
      </c>
      <c r="G20" s="1"/>
      <c r="H20" s="1"/>
      <c r="I20" s="1"/>
    </row>
    <row r="21" customFormat="false" ht="21.75" hidden="false" customHeight="true" outlineLevel="0" collapsed="false">
      <c r="A21" s="1"/>
      <c r="B21" s="16"/>
      <c r="C21" s="23"/>
      <c r="D21" s="24" t="str">
        <f aca="false">IF(B21="","",COUNTIF(Entries!$B$5:$B$2004,B21))</f>
        <v/>
      </c>
      <c r="E21" s="24" t="str">
        <f aca="false">IF(B21="","",ROUNDUP(D21/Settings!$C$6,0))</f>
        <v/>
      </c>
      <c r="F21" s="24" t="str">
        <f aca="false">IF(B21="","",C21-E21)</f>
        <v/>
      </c>
      <c r="G21" s="1"/>
      <c r="H21" s="1"/>
      <c r="I21" s="1"/>
    </row>
    <row r="22" customFormat="false" ht="21.75" hidden="false" customHeight="true" outlineLevel="0" collapsed="false">
      <c r="A22" s="1"/>
      <c r="B22" s="16"/>
      <c r="C22" s="23"/>
      <c r="D22" s="24" t="str">
        <f aca="false">IF(B22="","",COUNTIF(Entries!$B$5:$B$2004,B22))</f>
        <v/>
      </c>
      <c r="E22" s="24" t="str">
        <f aca="false">IF(B22="","",ROUNDUP(D22/Settings!$C$6,0))</f>
        <v/>
      </c>
      <c r="F22" s="24" t="str">
        <f aca="false">IF(B22="","",C22-E22)</f>
        <v/>
      </c>
      <c r="G22" s="1"/>
      <c r="H22" s="1"/>
      <c r="I22" s="1"/>
    </row>
    <row r="23" customFormat="false" ht="21.75" hidden="false" customHeight="true" outlineLevel="0" collapsed="false">
      <c r="A23" s="1"/>
      <c r="B23" s="16"/>
      <c r="C23" s="23"/>
      <c r="D23" s="24" t="str">
        <f aca="false">IF(B23="","",COUNTIF(Entries!$B$5:$B$2004,B23))</f>
        <v/>
      </c>
      <c r="E23" s="24" t="str">
        <f aca="false">IF(B23="","",ROUNDUP(D23/Settings!$C$6,0))</f>
        <v/>
      </c>
      <c r="F23" s="24" t="str">
        <f aca="false">IF(B23="","",C23-E23)</f>
        <v/>
      </c>
      <c r="G23" s="1"/>
      <c r="H23" s="1"/>
      <c r="I23" s="1"/>
    </row>
    <row r="24" customFormat="false" ht="21.75" hidden="false" customHeight="true" outlineLevel="0" collapsed="false">
      <c r="A24" s="1"/>
      <c r="B24" s="16"/>
      <c r="C24" s="23"/>
      <c r="D24" s="24" t="str">
        <f aca="false">IF(B24="","",COUNTIF(Entries!$B$5:$B$2004,B24))</f>
        <v/>
      </c>
      <c r="E24" s="24" t="str">
        <f aca="false">IF(B24="","",ROUNDUP(D24/Settings!$C$6,0))</f>
        <v/>
      </c>
      <c r="F24" s="24" t="str">
        <f aca="false">IF(B24="","",C24-E24)</f>
        <v/>
      </c>
      <c r="G24" s="1"/>
      <c r="H24" s="1"/>
      <c r="I24" s="1"/>
    </row>
    <row r="25" customFormat="false" ht="21.75" hidden="false" customHeight="true" outlineLevel="0" collapsed="false">
      <c r="A25" s="1"/>
      <c r="B25" s="16"/>
      <c r="C25" s="23"/>
      <c r="D25" s="24" t="str">
        <f aca="false">IF(B25="","",COUNTIF(Entries!$B$5:$B$2004,B25))</f>
        <v/>
      </c>
      <c r="E25" s="24" t="str">
        <f aca="false">IF(B25="","",ROUNDUP(D25/Settings!$C$6,0))</f>
        <v/>
      </c>
      <c r="F25" s="24" t="str">
        <f aca="false">IF(B25="","",C25-E25)</f>
        <v/>
      </c>
      <c r="G25" s="1"/>
      <c r="H25" s="1"/>
      <c r="I25" s="1"/>
    </row>
    <row r="26" customFormat="false" ht="21.75" hidden="false" customHeight="true" outlineLevel="0" collapsed="false">
      <c r="A26" s="1"/>
      <c r="B26" s="16"/>
      <c r="C26" s="23"/>
      <c r="D26" s="24" t="str">
        <f aca="false">IF(B26="","",COUNTIF(Entries!$B$5:$B$2004,B26))</f>
        <v/>
      </c>
      <c r="E26" s="24" t="str">
        <f aca="false">IF(B26="","",ROUNDUP(D26/Settings!$C$6,0))</f>
        <v/>
      </c>
      <c r="F26" s="24" t="str">
        <f aca="false">IF(B26="","",C26-E26)</f>
        <v/>
      </c>
      <c r="G26" s="1"/>
      <c r="H26" s="1"/>
      <c r="I26" s="1"/>
    </row>
    <row r="27" customFormat="false" ht="21.75" hidden="false" customHeight="true" outlineLevel="0" collapsed="false">
      <c r="A27" s="1"/>
      <c r="B27" s="16"/>
      <c r="C27" s="23"/>
      <c r="D27" s="24" t="str">
        <f aca="false">IF(B27="","",COUNTIF(Entries!$B$5:$B$2004,B27))</f>
        <v/>
      </c>
      <c r="E27" s="24" t="str">
        <f aca="false">IF(B27="","",ROUNDUP(D27/Settings!$C$6,0))</f>
        <v/>
      </c>
      <c r="F27" s="24" t="str">
        <f aca="false">IF(B27="","",C27-E27)</f>
        <v/>
      </c>
      <c r="G27" s="1"/>
      <c r="H27" s="1"/>
      <c r="I27" s="1"/>
    </row>
    <row r="28" customFormat="false" ht="21.75" hidden="false" customHeight="true" outlineLevel="0" collapsed="false">
      <c r="A28" s="1"/>
      <c r="B28" s="16"/>
      <c r="C28" s="23"/>
      <c r="D28" s="24" t="str">
        <f aca="false">IF(B28="","",COUNTIF(Entries!$B$5:$B$2004,B28))</f>
        <v/>
      </c>
      <c r="E28" s="24" t="str">
        <f aca="false">IF(B28="","",ROUNDUP(D28/Settings!$C$6,0))</f>
        <v/>
      </c>
      <c r="F28" s="24" t="str">
        <f aca="false">IF(B28="","",C28-E28)</f>
        <v/>
      </c>
      <c r="G28" s="1"/>
      <c r="H28" s="1"/>
      <c r="I28" s="1"/>
    </row>
    <row r="29" customFormat="false" ht="21.75" hidden="false" customHeight="true" outlineLevel="0" collapsed="false">
      <c r="A29" s="1"/>
      <c r="B29" s="16"/>
      <c r="C29" s="23"/>
      <c r="D29" s="24" t="str">
        <f aca="false">IF(B29="","",COUNTIF(Entries!$B$5:$B$2004,B29))</f>
        <v/>
      </c>
      <c r="E29" s="24" t="str">
        <f aca="false">IF(B29="","",ROUNDUP(D29/Settings!$C$6,0))</f>
        <v/>
      </c>
      <c r="F29" s="24" t="str">
        <f aca="false">IF(B29="","",C29-E29)</f>
        <v/>
      </c>
      <c r="G29" s="1"/>
      <c r="H29" s="1"/>
      <c r="I29" s="1"/>
    </row>
    <row r="30" customFormat="false" ht="21.75" hidden="false" customHeight="true" outlineLevel="0" collapsed="false">
      <c r="A30" s="1"/>
      <c r="B30" s="16"/>
      <c r="C30" s="23"/>
      <c r="D30" s="24" t="str">
        <f aca="false">IF(B30="","",COUNTIF(Entries!$B$5:$B$2004,B30))</f>
        <v/>
      </c>
      <c r="E30" s="24" t="str">
        <f aca="false">IF(B30="","",ROUNDUP(D30/Settings!$C$6,0))</f>
        <v/>
      </c>
      <c r="F30" s="24" t="str">
        <f aca="false">IF(B30="","",C30-E30)</f>
        <v/>
      </c>
      <c r="G30" s="1"/>
      <c r="H30" s="1"/>
      <c r="I30" s="1"/>
    </row>
    <row r="31" customFormat="false" ht="21.75" hidden="false" customHeight="true" outlineLevel="0" collapsed="false">
      <c r="A31" s="1"/>
      <c r="B31" s="16"/>
      <c r="C31" s="23"/>
      <c r="D31" s="24" t="str">
        <f aca="false">IF(B31="","",COUNTIF(Entries!$B$5:$B$2004,B31))</f>
        <v/>
      </c>
      <c r="E31" s="24" t="str">
        <f aca="false">IF(B31="","",ROUNDUP(D31/Settings!$C$6,0))</f>
        <v/>
      </c>
      <c r="F31" s="24" t="str">
        <f aca="false">IF(B31="","",C31-E31)</f>
        <v/>
      </c>
      <c r="G31" s="1"/>
      <c r="H31" s="1"/>
      <c r="I31" s="1"/>
    </row>
    <row r="32" customFormat="false" ht="21.75" hidden="false" customHeight="true" outlineLevel="0" collapsed="false">
      <c r="A32" s="1"/>
      <c r="B32" s="16"/>
      <c r="C32" s="23"/>
      <c r="D32" s="24" t="str">
        <f aca="false">IF(B32="","",COUNTIF(Entries!$B$5:$B$2004,B32))</f>
        <v/>
      </c>
      <c r="E32" s="24" t="str">
        <f aca="false">IF(B32="","",ROUNDUP(D32/Settings!$C$6,0))</f>
        <v/>
      </c>
      <c r="F32" s="24" t="str">
        <f aca="false">IF(B32="","",C32-E32)</f>
        <v/>
      </c>
      <c r="G32" s="1"/>
      <c r="H32" s="1"/>
      <c r="I32" s="1"/>
    </row>
    <row r="33" customFormat="false" ht="21.75" hidden="false" customHeight="true" outlineLevel="0" collapsed="false">
      <c r="A33" s="1"/>
      <c r="B33" s="16"/>
      <c r="C33" s="23"/>
      <c r="D33" s="24" t="str">
        <f aca="false">IF(B33="","",COUNTIF(Entries!$B$5:$B$2004,B33))</f>
        <v/>
      </c>
      <c r="E33" s="24" t="str">
        <f aca="false">IF(B33="","",ROUNDUP(D33/Settings!$C$6,0))</f>
        <v/>
      </c>
      <c r="F33" s="24" t="str">
        <f aca="false">IF(B33="","",C33-E33)</f>
        <v/>
      </c>
      <c r="G33" s="1"/>
      <c r="H33" s="1"/>
      <c r="I33" s="1"/>
    </row>
    <row r="34" customFormat="false" ht="21.75" hidden="false" customHeight="true" outlineLevel="0" collapsed="false">
      <c r="A34" s="1"/>
      <c r="B34" s="16"/>
      <c r="C34" s="23"/>
      <c r="D34" s="24" t="str">
        <f aca="false">IF(B34="","",COUNTIF(Entries!$B$5:$B$2004,B34))</f>
        <v/>
      </c>
      <c r="E34" s="24" t="str">
        <f aca="false">IF(B34="","",ROUNDUP(D34/Settings!$C$6,0))</f>
        <v/>
      </c>
      <c r="F34" s="24" t="str">
        <f aca="false">IF(B34="","",C34-E34)</f>
        <v/>
      </c>
      <c r="G34" s="1"/>
      <c r="H34" s="1"/>
      <c r="I34" s="1"/>
    </row>
    <row r="35" customFormat="false" ht="21.75" hidden="false" customHeight="true" outlineLevel="0" collapsed="false">
      <c r="A35" s="1"/>
      <c r="B35" s="16"/>
      <c r="C35" s="23"/>
      <c r="D35" s="24" t="str">
        <f aca="false">IF(B35="","",COUNTIF(Entries!$B$5:$B$2004,B35))</f>
        <v/>
      </c>
      <c r="E35" s="24" t="str">
        <f aca="false">IF(B35="","",ROUNDUP(D35/Settings!$C$6,0))</f>
        <v/>
      </c>
      <c r="F35" s="24" t="str">
        <f aca="false">IF(B35="","",C35-E35)</f>
        <v/>
      </c>
      <c r="G35" s="1"/>
      <c r="H35" s="1"/>
      <c r="I35" s="1"/>
    </row>
    <row r="36" customFormat="false" ht="21.75" hidden="false" customHeight="true" outlineLevel="0" collapsed="false">
      <c r="A36" s="1"/>
      <c r="B36" s="16"/>
      <c r="C36" s="23"/>
      <c r="D36" s="24" t="str">
        <f aca="false">IF(B36="","",COUNTIF(Entries!$B$5:$B$2004,B36))</f>
        <v/>
      </c>
      <c r="E36" s="24" t="str">
        <f aca="false">IF(B36="","",ROUNDUP(D36/Settings!$C$6,0))</f>
        <v/>
      </c>
      <c r="F36" s="24" t="str">
        <f aca="false">IF(B36="","",C36-E36)</f>
        <v/>
      </c>
      <c r="G36" s="1"/>
      <c r="H36" s="1"/>
      <c r="I36" s="1"/>
    </row>
    <row r="37" customFormat="false" ht="21.75" hidden="false" customHeight="true" outlineLevel="0" collapsed="false">
      <c r="A37" s="1"/>
      <c r="B37" s="16"/>
      <c r="C37" s="23"/>
      <c r="D37" s="24" t="str">
        <f aca="false">IF(B37="","",COUNTIF(Entries!$B$5:$B$2004,B37))</f>
        <v/>
      </c>
      <c r="E37" s="24" t="str">
        <f aca="false">IF(B37="","",ROUNDUP(D37/Settings!$C$6,0))</f>
        <v/>
      </c>
      <c r="F37" s="24" t="str">
        <f aca="false">IF(B37="","",C37-E37)</f>
        <v/>
      </c>
      <c r="G37" s="1"/>
      <c r="H37" s="1"/>
      <c r="I37" s="1"/>
    </row>
    <row r="38" customFormat="false" ht="21.75" hidden="false" customHeight="true" outlineLevel="0" collapsed="false">
      <c r="A38" s="1"/>
      <c r="B38" s="16"/>
      <c r="C38" s="23"/>
      <c r="D38" s="24" t="str">
        <f aca="false">IF(B38="","",COUNTIF(Entries!$B$5:$B$2004,B38))</f>
        <v/>
      </c>
      <c r="E38" s="24" t="str">
        <f aca="false">IF(B38="","",ROUNDUP(D38/Settings!$C$6,0))</f>
        <v/>
      </c>
      <c r="F38" s="24" t="str">
        <f aca="false">IF(B38="","",C38-E38)</f>
        <v/>
      </c>
      <c r="G38" s="1"/>
      <c r="H38" s="1"/>
      <c r="I38" s="1"/>
    </row>
    <row r="39" customFormat="false" ht="21.75" hidden="false" customHeight="true" outlineLevel="0" collapsed="false">
      <c r="A39" s="1"/>
      <c r="B39" s="16"/>
      <c r="C39" s="23"/>
      <c r="D39" s="24" t="str">
        <f aca="false">IF(B39="","",COUNTIF(Entries!$B$5:$B$2004,B39))</f>
        <v/>
      </c>
      <c r="E39" s="24" t="str">
        <f aca="false">IF(B39="","",ROUNDUP(D39/Settings!$C$6,0))</f>
        <v/>
      </c>
      <c r="F39" s="24" t="str">
        <f aca="false">IF(B39="","",C39-E39)</f>
        <v/>
      </c>
      <c r="G39" s="1"/>
      <c r="H39" s="1"/>
      <c r="I39" s="1"/>
    </row>
    <row r="40" customFormat="false" ht="21.75" hidden="false" customHeight="true" outlineLevel="0" collapsed="false">
      <c r="A40" s="1"/>
      <c r="B40" s="16"/>
      <c r="C40" s="23"/>
      <c r="D40" s="24" t="str">
        <f aca="false">IF(B40="","",COUNTIF(Entries!$B$5:$B$2004,B40))</f>
        <v/>
      </c>
      <c r="E40" s="24" t="str">
        <f aca="false">IF(B40="","",ROUNDUP(D40/Settings!$C$6,0))</f>
        <v/>
      </c>
      <c r="F40" s="24" t="str">
        <f aca="false">IF(B40="","",C40-E40)</f>
        <v/>
      </c>
      <c r="G40" s="1"/>
      <c r="H40" s="1"/>
      <c r="I40" s="1"/>
    </row>
    <row r="41" customFormat="false" ht="21.75" hidden="false" customHeight="true" outlineLevel="0" collapsed="false">
      <c r="A41" s="1"/>
      <c r="B41" s="16"/>
      <c r="C41" s="23"/>
      <c r="D41" s="24" t="str">
        <f aca="false">IF(B41="","",COUNTIF(Entries!$B$5:$B$2004,B41))</f>
        <v/>
      </c>
      <c r="E41" s="24" t="str">
        <f aca="false">IF(B41="","",ROUNDUP(D41/Settings!$C$6,0))</f>
        <v/>
      </c>
      <c r="F41" s="24" t="str">
        <f aca="false">IF(B41="","",C41-E41)</f>
        <v/>
      </c>
      <c r="G41" s="1"/>
      <c r="H41" s="1"/>
      <c r="I41" s="1"/>
    </row>
    <row r="42" customFormat="false" ht="21.75" hidden="false" customHeight="true" outlineLevel="0" collapsed="false">
      <c r="A42" s="1"/>
      <c r="B42" s="16"/>
      <c r="C42" s="23"/>
      <c r="D42" s="24" t="str">
        <f aca="false">IF(B42="","",COUNTIF(Entries!$B$5:$B$2004,B42))</f>
        <v/>
      </c>
      <c r="E42" s="24" t="str">
        <f aca="false">IF(B42="","",ROUNDUP(D42/Settings!$C$6,0))</f>
        <v/>
      </c>
      <c r="F42" s="24" t="str">
        <f aca="false">IF(B42="","",C42-E42)</f>
        <v/>
      </c>
      <c r="G42" s="1"/>
      <c r="H42" s="1"/>
      <c r="I42" s="1"/>
    </row>
    <row r="43" customFormat="false" ht="21.75" hidden="false" customHeight="true" outlineLevel="0" collapsed="false">
      <c r="A43" s="1"/>
      <c r="B43" s="16"/>
      <c r="C43" s="23"/>
      <c r="D43" s="24" t="str">
        <f aca="false">IF(B43="","",COUNTIF(Entries!$B$5:$B$2004,B43))</f>
        <v/>
      </c>
      <c r="E43" s="24" t="str">
        <f aca="false">IF(B43="","",ROUNDUP(D43/Settings!$C$6,0))</f>
        <v/>
      </c>
      <c r="F43" s="24" t="str">
        <f aca="false">IF(B43="","",C43-E43)</f>
        <v/>
      </c>
      <c r="G43" s="1"/>
      <c r="H43" s="1"/>
      <c r="I43" s="1"/>
    </row>
    <row r="44" customFormat="false" ht="21.75" hidden="false" customHeight="true" outlineLevel="0" collapsed="false">
      <c r="A44" s="1"/>
      <c r="B44" s="16"/>
      <c r="C44" s="23"/>
      <c r="D44" s="24" t="str">
        <f aca="false">IF(B44="","",COUNTIF(Entries!$B$5:$B$2004,B44))</f>
        <v/>
      </c>
      <c r="E44" s="24" t="str">
        <f aca="false">IF(B44="","",ROUNDUP(D44/Settings!$C$6,0))</f>
        <v/>
      </c>
      <c r="F44" s="24" t="str">
        <f aca="false">IF(B44="","",C44-E44)</f>
        <v/>
      </c>
      <c r="G44" s="1"/>
      <c r="H44" s="1"/>
      <c r="I44" s="1"/>
    </row>
    <row r="45" customFormat="false" ht="21.75" hidden="false" customHeight="true" outlineLevel="0" collapsed="false">
      <c r="A45" s="1"/>
      <c r="B45" s="16"/>
      <c r="C45" s="23"/>
      <c r="D45" s="24" t="str">
        <f aca="false">IF(B45="","",COUNTIF(Entries!$B$5:$B$2004,B45))</f>
        <v/>
      </c>
      <c r="E45" s="24" t="str">
        <f aca="false">IF(B45="","",ROUNDUP(D45/Settings!$C$6,0))</f>
        <v/>
      </c>
      <c r="F45" s="24" t="str">
        <f aca="false">IF(B45="","",C45-E45)</f>
        <v/>
      </c>
      <c r="G45" s="1"/>
      <c r="H45" s="1"/>
      <c r="I45" s="1"/>
    </row>
    <row r="46" customFormat="false" ht="21.75" hidden="false" customHeight="true" outlineLevel="0" collapsed="false">
      <c r="A46" s="1"/>
      <c r="B46" s="16"/>
      <c r="C46" s="23"/>
      <c r="D46" s="24" t="str">
        <f aca="false">IF(B46="","",COUNTIF(Entries!$B$5:$B$2004,B46))</f>
        <v/>
      </c>
      <c r="E46" s="24" t="str">
        <f aca="false">IF(B46="","",ROUNDUP(D46/Settings!$C$6,0))</f>
        <v/>
      </c>
      <c r="F46" s="24" t="str">
        <f aca="false">IF(B46="","",C46-E46)</f>
        <v/>
      </c>
      <c r="G46" s="1"/>
      <c r="H46" s="1"/>
      <c r="I46" s="1"/>
    </row>
    <row r="47" customFormat="false" ht="21.75" hidden="false" customHeight="true" outlineLevel="0" collapsed="false">
      <c r="A47" s="1"/>
      <c r="B47" s="16"/>
      <c r="C47" s="23"/>
      <c r="D47" s="24" t="str">
        <f aca="false">IF(B47="","",COUNTIF(Entries!$B$5:$B$2004,B47))</f>
        <v/>
      </c>
      <c r="E47" s="24" t="str">
        <f aca="false">IF(B47="","",ROUNDUP(D47/Settings!$C$6,0))</f>
        <v/>
      </c>
      <c r="F47" s="24" t="str">
        <f aca="false">IF(B47="","",C47-E47)</f>
        <v/>
      </c>
      <c r="G47" s="1"/>
      <c r="H47" s="1"/>
      <c r="I47" s="1"/>
    </row>
    <row r="48" customFormat="false" ht="21.75" hidden="false" customHeight="true" outlineLevel="0" collapsed="false">
      <c r="A48" s="1"/>
      <c r="B48" s="16"/>
      <c r="C48" s="23"/>
      <c r="D48" s="24" t="str">
        <f aca="false">IF(B48="","",COUNTIF(Entries!$B$5:$B$2004,B48))</f>
        <v/>
      </c>
      <c r="E48" s="24" t="str">
        <f aca="false">IF(B48="","",ROUNDUP(D48/Settings!$C$6,0))</f>
        <v/>
      </c>
      <c r="F48" s="24" t="str">
        <f aca="false">IF(B48="","",C48-E48)</f>
        <v/>
      </c>
      <c r="G48" s="1"/>
      <c r="H48" s="1"/>
      <c r="I48" s="1"/>
    </row>
    <row r="49" customFormat="false" ht="21.75" hidden="false" customHeight="true" outlineLevel="0" collapsed="false">
      <c r="A49" s="1"/>
      <c r="B49" s="16"/>
      <c r="C49" s="23"/>
      <c r="D49" s="24" t="str">
        <f aca="false">IF(B49="","",COUNTIF(Entries!$B$5:$B$2004,B49))</f>
        <v/>
      </c>
      <c r="E49" s="24" t="str">
        <f aca="false">IF(B49="","",ROUNDUP(D49/Settings!$C$6,0))</f>
        <v/>
      </c>
      <c r="F49" s="24" t="str">
        <f aca="false">IF(B49="","",C49-E49)</f>
        <v/>
      </c>
      <c r="G49" s="1"/>
      <c r="H49" s="1"/>
      <c r="I49" s="1"/>
    </row>
    <row r="50" customFormat="false" ht="21.75" hidden="false" customHeight="true" outlineLevel="0" collapsed="false">
      <c r="A50" s="1"/>
      <c r="B50" s="16"/>
      <c r="C50" s="23"/>
      <c r="D50" s="24" t="str">
        <f aca="false">IF(B50="","",COUNTIF(Entries!$B$5:$B$2004,B50))</f>
        <v/>
      </c>
      <c r="E50" s="24" t="str">
        <f aca="false">IF(B50="","",ROUNDUP(D50/Settings!$C$6,0))</f>
        <v/>
      </c>
      <c r="F50" s="24" t="str">
        <f aca="false">IF(B50="","",C50-E50)</f>
        <v/>
      </c>
      <c r="G50" s="1"/>
      <c r="H50" s="1"/>
      <c r="I50" s="1"/>
    </row>
    <row r="51" customFormat="false" ht="21.75" hidden="false" customHeight="true" outlineLevel="0" collapsed="false">
      <c r="A51" s="1"/>
      <c r="B51" s="16"/>
      <c r="C51" s="23"/>
      <c r="D51" s="24" t="str">
        <f aca="false">IF(B51="","",COUNTIF(Entries!$B$5:$B$2004,B51))</f>
        <v/>
      </c>
      <c r="E51" s="24" t="str">
        <f aca="false">IF(B51="","",ROUNDUP(D51/Settings!$C$6,0))</f>
        <v/>
      </c>
      <c r="F51" s="24" t="str">
        <f aca="false">IF(B51="","",C51-E51)</f>
        <v/>
      </c>
      <c r="G51" s="1"/>
      <c r="H51" s="1"/>
      <c r="I51" s="1"/>
    </row>
    <row r="52" customFormat="false" ht="21.75" hidden="false" customHeight="true" outlineLevel="0" collapsed="false">
      <c r="A52" s="1"/>
      <c r="B52" s="16"/>
      <c r="C52" s="23"/>
      <c r="D52" s="24" t="str">
        <f aca="false">IF(B52="","",COUNTIF(Entries!$B$5:$B$2004,B52))</f>
        <v/>
      </c>
      <c r="E52" s="24" t="str">
        <f aca="false">IF(B52="","",ROUNDUP(D52/Settings!$C$6,0))</f>
        <v/>
      </c>
      <c r="F52" s="24" t="str">
        <f aca="false">IF(B52="","",C52-E52)</f>
        <v/>
      </c>
      <c r="G52" s="1"/>
      <c r="H52" s="1"/>
      <c r="I52" s="1"/>
    </row>
    <row r="53" customFormat="false" ht="21.75" hidden="false" customHeight="true" outlineLevel="0" collapsed="false">
      <c r="A53" s="1"/>
      <c r="B53" s="16"/>
      <c r="C53" s="23"/>
      <c r="D53" s="24" t="str">
        <f aca="false">IF(B53="","",COUNTIF(Entries!$B$5:$B$2004,B53))</f>
        <v/>
      </c>
      <c r="E53" s="24" t="str">
        <f aca="false">IF(B53="","",ROUNDUP(D53/Settings!$C$6,0))</f>
        <v/>
      </c>
      <c r="F53" s="24" t="str">
        <f aca="false">IF(B53="","",C53-E53)</f>
        <v/>
      </c>
      <c r="G53" s="1"/>
      <c r="H53" s="1"/>
      <c r="I53" s="1"/>
    </row>
    <row r="54" customFormat="false" ht="21.75" hidden="false" customHeight="true" outlineLevel="0" collapsed="false">
      <c r="A54" s="1"/>
      <c r="B54" s="16"/>
      <c r="C54" s="23"/>
      <c r="D54" s="24" t="str">
        <f aca="false">IF(B54="","",COUNTIF(Entries!$B$5:$B$2004,B54))</f>
        <v/>
      </c>
      <c r="E54" s="24" t="str">
        <f aca="false">IF(B54="","",ROUNDUP(D54/Settings!$C$6,0))</f>
        <v/>
      </c>
      <c r="F54" s="24" t="str">
        <f aca="false">IF(B54="","",C54-E54)</f>
        <v/>
      </c>
      <c r="G54" s="1"/>
      <c r="H54" s="1"/>
      <c r="I54" s="1"/>
    </row>
    <row r="55" customFormat="false" ht="21.75" hidden="false" customHeight="true" outlineLevel="0" collapsed="false">
      <c r="A55" s="1"/>
      <c r="B55" s="16"/>
      <c r="C55" s="23"/>
      <c r="D55" s="24" t="str">
        <f aca="false">IF(B55="","",COUNTIF(Entries!$B$5:$B$2004,B55))</f>
        <v/>
      </c>
      <c r="E55" s="24" t="str">
        <f aca="false">IF(B55="","",ROUNDUP(D55/Settings!$C$6,0))</f>
        <v/>
      </c>
      <c r="F55" s="24" t="str">
        <f aca="false">IF(B55="","",C55-E55)</f>
        <v/>
      </c>
      <c r="G55" s="1"/>
      <c r="H55" s="1"/>
      <c r="I55" s="1"/>
    </row>
    <row r="56" customFormat="false" ht="21.75" hidden="false" customHeight="true" outlineLevel="0" collapsed="false">
      <c r="A56" s="1"/>
      <c r="B56" s="16"/>
      <c r="C56" s="23"/>
      <c r="D56" s="24" t="str">
        <f aca="false">IF(B56="","",COUNTIF(Entries!$B$5:$B$2004,B56))</f>
        <v/>
      </c>
      <c r="E56" s="24" t="str">
        <f aca="false">IF(B56="","",ROUNDUP(D56/Settings!$C$6,0))</f>
        <v/>
      </c>
      <c r="F56" s="24" t="str">
        <f aca="false">IF(B56="","",C56-E56)</f>
        <v/>
      </c>
      <c r="G56" s="1"/>
      <c r="H56" s="1"/>
      <c r="I56" s="1"/>
    </row>
    <row r="57" customFormat="false" ht="21.75" hidden="false" customHeight="true" outlineLevel="0" collapsed="false">
      <c r="A57" s="1"/>
      <c r="B57" s="16"/>
      <c r="C57" s="23"/>
      <c r="D57" s="24" t="str">
        <f aca="false">IF(B57="","",COUNTIF(Entries!$B$5:$B$2004,B57))</f>
        <v/>
      </c>
      <c r="E57" s="24" t="str">
        <f aca="false">IF(B57="","",ROUNDUP(D57/Settings!$C$6,0))</f>
        <v/>
      </c>
      <c r="F57" s="24" t="str">
        <f aca="false">IF(B57="","",C57-E57)</f>
        <v/>
      </c>
      <c r="G57" s="1"/>
      <c r="H57" s="1"/>
      <c r="I57" s="1"/>
    </row>
    <row r="58" customFormat="false" ht="21.75" hidden="false" customHeight="true" outlineLevel="0" collapsed="false">
      <c r="A58" s="1"/>
      <c r="B58" s="16"/>
      <c r="C58" s="23"/>
      <c r="D58" s="24" t="str">
        <f aca="false">IF(B58="","",COUNTIF(Entries!$B$5:$B$2004,B58))</f>
        <v/>
      </c>
      <c r="E58" s="24" t="str">
        <f aca="false">IF(B58="","",ROUNDUP(D58/Settings!$C$6,0))</f>
        <v/>
      </c>
      <c r="F58" s="24" t="str">
        <f aca="false">IF(B58="","",C58-E58)</f>
        <v/>
      </c>
      <c r="G58" s="1"/>
      <c r="H58" s="1"/>
      <c r="I58" s="1"/>
    </row>
    <row r="59" customFormat="false" ht="21.75" hidden="false" customHeight="true" outlineLevel="0" collapsed="false">
      <c r="A59" s="1"/>
      <c r="B59" s="16"/>
      <c r="C59" s="23"/>
      <c r="D59" s="24" t="str">
        <f aca="false">IF(B59="","",COUNTIF(Entries!$B$5:$B$2004,B59))</f>
        <v/>
      </c>
      <c r="E59" s="24" t="str">
        <f aca="false">IF(B59="","",ROUNDUP(D59/Settings!$C$6,0))</f>
        <v/>
      </c>
      <c r="F59" s="24" t="str">
        <f aca="false">IF(B59="","",C59-E59)</f>
        <v/>
      </c>
      <c r="G59" s="1"/>
      <c r="H59" s="1"/>
      <c r="I59" s="1"/>
    </row>
    <row r="60" customFormat="false" ht="21.75" hidden="false" customHeight="true" outlineLevel="0" collapsed="false">
      <c r="A60" s="1"/>
      <c r="B60" s="16"/>
      <c r="C60" s="23"/>
      <c r="D60" s="24" t="str">
        <f aca="false">IF(B60="","",COUNTIF(Entries!$B$5:$B$2004,B60))</f>
        <v/>
      </c>
      <c r="E60" s="24" t="str">
        <f aca="false">IF(B60="","",ROUNDUP(D60/Settings!$C$6,0))</f>
        <v/>
      </c>
      <c r="F60" s="24" t="str">
        <f aca="false">IF(B60="","",C60-E60)</f>
        <v/>
      </c>
      <c r="G60" s="1"/>
      <c r="H60" s="1"/>
      <c r="I60" s="1"/>
    </row>
    <row r="61" customFormat="false" ht="21.75" hidden="false" customHeight="true" outlineLevel="0" collapsed="false">
      <c r="A61" s="1"/>
      <c r="B61" s="16"/>
      <c r="C61" s="23"/>
      <c r="D61" s="24" t="str">
        <f aca="false">IF(B61="","",COUNTIF(Entries!$B$5:$B$2004,B61))</f>
        <v/>
      </c>
      <c r="E61" s="24" t="str">
        <f aca="false">IF(B61="","",ROUNDUP(D61/Settings!$C$6,0))</f>
        <v/>
      </c>
      <c r="F61" s="24" t="str">
        <f aca="false">IF(B61="","",C61-E61)</f>
        <v/>
      </c>
      <c r="G61" s="1"/>
      <c r="H61" s="1"/>
      <c r="I61" s="1"/>
    </row>
    <row r="62" customFormat="false" ht="21.75" hidden="false" customHeight="true" outlineLevel="0" collapsed="false">
      <c r="A62" s="1"/>
      <c r="B62" s="16"/>
      <c r="C62" s="23"/>
      <c r="D62" s="24" t="str">
        <f aca="false">IF(B62="","",COUNTIF(Entries!$B$5:$B$2004,B62))</f>
        <v/>
      </c>
      <c r="E62" s="24" t="str">
        <f aca="false">IF(B62="","",ROUNDUP(D62/Settings!$C$6,0))</f>
        <v/>
      </c>
      <c r="F62" s="24" t="str">
        <f aca="false">IF(B62="","",C62-E62)</f>
        <v/>
      </c>
      <c r="G62" s="1"/>
      <c r="H62" s="1"/>
      <c r="I62" s="1"/>
    </row>
    <row r="63" customFormat="false" ht="21.75" hidden="false" customHeight="true" outlineLevel="0" collapsed="false">
      <c r="A63" s="1"/>
      <c r="B63" s="16"/>
      <c r="C63" s="23"/>
      <c r="D63" s="24" t="str">
        <f aca="false">IF(B63="","",COUNTIF(Entries!$B$5:$B$2004,B63))</f>
        <v/>
      </c>
      <c r="E63" s="24" t="str">
        <f aca="false">IF(B63="","",ROUNDUP(D63/Settings!$C$6,0))</f>
        <v/>
      </c>
      <c r="F63" s="24" t="str">
        <f aca="false">IF(B63="","",C63-E63)</f>
        <v/>
      </c>
      <c r="G63" s="1"/>
      <c r="H63" s="1"/>
      <c r="I63" s="1"/>
    </row>
    <row r="64" customFormat="false" ht="21.75" hidden="false" customHeight="true" outlineLevel="0" collapsed="false">
      <c r="A64" s="1"/>
      <c r="B64" s="16"/>
      <c r="C64" s="23"/>
      <c r="D64" s="24" t="str">
        <f aca="false">IF(B64="","",COUNTIF(Entries!$B$5:$B$2004,B64))</f>
        <v/>
      </c>
      <c r="E64" s="24" t="str">
        <f aca="false">IF(B64="","",ROUNDUP(D64/Settings!$C$6,0))</f>
        <v/>
      </c>
      <c r="F64" s="24" t="str">
        <f aca="false">IF(B64="","",C64-E64)</f>
        <v/>
      </c>
      <c r="G64" s="1"/>
      <c r="H64" s="1"/>
      <c r="I64" s="1"/>
    </row>
    <row r="65" customFormat="false" ht="21.75" hidden="false" customHeight="true" outlineLevel="0" collapsed="false">
      <c r="A65" s="1"/>
      <c r="B65" s="16"/>
      <c r="C65" s="23"/>
      <c r="D65" s="24" t="str">
        <f aca="false">IF(B65="","",COUNTIF(Entries!$B$5:$B$2004,B65))</f>
        <v/>
      </c>
      <c r="E65" s="24" t="str">
        <f aca="false">IF(B65="","",ROUNDUP(D65/Settings!$C$6,0))</f>
        <v/>
      </c>
      <c r="F65" s="24" t="str">
        <f aca="false">IF(B65="","",C65-E65)</f>
        <v/>
      </c>
      <c r="G65" s="1"/>
      <c r="H65" s="1"/>
      <c r="I65" s="1"/>
    </row>
    <row r="66" customFormat="false" ht="21.75" hidden="false" customHeight="true" outlineLevel="0" collapsed="false">
      <c r="A66" s="1"/>
      <c r="B66" s="16"/>
      <c r="C66" s="23"/>
      <c r="D66" s="24" t="str">
        <f aca="false">IF(B66="","",COUNTIF(Entries!$B$5:$B$2004,B66))</f>
        <v/>
      </c>
      <c r="E66" s="24" t="str">
        <f aca="false">IF(B66="","",ROUNDUP(D66/Settings!$C$6,0))</f>
        <v/>
      </c>
      <c r="F66" s="24" t="str">
        <f aca="false">IF(B66="","",C66-E66)</f>
        <v/>
      </c>
      <c r="G66" s="1"/>
      <c r="H66" s="1"/>
      <c r="I66" s="1"/>
    </row>
    <row r="67" customFormat="false" ht="21.75" hidden="false" customHeight="true" outlineLevel="0" collapsed="false">
      <c r="A67" s="1"/>
      <c r="B67" s="16"/>
      <c r="C67" s="23"/>
      <c r="D67" s="24" t="str">
        <f aca="false">IF(B67="","",COUNTIF(Entries!$B$5:$B$2004,B67))</f>
        <v/>
      </c>
      <c r="E67" s="24" t="str">
        <f aca="false">IF(B67="","",ROUNDUP(D67/Settings!$C$6,0))</f>
        <v/>
      </c>
      <c r="F67" s="24" t="str">
        <f aca="false">IF(B67="","",C67-E67)</f>
        <v/>
      </c>
      <c r="G67" s="1"/>
      <c r="H67" s="1"/>
      <c r="I67" s="1"/>
    </row>
    <row r="68" customFormat="false" ht="21.75" hidden="false" customHeight="true" outlineLevel="0" collapsed="false">
      <c r="A68" s="1"/>
      <c r="B68" s="16"/>
      <c r="C68" s="23"/>
      <c r="D68" s="24" t="str">
        <f aca="false">IF(B68="","",COUNTIF(Entries!$B$5:$B$2004,B68))</f>
        <v/>
      </c>
      <c r="E68" s="24" t="str">
        <f aca="false">IF(B68="","",ROUNDUP(D68/Settings!$C$6,0))</f>
        <v/>
      </c>
      <c r="F68" s="24" t="str">
        <f aca="false">IF(B68="","",C68-E68)</f>
        <v/>
      </c>
      <c r="G68" s="1"/>
      <c r="H68" s="1"/>
      <c r="I68" s="1"/>
    </row>
    <row r="69" customFormat="false" ht="21.75" hidden="false" customHeight="true" outlineLevel="0" collapsed="false">
      <c r="A69" s="1"/>
      <c r="B69" s="16"/>
      <c r="C69" s="23"/>
      <c r="D69" s="24" t="str">
        <f aca="false">IF(B69="","",COUNTIF(Entries!$B$5:$B$2004,B69))</f>
        <v/>
      </c>
      <c r="E69" s="24" t="str">
        <f aca="false">IF(B69="","",ROUNDUP(D69/Settings!$C$6,0))</f>
        <v/>
      </c>
      <c r="F69" s="24" t="str">
        <f aca="false">IF(B69="","",C69-E69)</f>
        <v/>
      </c>
      <c r="G69" s="1"/>
      <c r="H69" s="1"/>
      <c r="I69" s="1"/>
    </row>
    <row r="70" customFormat="false" ht="21.75" hidden="false" customHeight="true" outlineLevel="0" collapsed="false">
      <c r="A70" s="1"/>
      <c r="B70" s="16"/>
      <c r="C70" s="23"/>
      <c r="D70" s="24" t="str">
        <f aca="false">IF(B70="","",COUNTIF(Entries!$B$5:$B$2004,B70))</f>
        <v/>
      </c>
      <c r="E70" s="24" t="str">
        <f aca="false">IF(B70="","",ROUNDUP(D70/Settings!$C$6,0))</f>
        <v/>
      </c>
      <c r="F70" s="24" t="str">
        <f aca="false">IF(B70="","",C70-E70)</f>
        <v/>
      </c>
      <c r="G70" s="1"/>
      <c r="H70" s="1"/>
      <c r="I70" s="1"/>
    </row>
    <row r="71" customFormat="false" ht="21.75" hidden="false" customHeight="true" outlineLevel="0" collapsed="false">
      <c r="A71" s="1"/>
      <c r="B71" s="16"/>
      <c r="C71" s="23"/>
      <c r="D71" s="24" t="str">
        <f aca="false">IF(B71="","",COUNTIF(Entries!$B$5:$B$2004,B71))</f>
        <v/>
      </c>
      <c r="E71" s="24" t="str">
        <f aca="false">IF(B71="","",ROUNDUP(D71/Settings!$C$6,0))</f>
        <v/>
      </c>
      <c r="F71" s="24" t="str">
        <f aca="false">IF(B71="","",C71-E71)</f>
        <v/>
      </c>
      <c r="G71" s="1"/>
      <c r="H71" s="1"/>
      <c r="I71" s="1"/>
    </row>
    <row r="72" customFormat="false" ht="21.75" hidden="false" customHeight="true" outlineLevel="0" collapsed="false">
      <c r="A72" s="1"/>
      <c r="B72" s="16"/>
      <c r="C72" s="23"/>
      <c r="D72" s="24" t="str">
        <f aca="false">IF(B72="","",COUNTIF(Entries!$B$5:$B$2004,B72))</f>
        <v/>
      </c>
      <c r="E72" s="24" t="str">
        <f aca="false">IF(B72="","",ROUNDUP(D72/Settings!$C$6,0))</f>
        <v/>
      </c>
      <c r="F72" s="24" t="str">
        <f aca="false">IF(B72="","",C72-E72)</f>
        <v/>
      </c>
      <c r="G72" s="1"/>
      <c r="H72" s="1"/>
      <c r="I72" s="1"/>
    </row>
    <row r="73" customFormat="false" ht="21.75" hidden="false" customHeight="true" outlineLevel="0" collapsed="false">
      <c r="A73" s="1"/>
      <c r="B73" s="16"/>
      <c r="C73" s="23"/>
      <c r="D73" s="24" t="str">
        <f aca="false">IF(B73="","",COUNTIF(Entries!$B$5:$B$2004,B73))</f>
        <v/>
      </c>
      <c r="E73" s="24" t="str">
        <f aca="false">IF(B73="","",ROUNDUP(D73/Settings!$C$6,0))</f>
        <v/>
      </c>
      <c r="F73" s="24" t="str">
        <f aca="false">IF(B73="","",C73-E73)</f>
        <v/>
      </c>
      <c r="G73" s="1"/>
      <c r="H73" s="1"/>
      <c r="I73" s="1"/>
    </row>
    <row r="74" customFormat="false" ht="21.75" hidden="false" customHeight="true" outlineLevel="0" collapsed="false">
      <c r="A74" s="1"/>
      <c r="B74" s="16"/>
      <c r="C74" s="23"/>
      <c r="D74" s="24" t="str">
        <f aca="false">IF(B74="","",COUNTIF(Entries!$B$5:$B$2004,B74))</f>
        <v/>
      </c>
      <c r="E74" s="24" t="str">
        <f aca="false">IF(B74="","",ROUNDUP(D74/Settings!$C$6,0))</f>
        <v/>
      </c>
      <c r="F74" s="24" t="str">
        <f aca="false">IF(B74="","",C74-E74)</f>
        <v/>
      </c>
      <c r="G74" s="1"/>
      <c r="H74" s="1"/>
      <c r="I74" s="1"/>
    </row>
    <row r="75" customFormat="false" ht="21.75" hidden="false" customHeight="true" outlineLevel="0" collapsed="false">
      <c r="A75" s="1"/>
      <c r="B75" s="16"/>
      <c r="C75" s="23"/>
      <c r="D75" s="24" t="str">
        <f aca="false">IF(B75="","",COUNTIF(Entries!$B$5:$B$2004,B75))</f>
        <v/>
      </c>
      <c r="E75" s="24" t="str">
        <f aca="false">IF(B75="","",ROUNDUP(D75/Settings!$C$6,0))</f>
        <v/>
      </c>
      <c r="F75" s="24" t="str">
        <f aca="false">IF(B75="","",C75-E75)</f>
        <v/>
      </c>
      <c r="G75" s="1"/>
      <c r="H75" s="1"/>
      <c r="I75" s="1"/>
    </row>
    <row r="76" customFormat="false" ht="21.75" hidden="false" customHeight="true" outlineLevel="0" collapsed="false">
      <c r="A76" s="1"/>
      <c r="B76" s="16"/>
      <c r="C76" s="23"/>
      <c r="D76" s="24" t="str">
        <f aca="false">IF(B76="","",COUNTIF(Entries!$B$5:$B$2004,B76))</f>
        <v/>
      </c>
      <c r="E76" s="24" t="str">
        <f aca="false">IF(B76="","",ROUNDUP(D76/Settings!$C$6,0))</f>
        <v/>
      </c>
      <c r="F76" s="24" t="str">
        <f aca="false">IF(B76="","",C76-E76)</f>
        <v/>
      </c>
      <c r="G76" s="1"/>
      <c r="H76" s="1"/>
      <c r="I76" s="1"/>
    </row>
    <row r="77" customFormat="false" ht="21.75" hidden="false" customHeight="true" outlineLevel="0" collapsed="false">
      <c r="A77" s="1"/>
      <c r="B77" s="16"/>
      <c r="C77" s="23"/>
      <c r="D77" s="24" t="str">
        <f aca="false">IF(B77="","",COUNTIF(Entries!$B$5:$B$2004,B77))</f>
        <v/>
      </c>
      <c r="E77" s="24" t="str">
        <f aca="false">IF(B77="","",ROUNDUP(D77/Settings!$C$6,0))</f>
        <v/>
      </c>
      <c r="F77" s="24" t="str">
        <f aca="false">IF(B77="","",C77-E77)</f>
        <v/>
      </c>
      <c r="G77" s="1"/>
      <c r="H77" s="1"/>
      <c r="I77" s="1"/>
    </row>
    <row r="78" customFormat="false" ht="21.75" hidden="false" customHeight="true" outlineLevel="0" collapsed="false">
      <c r="A78" s="1"/>
      <c r="B78" s="16"/>
      <c r="C78" s="23"/>
      <c r="D78" s="24" t="str">
        <f aca="false">IF(B78="","",COUNTIF(Entries!$B$5:$B$2004,B78))</f>
        <v/>
      </c>
      <c r="E78" s="24" t="str">
        <f aca="false">IF(B78="","",ROUNDUP(D78/Settings!$C$6,0))</f>
        <v/>
      </c>
      <c r="F78" s="24" t="str">
        <f aca="false">IF(B78="","",C78-E78)</f>
        <v/>
      </c>
      <c r="G78" s="1"/>
      <c r="H78" s="1"/>
      <c r="I78" s="1"/>
    </row>
    <row r="79" customFormat="false" ht="21.75" hidden="false" customHeight="true" outlineLevel="0" collapsed="false">
      <c r="A79" s="1"/>
      <c r="B79" s="16"/>
      <c r="C79" s="23"/>
      <c r="D79" s="24" t="str">
        <f aca="false">IF(B79="","",COUNTIF(Entries!$B$5:$B$2004,B79))</f>
        <v/>
      </c>
      <c r="E79" s="24" t="str">
        <f aca="false">IF(B79="","",ROUNDUP(D79/Settings!$C$6,0))</f>
        <v/>
      </c>
      <c r="F79" s="24" t="str">
        <f aca="false">IF(B79="","",C79-E79)</f>
        <v/>
      </c>
      <c r="G79" s="1"/>
      <c r="H79" s="1"/>
      <c r="I79" s="1"/>
    </row>
    <row r="80" customFormat="false" ht="21.75" hidden="false" customHeight="true" outlineLevel="0" collapsed="false">
      <c r="A80" s="1"/>
      <c r="B80" s="16"/>
      <c r="C80" s="23"/>
      <c r="D80" s="24" t="str">
        <f aca="false">IF(B80="","",COUNTIF(Entries!$B$5:$B$2004,B80))</f>
        <v/>
      </c>
      <c r="E80" s="24" t="str">
        <f aca="false">IF(B80="","",ROUNDUP(D80/Settings!$C$6,0))</f>
        <v/>
      </c>
      <c r="F80" s="24" t="str">
        <f aca="false">IF(B80="","",C80-E80)</f>
        <v/>
      </c>
      <c r="G80" s="1"/>
      <c r="H80" s="1"/>
      <c r="I80" s="1"/>
    </row>
    <row r="81" customFormat="false" ht="21.75" hidden="false" customHeight="true" outlineLevel="0" collapsed="false">
      <c r="A81" s="1"/>
      <c r="B81" s="16"/>
      <c r="C81" s="23"/>
      <c r="D81" s="24" t="str">
        <f aca="false">IF(B81="","",COUNTIF(Entries!$B$5:$B$2004,B81))</f>
        <v/>
      </c>
      <c r="E81" s="24" t="str">
        <f aca="false">IF(B81="","",ROUNDUP(D81/Settings!$C$6,0))</f>
        <v/>
      </c>
      <c r="F81" s="24" t="str">
        <f aca="false">IF(B81="","",C81-E81)</f>
        <v/>
      </c>
      <c r="G81" s="1"/>
      <c r="H81" s="1"/>
      <c r="I81" s="1"/>
    </row>
    <row r="82" customFormat="false" ht="21.75" hidden="false" customHeight="true" outlineLevel="0" collapsed="false">
      <c r="A82" s="1"/>
      <c r="B82" s="16"/>
      <c r="C82" s="23"/>
      <c r="D82" s="24" t="str">
        <f aca="false">IF(B82="","",COUNTIF(Entries!$B$5:$B$2004,B82))</f>
        <v/>
      </c>
      <c r="E82" s="24" t="str">
        <f aca="false">IF(B82="","",ROUNDUP(D82/Settings!$C$6,0))</f>
        <v/>
      </c>
      <c r="F82" s="24" t="str">
        <f aca="false">IF(B82="","",C82-E82)</f>
        <v/>
      </c>
      <c r="G82" s="1"/>
      <c r="H82" s="1"/>
      <c r="I82" s="1"/>
    </row>
    <row r="83" customFormat="false" ht="21.75" hidden="false" customHeight="true" outlineLevel="0" collapsed="false">
      <c r="A83" s="1"/>
      <c r="B83" s="16"/>
      <c r="C83" s="23"/>
      <c r="D83" s="24" t="str">
        <f aca="false">IF(B83="","",COUNTIF(Entries!$B$5:$B$2004,B83))</f>
        <v/>
      </c>
      <c r="E83" s="24" t="str">
        <f aca="false">IF(B83="","",ROUNDUP(D83/Settings!$C$6,0))</f>
        <v/>
      </c>
      <c r="F83" s="24" t="str">
        <f aca="false">IF(B83="","",C83-E83)</f>
        <v/>
      </c>
      <c r="G83" s="1"/>
      <c r="H83" s="1"/>
      <c r="I83" s="1"/>
    </row>
    <row r="84" customFormat="false" ht="21.75" hidden="false" customHeight="true" outlineLevel="0" collapsed="false">
      <c r="A84" s="1"/>
      <c r="B84" s="16"/>
      <c r="C84" s="23"/>
      <c r="D84" s="24" t="str">
        <f aca="false">IF(B84="","",COUNTIF(Entries!$B$5:$B$2004,B84))</f>
        <v/>
      </c>
      <c r="E84" s="24" t="str">
        <f aca="false">IF(B84="","",ROUNDUP(D84/Settings!$C$6,0))</f>
        <v/>
      </c>
      <c r="F84" s="24" t="str">
        <f aca="false">IF(B84="","",C84-E84)</f>
        <v/>
      </c>
      <c r="G84" s="1"/>
      <c r="H84" s="1"/>
      <c r="I84" s="1"/>
    </row>
    <row r="85" customFormat="false" ht="21.75" hidden="false" customHeight="true" outlineLevel="0" collapsed="false">
      <c r="A85" s="1"/>
      <c r="B85" s="16"/>
      <c r="C85" s="23"/>
      <c r="D85" s="24" t="str">
        <f aca="false">IF(B85="","",COUNTIF(Entries!$B$5:$B$2004,B85))</f>
        <v/>
      </c>
      <c r="E85" s="24" t="str">
        <f aca="false">IF(B85="","",ROUNDUP(D85/Settings!$C$6,0))</f>
        <v/>
      </c>
      <c r="F85" s="24" t="str">
        <f aca="false">IF(B85="","",C85-E85)</f>
        <v/>
      </c>
      <c r="G85" s="1"/>
      <c r="H85" s="1"/>
      <c r="I85" s="1"/>
    </row>
    <row r="86" customFormat="false" ht="21.75" hidden="false" customHeight="true" outlineLevel="0" collapsed="false">
      <c r="A86" s="1"/>
      <c r="B86" s="16"/>
      <c r="C86" s="23"/>
      <c r="D86" s="24" t="str">
        <f aca="false">IF(B86="","",COUNTIF(Entries!$B$5:$B$2004,B86))</f>
        <v/>
      </c>
      <c r="E86" s="24" t="str">
        <f aca="false">IF(B86="","",ROUNDUP(D86/Settings!$C$6,0))</f>
        <v/>
      </c>
      <c r="F86" s="24" t="str">
        <f aca="false">IF(B86="","",C86-E86)</f>
        <v/>
      </c>
      <c r="G86" s="1"/>
      <c r="H86" s="1"/>
      <c r="I86" s="1"/>
    </row>
    <row r="87" customFormat="false" ht="21.75" hidden="false" customHeight="true" outlineLevel="0" collapsed="false">
      <c r="A87" s="1"/>
      <c r="B87" s="16"/>
      <c r="C87" s="23"/>
      <c r="D87" s="24" t="str">
        <f aca="false">IF(B87="","",COUNTIF(Entries!$B$5:$B$2004,B87))</f>
        <v/>
      </c>
      <c r="E87" s="24" t="str">
        <f aca="false">IF(B87="","",ROUNDUP(D87/Settings!$C$6,0))</f>
        <v/>
      </c>
      <c r="F87" s="24" t="str">
        <f aca="false">IF(B87="","",C87-E87)</f>
        <v/>
      </c>
      <c r="G87" s="1"/>
      <c r="H87" s="1"/>
      <c r="I87" s="1"/>
    </row>
    <row r="88" customFormat="false" ht="21.75" hidden="false" customHeight="true" outlineLevel="0" collapsed="false">
      <c r="A88" s="1"/>
      <c r="B88" s="16"/>
      <c r="C88" s="23"/>
      <c r="D88" s="24" t="str">
        <f aca="false">IF(B88="","",COUNTIF(Entries!$B$5:$B$2004,B88))</f>
        <v/>
      </c>
      <c r="E88" s="24" t="str">
        <f aca="false">IF(B88="","",ROUNDUP(D88/Settings!$C$6,0))</f>
        <v/>
      </c>
      <c r="F88" s="24" t="str">
        <f aca="false">IF(B88="","",C88-E88)</f>
        <v/>
      </c>
      <c r="G88" s="1"/>
      <c r="H88" s="1"/>
      <c r="I88" s="1"/>
    </row>
    <row r="89" customFormat="false" ht="21.75" hidden="false" customHeight="true" outlineLevel="0" collapsed="false">
      <c r="A89" s="1"/>
      <c r="B89" s="16"/>
      <c r="C89" s="23"/>
      <c r="D89" s="24" t="str">
        <f aca="false">IF(B89="","",COUNTIF(Entries!$B$5:$B$2004,B89))</f>
        <v/>
      </c>
      <c r="E89" s="24" t="str">
        <f aca="false">IF(B89="","",ROUNDUP(D89/Settings!$C$6,0))</f>
        <v/>
      </c>
      <c r="F89" s="24" t="str">
        <f aca="false">IF(B89="","",C89-E89)</f>
        <v/>
      </c>
      <c r="G89" s="1"/>
      <c r="H89" s="1"/>
      <c r="I89" s="1"/>
    </row>
    <row r="90" customFormat="false" ht="21.75" hidden="false" customHeight="true" outlineLevel="0" collapsed="false">
      <c r="A90" s="1"/>
      <c r="B90" s="16"/>
      <c r="C90" s="23"/>
      <c r="D90" s="24" t="str">
        <f aca="false">IF(B90="","",COUNTIF(Entries!$B$5:$B$2004,B90))</f>
        <v/>
      </c>
      <c r="E90" s="24" t="str">
        <f aca="false">IF(B90="","",ROUNDUP(D90/Settings!$C$6,0))</f>
        <v/>
      </c>
      <c r="F90" s="24" t="str">
        <f aca="false">IF(B90="","",C90-E90)</f>
        <v/>
      </c>
      <c r="G90" s="1"/>
      <c r="H90" s="1"/>
      <c r="I90" s="1"/>
    </row>
    <row r="91" customFormat="false" ht="21.75" hidden="false" customHeight="true" outlineLevel="0" collapsed="false">
      <c r="A91" s="1"/>
      <c r="B91" s="16"/>
      <c r="C91" s="23"/>
      <c r="D91" s="24" t="str">
        <f aca="false">IF(B91="","",COUNTIF(Entries!$B$5:$B$2004,B91))</f>
        <v/>
      </c>
      <c r="E91" s="24" t="str">
        <f aca="false">IF(B91="","",ROUNDUP(D91/Settings!$C$6,0))</f>
        <v/>
      </c>
      <c r="F91" s="24" t="str">
        <f aca="false">IF(B91="","",C91-E91)</f>
        <v/>
      </c>
      <c r="G91" s="1"/>
      <c r="H91" s="1"/>
      <c r="I91" s="1"/>
    </row>
    <row r="92" customFormat="false" ht="21.75" hidden="false" customHeight="true" outlineLevel="0" collapsed="false">
      <c r="A92" s="1"/>
      <c r="B92" s="16"/>
      <c r="C92" s="23"/>
      <c r="D92" s="24" t="str">
        <f aca="false">IF(B92="","",COUNTIF(Entries!$B$5:$B$2004,B92))</f>
        <v/>
      </c>
      <c r="E92" s="24" t="str">
        <f aca="false">IF(B92="","",ROUNDUP(D92/Settings!$C$6,0))</f>
        <v/>
      </c>
      <c r="F92" s="24" t="str">
        <f aca="false">IF(B92="","",C92-E92)</f>
        <v/>
      </c>
      <c r="G92" s="1"/>
      <c r="H92" s="1"/>
      <c r="I92" s="1"/>
    </row>
    <row r="93" customFormat="false" ht="21.75" hidden="false" customHeight="true" outlineLevel="0" collapsed="false">
      <c r="A93" s="1"/>
      <c r="B93" s="16"/>
      <c r="C93" s="23"/>
      <c r="D93" s="24" t="str">
        <f aca="false">IF(B93="","",COUNTIF(Entries!$B$5:$B$2004,B93))</f>
        <v/>
      </c>
      <c r="E93" s="24" t="str">
        <f aca="false">IF(B93="","",ROUNDUP(D93/Settings!$C$6,0))</f>
        <v/>
      </c>
      <c r="F93" s="24" t="str">
        <f aca="false">IF(B93="","",C93-E93)</f>
        <v/>
      </c>
      <c r="G93" s="1"/>
      <c r="H93" s="1"/>
      <c r="I93" s="1"/>
    </row>
    <row r="94" customFormat="false" ht="21.75" hidden="false" customHeight="true" outlineLevel="0" collapsed="false">
      <c r="A94" s="1"/>
      <c r="B94" s="16"/>
      <c r="C94" s="23"/>
      <c r="D94" s="24" t="str">
        <f aca="false">IF(B94="","",COUNTIF(Entries!$B$5:$B$2004,B94))</f>
        <v/>
      </c>
      <c r="E94" s="24" t="str">
        <f aca="false">IF(B94="","",ROUNDUP(D94/Settings!$C$6,0))</f>
        <v/>
      </c>
      <c r="F94" s="24" t="str">
        <f aca="false">IF(B94="","",C94-E94)</f>
        <v/>
      </c>
      <c r="G94" s="1"/>
      <c r="H94" s="1"/>
      <c r="I94" s="1"/>
    </row>
    <row r="95" customFormat="false" ht="21.75" hidden="false" customHeight="true" outlineLevel="0" collapsed="false">
      <c r="A95" s="1"/>
      <c r="B95" s="16"/>
      <c r="C95" s="23"/>
      <c r="D95" s="24" t="str">
        <f aca="false">IF(B95="","",COUNTIF(Entries!$B$5:$B$2004,B95))</f>
        <v/>
      </c>
      <c r="E95" s="24" t="str">
        <f aca="false">IF(B95="","",ROUNDUP(D95/Settings!$C$6,0))</f>
        <v/>
      </c>
      <c r="F95" s="24" t="str">
        <f aca="false">IF(B95="","",C95-E95)</f>
        <v/>
      </c>
      <c r="G95" s="1"/>
      <c r="H95" s="1"/>
      <c r="I95" s="1"/>
    </row>
    <row r="96" customFormat="false" ht="21.75" hidden="false" customHeight="true" outlineLevel="0" collapsed="false">
      <c r="A96" s="1"/>
      <c r="B96" s="16"/>
      <c r="C96" s="23"/>
      <c r="D96" s="24" t="str">
        <f aca="false">IF(B96="","",COUNTIF(Entries!$B$5:$B$2004,B96))</f>
        <v/>
      </c>
      <c r="E96" s="24" t="str">
        <f aca="false">IF(B96="","",ROUNDUP(D96/Settings!$C$6,0))</f>
        <v/>
      </c>
      <c r="F96" s="24" t="str">
        <f aca="false">IF(B96="","",C96-E96)</f>
        <v/>
      </c>
      <c r="G96" s="1"/>
      <c r="H96" s="1"/>
      <c r="I96" s="1"/>
    </row>
    <row r="97" customFormat="false" ht="21.75" hidden="false" customHeight="true" outlineLevel="0" collapsed="false">
      <c r="A97" s="1"/>
      <c r="B97" s="16"/>
      <c r="C97" s="23"/>
      <c r="D97" s="24" t="str">
        <f aca="false">IF(B97="","",COUNTIF(Entries!$B$5:$B$2004,B97))</f>
        <v/>
      </c>
      <c r="E97" s="24" t="str">
        <f aca="false">IF(B97="","",ROUNDUP(D97/Settings!$C$6,0))</f>
        <v/>
      </c>
      <c r="F97" s="24" t="str">
        <f aca="false">IF(B97="","",C97-E97)</f>
        <v/>
      </c>
      <c r="G97" s="1"/>
      <c r="H97" s="1"/>
      <c r="I97" s="1"/>
    </row>
    <row r="98" customFormat="false" ht="21.75" hidden="false" customHeight="true" outlineLevel="0" collapsed="false">
      <c r="A98" s="1"/>
      <c r="B98" s="16"/>
      <c r="C98" s="23"/>
      <c r="D98" s="24" t="str">
        <f aca="false">IF(B98="","",COUNTIF(Entries!$B$5:$B$2004,B98))</f>
        <v/>
      </c>
      <c r="E98" s="24" t="str">
        <f aca="false">IF(B98="","",ROUNDUP(D98/Settings!$C$6,0))</f>
        <v/>
      </c>
      <c r="F98" s="24" t="str">
        <f aca="false">IF(B98="","",C98-E98)</f>
        <v/>
      </c>
      <c r="G98" s="1"/>
      <c r="H98" s="1"/>
      <c r="I98" s="1"/>
    </row>
    <row r="99" customFormat="false" ht="21.75" hidden="false" customHeight="true" outlineLevel="0" collapsed="false">
      <c r="A99" s="1"/>
      <c r="B99" s="16"/>
      <c r="C99" s="23"/>
      <c r="D99" s="24" t="str">
        <f aca="false">IF(B99="","",COUNTIF(Entries!$B$5:$B$2004,B99))</f>
        <v/>
      </c>
      <c r="E99" s="24" t="str">
        <f aca="false">IF(B99="","",ROUNDUP(D99/Settings!$C$6,0))</f>
        <v/>
      </c>
      <c r="F99" s="24" t="str">
        <f aca="false">IF(B99="","",C99-E99)</f>
        <v/>
      </c>
      <c r="G99" s="1"/>
      <c r="H99" s="1"/>
      <c r="I99" s="1"/>
    </row>
    <row r="100" customFormat="false" ht="21.75" hidden="false" customHeight="true" outlineLevel="0" collapsed="false">
      <c r="A100" s="1"/>
      <c r="B100" s="16"/>
      <c r="C100" s="23"/>
      <c r="D100" s="24" t="str">
        <f aca="false">IF(B100="","",COUNTIF(Entries!$B$5:$B$2004,B100))</f>
        <v/>
      </c>
      <c r="E100" s="24" t="str">
        <f aca="false">IF(B100="","",ROUNDUP(D100/Settings!$C$6,0))</f>
        <v/>
      </c>
      <c r="F100" s="24" t="str">
        <f aca="false">IF(B100="","",C100-E100)</f>
        <v/>
      </c>
      <c r="G100" s="1"/>
      <c r="H100" s="1"/>
      <c r="I100" s="1"/>
    </row>
    <row r="101" customFormat="false" ht="21.75" hidden="false" customHeight="true" outlineLevel="0" collapsed="false">
      <c r="A101" s="1"/>
      <c r="B101" s="16"/>
      <c r="C101" s="23"/>
      <c r="D101" s="24" t="str">
        <f aca="false">IF(B101="","",COUNTIF(Entries!$B$5:$B$2004,B101))</f>
        <v/>
      </c>
      <c r="E101" s="24" t="str">
        <f aca="false">IF(B101="","",ROUNDUP(D101/Settings!$C$6,0))</f>
        <v/>
      </c>
      <c r="F101" s="24" t="str">
        <f aca="false">IF(B101="","",C101-E101)</f>
        <v/>
      </c>
      <c r="G101" s="1"/>
      <c r="H101" s="1"/>
      <c r="I101" s="1"/>
    </row>
    <row r="102" customFormat="false" ht="21.75" hidden="false" customHeight="true" outlineLevel="0" collapsed="false">
      <c r="A102" s="1"/>
      <c r="B102" s="16"/>
      <c r="C102" s="23"/>
      <c r="D102" s="24" t="str">
        <f aca="false">IF(B102="","",COUNTIF(Entries!$B$5:$B$2004,B102))</f>
        <v/>
      </c>
      <c r="E102" s="24" t="str">
        <f aca="false">IF(B102="","",ROUNDUP(D102/Settings!$C$6,0))</f>
        <v/>
      </c>
      <c r="F102" s="24" t="str">
        <f aca="false">IF(B102="","",C102-E102)</f>
        <v/>
      </c>
      <c r="G102" s="1"/>
      <c r="H102" s="1"/>
      <c r="I102" s="1"/>
    </row>
    <row r="103" customFormat="false" ht="21.75" hidden="false" customHeight="true" outlineLevel="0" collapsed="false">
      <c r="A103" s="1"/>
      <c r="B103" s="16"/>
      <c r="C103" s="23"/>
      <c r="D103" s="24" t="str">
        <f aca="false">IF(B103="","",COUNTIF(Entries!$B$5:$B$2004,B103))</f>
        <v/>
      </c>
      <c r="E103" s="24" t="str">
        <f aca="false">IF(B103="","",ROUNDUP(D103/Settings!$C$6,0))</f>
        <v/>
      </c>
      <c r="F103" s="24" t="str">
        <f aca="false">IF(B103="","",C103-E103)</f>
        <v/>
      </c>
      <c r="G103" s="1"/>
      <c r="H103" s="1"/>
      <c r="I103" s="1"/>
    </row>
    <row r="104" customFormat="false" ht="21.75" hidden="false" customHeight="true" outlineLevel="0" collapsed="false">
      <c r="A104" s="1"/>
      <c r="B104" s="16"/>
      <c r="C104" s="23"/>
      <c r="D104" s="24" t="str">
        <f aca="false">IF(B104="","",COUNTIF(Entries!$B$5:$B$2004,B104))</f>
        <v/>
      </c>
      <c r="E104" s="24" t="str">
        <f aca="false">IF(B104="","",ROUNDUP(D104/Settings!$C$6,0))</f>
        <v/>
      </c>
      <c r="F104" s="24" t="str">
        <f aca="false">IF(B104="","",C104-E104)</f>
        <v/>
      </c>
      <c r="G104" s="1"/>
      <c r="H104" s="1"/>
      <c r="I104" s="1"/>
    </row>
    <row r="105" customFormat="false" ht="21.75" hidden="false" customHeight="true" outlineLevel="0" collapsed="false">
      <c r="A105" s="1"/>
      <c r="B105" s="16"/>
      <c r="C105" s="23"/>
      <c r="D105" s="24" t="str">
        <f aca="false">IF(B105="","",COUNTIF(Entries!$B$5:$B$2004,B105))</f>
        <v/>
      </c>
      <c r="E105" s="24" t="str">
        <f aca="false">IF(B105="","",ROUNDUP(D105/Settings!$C$6,0))</f>
        <v/>
      </c>
      <c r="F105" s="24" t="str">
        <f aca="false">IF(B105="","",C105-E105)</f>
        <v/>
      </c>
      <c r="G105" s="1"/>
      <c r="H105" s="1"/>
      <c r="I105" s="1"/>
    </row>
    <row r="106" customFormat="false" ht="21.75" hidden="false" customHeight="true" outlineLevel="0" collapsed="false">
      <c r="A106" s="1"/>
      <c r="B106" s="16"/>
      <c r="C106" s="23"/>
      <c r="D106" s="24" t="str">
        <f aca="false">IF(B106="","",COUNTIF(Entries!$B$5:$B$2004,B106))</f>
        <v/>
      </c>
      <c r="E106" s="24" t="str">
        <f aca="false">IF(B106="","",ROUNDUP(D106/Settings!$C$6,0))</f>
        <v/>
      </c>
      <c r="F106" s="24" t="str">
        <f aca="false">IF(B106="","",C106-E106)</f>
        <v/>
      </c>
      <c r="G106" s="1"/>
      <c r="H106" s="1"/>
      <c r="I106" s="1"/>
    </row>
    <row r="107" customFormat="false" ht="21.75" hidden="false" customHeight="true" outlineLevel="0" collapsed="false">
      <c r="A107" s="1"/>
      <c r="B107" s="16"/>
      <c r="C107" s="23"/>
      <c r="D107" s="24" t="str">
        <f aca="false">IF(B107="","",COUNTIF(Entries!$B$5:$B$2004,B107))</f>
        <v/>
      </c>
      <c r="E107" s="24" t="str">
        <f aca="false">IF(B107="","",ROUNDUP(D107/Settings!$C$6,0))</f>
        <v/>
      </c>
      <c r="F107" s="24" t="str">
        <f aca="false">IF(B107="","",C107-E107)</f>
        <v/>
      </c>
      <c r="G107" s="1"/>
      <c r="H107" s="1"/>
      <c r="I107" s="1"/>
    </row>
    <row r="108" customFormat="false" ht="21.75" hidden="false" customHeight="true" outlineLevel="0" collapsed="false">
      <c r="A108" s="1"/>
      <c r="B108" s="16"/>
      <c r="C108" s="23"/>
      <c r="D108" s="24" t="str">
        <f aca="false">IF(B108="","",COUNTIF(Entries!$B$5:$B$2004,B108))</f>
        <v/>
      </c>
      <c r="E108" s="24" t="str">
        <f aca="false">IF(B108="","",ROUNDUP(D108/Settings!$C$6,0))</f>
        <v/>
      </c>
      <c r="F108" s="24" t="str">
        <f aca="false">IF(B108="","",C108-E108)</f>
        <v/>
      </c>
      <c r="G108" s="1"/>
      <c r="H108" s="1"/>
      <c r="I108" s="1"/>
    </row>
    <row r="109" customFormat="false" ht="21.75" hidden="false" customHeight="true" outlineLevel="0" collapsed="false">
      <c r="A109" s="1"/>
      <c r="B109" s="16"/>
      <c r="C109" s="23"/>
      <c r="D109" s="24" t="str">
        <f aca="false">IF(B109="","",COUNTIF(Entries!$B$5:$B$2004,B109))</f>
        <v/>
      </c>
      <c r="E109" s="24" t="str">
        <f aca="false">IF(B109="","",ROUNDUP(D109/Settings!$C$6,0))</f>
        <v/>
      </c>
      <c r="F109" s="24" t="str">
        <f aca="false">IF(B109="","",C109-E109)</f>
        <v/>
      </c>
      <c r="G109" s="1"/>
      <c r="H109" s="1"/>
      <c r="I109" s="1"/>
    </row>
    <row r="110" customFormat="false" ht="21.75" hidden="false" customHeight="true" outlineLevel="0" collapsed="false">
      <c r="A110" s="1"/>
      <c r="B110" s="16"/>
      <c r="C110" s="23"/>
      <c r="D110" s="24" t="str">
        <f aca="false">IF(B110="","",COUNTIF(Entries!$B$5:$B$2004,B110))</f>
        <v/>
      </c>
      <c r="E110" s="24" t="str">
        <f aca="false">IF(B110="","",ROUNDUP(D110/Settings!$C$6,0))</f>
        <v/>
      </c>
      <c r="F110" s="24" t="str">
        <f aca="false">IF(B110="","",C110-E110)</f>
        <v/>
      </c>
      <c r="G110" s="1"/>
      <c r="H110" s="1"/>
      <c r="I110" s="1"/>
    </row>
    <row r="111" customFormat="false" ht="21.75" hidden="false" customHeight="true" outlineLevel="0" collapsed="false">
      <c r="A111" s="1"/>
      <c r="B111" s="16"/>
      <c r="C111" s="23"/>
      <c r="D111" s="24" t="str">
        <f aca="false">IF(B111="","",COUNTIF(Entries!$B$5:$B$2004,B111))</f>
        <v/>
      </c>
      <c r="E111" s="24" t="str">
        <f aca="false">IF(B111="","",ROUNDUP(D111/Settings!$C$6,0))</f>
        <v/>
      </c>
      <c r="F111" s="24" t="str">
        <f aca="false">IF(B111="","",C111-E111)</f>
        <v/>
      </c>
      <c r="G111" s="1"/>
      <c r="H111" s="1"/>
      <c r="I111" s="1"/>
    </row>
    <row r="112" customFormat="false" ht="21.75" hidden="false" customHeight="true" outlineLevel="0" collapsed="false">
      <c r="A112" s="1"/>
      <c r="B112" s="16"/>
      <c r="C112" s="23"/>
      <c r="D112" s="24" t="str">
        <f aca="false">IF(B112="","",COUNTIF(Entries!$B$5:$B$2004,B112))</f>
        <v/>
      </c>
      <c r="E112" s="24" t="str">
        <f aca="false">IF(B112="","",ROUNDUP(D112/Settings!$C$6,0))</f>
        <v/>
      </c>
      <c r="F112" s="24" t="str">
        <f aca="false">IF(B112="","",C112-E112)</f>
        <v/>
      </c>
      <c r="G112" s="1"/>
      <c r="H112" s="1"/>
      <c r="I112" s="1"/>
    </row>
    <row r="113" customFormat="false" ht="21.75" hidden="false" customHeight="true" outlineLevel="0" collapsed="false">
      <c r="A113" s="1"/>
      <c r="B113" s="16"/>
      <c r="C113" s="23"/>
      <c r="D113" s="24" t="str">
        <f aca="false">IF(B113="","",COUNTIF(Entries!$B$5:$B$2004,B113))</f>
        <v/>
      </c>
      <c r="E113" s="24" t="str">
        <f aca="false">IF(B113="","",ROUNDUP(D113/Settings!$C$6,0))</f>
        <v/>
      </c>
      <c r="F113" s="24" t="str">
        <f aca="false">IF(B113="","",C113-E113)</f>
        <v/>
      </c>
      <c r="G113" s="1"/>
      <c r="H113" s="1"/>
      <c r="I113" s="1"/>
    </row>
    <row r="114" customFormat="false" ht="21.75" hidden="false" customHeight="true" outlineLevel="0" collapsed="false">
      <c r="A114" s="1"/>
      <c r="B114" s="16"/>
      <c r="C114" s="23"/>
      <c r="D114" s="24" t="str">
        <f aca="false">IF(B114="","",COUNTIF(Entries!$B$5:$B$2004,B114))</f>
        <v/>
      </c>
      <c r="E114" s="24" t="str">
        <f aca="false">IF(B114="","",ROUNDUP(D114/Settings!$C$6,0))</f>
        <v/>
      </c>
      <c r="F114" s="24" t="str">
        <f aca="false">IF(B114="","",C114-E114)</f>
        <v/>
      </c>
      <c r="G114" s="1"/>
      <c r="H114" s="1"/>
      <c r="I114" s="1"/>
    </row>
    <row r="115" customFormat="false" ht="21.75" hidden="false" customHeight="true" outlineLevel="0" collapsed="false">
      <c r="A115" s="1"/>
      <c r="B115" s="16"/>
      <c r="C115" s="23"/>
      <c r="D115" s="24" t="str">
        <f aca="false">IF(B115="","",COUNTIF(Entries!$B$5:$B$2004,B115))</f>
        <v/>
      </c>
      <c r="E115" s="24" t="str">
        <f aca="false">IF(B115="","",ROUNDUP(D115/Settings!$C$6,0))</f>
        <v/>
      </c>
      <c r="F115" s="24" t="str">
        <f aca="false">IF(B115="","",C115-E115)</f>
        <v/>
      </c>
      <c r="G115" s="1"/>
      <c r="H115" s="1"/>
      <c r="I115" s="1"/>
    </row>
    <row r="116" customFormat="false" ht="21.75" hidden="false" customHeight="true" outlineLevel="0" collapsed="false">
      <c r="A116" s="1"/>
      <c r="B116" s="16"/>
      <c r="C116" s="23"/>
      <c r="D116" s="24" t="str">
        <f aca="false">IF(B116="","",COUNTIF(Entries!$B$5:$B$2004,B116))</f>
        <v/>
      </c>
      <c r="E116" s="24" t="str">
        <f aca="false">IF(B116="","",ROUNDUP(D116/Settings!$C$6,0))</f>
        <v/>
      </c>
      <c r="F116" s="24" t="str">
        <f aca="false">IF(B116="","",C116-E116)</f>
        <v/>
      </c>
      <c r="G116" s="1"/>
      <c r="H116" s="1"/>
      <c r="I116" s="1"/>
    </row>
    <row r="117" customFormat="false" ht="21.75" hidden="false" customHeight="true" outlineLevel="0" collapsed="false">
      <c r="A117" s="1"/>
      <c r="B117" s="16"/>
      <c r="C117" s="23"/>
      <c r="D117" s="24" t="str">
        <f aca="false">IF(B117="","",COUNTIF(Entries!$B$5:$B$2004,B117))</f>
        <v/>
      </c>
      <c r="E117" s="24" t="str">
        <f aca="false">IF(B117="","",ROUNDUP(D117/Settings!$C$6,0))</f>
        <v/>
      </c>
      <c r="F117" s="24" t="str">
        <f aca="false">IF(B117="","",C117-E117)</f>
        <v/>
      </c>
      <c r="G117" s="1"/>
      <c r="H117" s="1"/>
      <c r="I117" s="1"/>
    </row>
    <row r="118" customFormat="false" ht="21.75" hidden="false" customHeight="true" outlineLevel="0" collapsed="false">
      <c r="A118" s="1"/>
      <c r="B118" s="16"/>
      <c r="C118" s="23"/>
      <c r="D118" s="24" t="str">
        <f aca="false">IF(B118="","",COUNTIF(Entries!$B$5:$B$2004,B118))</f>
        <v/>
      </c>
      <c r="E118" s="24" t="str">
        <f aca="false">IF(B118="","",ROUNDUP(D118/Settings!$C$6,0))</f>
        <v/>
      </c>
      <c r="F118" s="24" t="str">
        <f aca="false">IF(B118="","",C118-E118)</f>
        <v/>
      </c>
      <c r="G118" s="1"/>
      <c r="H118" s="1"/>
      <c r="I118" s="1"/>
    </row>
    <row r="119" customFormat="false" ht="21.75" hidden="false" customHeight="true" outlineLevel="0" collapsed="false">
      <c r="A119" s="1"/>
      <c r="B119" s="16"/>
      <c r="C119" s="23"/>
      <c r="D119" s="24" t="str">
        <f aca="false">IF(B119="","",COUNTIF(Entries!$B$5:$B$2004,B119))</f>
        <v/>
      </c>
      <c r="E119" s="24" t="str">
        <f aca="false">IF(B119="","",ROUNDUP(D119/Settings!$C$6,0))</f>
        <v/>
      </c>
      <c r="F119" s="24" t="str">
        <f aca="false">IF(B119="","",C119-E119)</f>
        <v/>
      </c>
      <c r="G119" s="1"/>
      <c r="H119" s="1"/>
      <c r="I119" s="1"/>
    </row>
    <row r="120" customFormat="false" ht="21.75" hidden="false" customHeight="true" outlineLevel="0" collapsed="false">
      <c r="A120" s="1"/>
      <c r="B120" s="16"/>
      <c r="C120" s="23"/>
      <c r="D120" s="24" t="str">
        <f aca="false">IF(B120="","",COUNTIF(Entries!$B$5:$B$2004,B120))</f>
        <v/>
      </c>
      <c r="E120" s="24" t="str">
        <f aca="false">IF(B120="","",ROUNDUP(D120/Settings!$C$6,0))</f>
        <v/>
      </c>
      <c r="F120" s="24" t="str">
        <f aca="false">IF(B120="","",C120-E120)</f>
        <v/>
      </c>
      <c r="G120" s="1"/>
      <c r="H120" s="1"/>
      <c r="I120" s="1"/>
    </row>
    <row r="121" customFormat="false" ht="21.75" hidden="false" customHeight="true" outlineLevel="0" collapsed="false">
      <c r="A121" s="1"/>
      <c r="B121" s="16"/>
      <c r="C121" s="23"/>
      <c r="D121" s="24" t="str">
        <f aca="false">IF(B121="","",COUNTIF(Entries!$B$5:$B$2004,B121))</f>
        <v/>
      </c>
      <c r="E121" s="24" t="str">
        <f aca="false">IF(B121="","",ROUNDUP(D121/Settings!$C$6,0))</f>
        <v/>
      </c>
      <c r="F121" s="24" t="str">
        <f aca="false">IF(B121="","",C121-E121)</f>
        <v/>
      </c>
      <c r="G121" s="1"/>
      <c r="H121" s="1"/>
      <c r="I121" s="1"/>
    </row>
    <row r="122" customFormat="false" ht="21.75" hidden="false" customHeight="true" outlineLevel="0" collapsed="false">
      <c r="A122" s="1"/>
      <c r="B122" s="16"/>
      <c r="C122" s="23"/>
      <c r="D122" s="24" t="str">
        <f aca="false">IF(B122="","",COUNTIF(Entries!$B$5:$B$2004,B122))</f>
        <v/>
      </c>
      <c r="E122" s="24" t="str">
        <f aca="false">IF(B122="","",ROUNDUP(D122/Settings!$C$6,0))</f>
        <v/>
      </c>
      <c r="F122" s="24" t="str">
        <f aca="false">IF(B122="","",C122-E122)</f>
        <v/>
      </c>
      <c r="G122" s="1"/>
      <c r="H122" s="1"/>
      <c r="I122" s="1"/>
    </row>
    <row r="123" customFormat="false" ht="21.75" hidden="false" customHeight="true" outlineLevel="0" collapsed="false">
      <c r="A123" s="1"/>
      <c r="B123" s="16"/>
      <c r="C123" s="23"/>
      <c r="D123" s="24" t="str">
        <f aca="false">IF(B123="","",COUNTIF(Entries!$B$5:$B$2004,B123))</f>
        <v/>
      </c>
      <c r="E123" s="24" t="str">
        <f aca="false">IF(B123="","",ROUNDUP(D123/Settings!$C$6,0))</f>
        <v/>
      </c>
      <c r="F123" s="24" t="str">
        <f aca="false">IF(B123="","",C123-E123)</f>
        <v/>
      </c>
      <c r="G123" s="1"/>
      <c r="H123" s="1"/>
      <c r="I123" s="1"/>
    </row>
    <row r="124" customFormat="false" ht="21.75" hidden="false" customHeight="true" outlineLevel="0" collapsed="false">
      <c r="A124" s="1"/>
      <c r="B124" s="16"/>
      <c r="C124" s="23"/>
      <c r="D124" s="24" t="str">
        <f aca="false">IF(B124="","",COUNTIF(Entries!$B$5:$B$2004,B124))</f>
        <v/>
      </c>
      <c r="E124" s="24" t="str">
        <f aca="false">IF(B124="","",ROUNDUP(D124/Settings!$C$6,0))</f>
        <v/>
      </c>
      <c r="F124" s="24" t="str">
        <f aca="false">IF(B124="","",C124-E124)</f>
        <v/>
      </c>
      <c r="G124" s="1"/>
      <c r="H124" s="1"/>
      <c r="I124" s="1"/>
    </row>
    <row r="125" customFormat="false" ht="21.75" hidden="false" customHeight="true" outlineLevel="0" collapsed="false">
      <c r="A125" s="1"/>
      <c r="B125" s="16"/>
      <c r="C125" s="23"/>
      <c r="D125" s="24" t="str">
        <f aca="false">IF(B125="","",COUNTIF(Entries!$B$5:$B$2004,B125))</f>
        <v/>
      </c>
      <c r="E125" s="24" t="str">
        <f aca="false">IF(B125="","",ROUNDUP(D125/Settings!$C$6,0))</f>
        <v/>
      </c>
      <c r="F125" s="24" t="str">
        <f aca="false">IF(B125="","",C125-E125)</f>
        <v/>
      </c>
      <c r="G125" s="1"/>
      <c r="H125" s="1"/>
      <c r="I125" s="1"/>
    </row>
    <row r="126" customFormat="false" ht="21.75" hidden="false" customHeight="true" outlineLevel="0" collapsed="false">
      <c r="A126" s="1"/>
      <c r="B126" s="16"/>
      <c r="C126" s="23"/>
      <c r="D126" s="24" t="str">
        <f aca="false">IF(B126="","",COUNTIF(Entries!$B$5:$B$2004,B126))</f>
        <v/>
      </c>
      <c r="E126" s="24" t="str">
        <f aca="false">IF(B126="","",ROUNDUP(D126/Settings!$C$6,0))</f>
        <v/>
      </c>
      <c r="F126" s="24" t="str">
        <f aca="false">IF(B126="","",C126-E126)</f>
        <v/>
      </c>
      <c r="G126" s="1"/>
      <c r="H126" s="1"/>
      <c r="I126" s="1"/>
    </row>
    <row r="127" customFormat="false" ht="21.75" hidden="false" customHeight="true" outlineLevel="0" collapsed="false">
      <c r="A127" s="1"/>
      <c r="B127" s="16"/>
      <c r="C127" s="23"/>
      <c r="D127" s="24" t="str">
        <f aca="false">IF(B127="","",COUNTIF(Entries!$B$5:$B$2004,B127))</f>
        <v/>
      </c>
      <c r="E127" s="24" t="str">
        <f aca="false">IF(B127="","",ROUNDUP(D127/Settings!$C$6,0))</f>
        <v/>
      </c>
      <c r="F127" s="24" t="str">
        <f aca="false">IF(B127="","",C127-E127)</f>
        <v/>
      </c>
      <c r="G127" s="1"/>
      <c r="H127" s="1"/>
      <c r="I127" s="1"/>
    </row>
    <row r="128" customFormat="false" ht="21.75" hidden="false" customHeight="true" outlineLevel="0" collapsed="false">
      <c r="A128" s="1"/>
      <c r="B128" s="16"/>
      <c r="C128" s="23"/>
      <c r="D128" s="24" t="str">
        <f aca="false">IF(B128="","",COUNTIF(Entries!$B$5:$B$2004,B128))</f>
        <v/>
      </c>
      <c r="E128" s="24" t="str">
        <f aca="false">IF(B128="","",ROUNDUP(D128/Settings!$C$6,0))</f>
        <v/>
      </c>
      <c r="F128" s="24" t="str">
        <f aca="false">IF(B128="","",C128-E128)</f>
        <v/>
      </c>
      <c r="G128" s="1"/>
      <c r="H128" s="1"/>
      <c r="I128" s="1"/>
    </row>
    <row r="129" customFormat="false" ht="21.75" hidden="false" customHeight="true" outlineLevel="0" collapsed="false">
      <c r="A129" s="1"/>
      <c r="B129" s="16"/>
      <c r="C129" s="23"/>
      <c r="D129" s="24" t="str">
        <f aca="false">IF(B129="","",COUNTIF(Entries!$B$5:$B$2004,B129))</f>
        <v/>
      </c>
      <c r="E129" s="24" t="str">
        <f aca="false">IF(B129="","",ROUNDUP(D129/Settings!$C$6,0))</f>
        <v/>
      </c>
      <c r="F129" s="24" t="str">
        <f aca="false">IF(B129="","",C129-E129)</f>
        <v/>
      </c>
      <c r="G129" s="1"/>
      <c r="H129" s="1"/>
      <c r="I129" s="1"/>
    </row>
    <row r="130" customFormat="false" ht="21.75" hidden="false" customHeight="true" outlineLevel="0" collapsed="false">
      <c r="A130" s="1"/>
      <c r="B130" s="16"/>
      <c r="C130" s="23"/>
      <c r="D130" s="24" t="str">
        <f aca="false">IF(B130="","",COUNTIF(Entries!$B$5:$B$2004,B130))</f>
        <v/>
      </c>
      <c r="E130" s="24" t="str">
        <f aca="false">IF(B130="","",ROUNDUP(D130/Settings!$C$6,0))</f>
        <v/>
      </c>
      <c r="F130" s="24" t="str">
        <f aca="false">IF(B130="","",C130-E130)</f>
        <v/>
      </c>
      <c r="G130" s="1"/>
      <c r="H130" s="1"/>
      <c r="I130" s="1"/>
    </row>
    <row r="131" customFormat="false" ht="21.75" hidden="false" customHeight="true" outlineLevel="0" collapsed="false">
      <c r="A131" s="1"/>
      <c r="B131" s="16"/>
      <c r="C131" s="23"/>
      <c r="D131" s="24" t="str">
        <f aca="false">IF(B131="","",COUNTIF(Entries!$B$5:$B$2004,B131))</f>
        <v/>
      </c>
      <c r="E131" s="24" t="str">
        <f aca="false">IF(B131="","",ROUNDUP(D131/Settings!$C$6,0))</f>
        <v/>
      </c>
      <c r="F131" s="24" t="str">
        <f aca="false">IF(B131="","",C131-E131)</f>
        <v/>
      </c>
      <c r="G131" s="1"/>
      <c r="H131" s="1"/>
      <c r="I131" s="1"/>
    </row>
    <row r="132" customFormat="false" ht="21.75" hidden="false" customHeight="true" outlineLevel="0" collapsed="false">
      <c r="A132" s="1"/>
      <c r="B132" s="16"/>
      <c r="C132" s="23"/>
      <c r="D132" s="24" t="str">
        <f aca="false">IF(B132="","",COUNTIF(Entries!$B$5:$B$2004,B132))</f>
        <v/>
      </c>
      <c r="E132" s="24" t="str">
        <f aca="false">IF(B132="","",ROUNDUP(D132/Settings!$C$6,0))</f>
        <v/>
      </c>
      <c r="F132" s="24" t="str">
        <f aca="false">IF(B132="","",C132-E132)</f>
        <v/>
      </c>
      <c r="G132" s="1"/>
      <c r="H132" s="1"/>
      <c r="I132" s="1"/>
    </row>
    <row r="133" customFormat="false" ht="21.75" hidden="false" customHeight="true" outlineLevel="0" collapsed="false">
      <c r="A133" s="1"/>
      <c r="B133" s="16"/>
      <c r="C133" s="23"/>
      <c r="D133" s="24" t="str">
        <f aca="false">IF(B133="","",COUNTIF(Entries!$B$5:$B$2004,B133))</f>
        <v/>
      </c>
      <c r="E133" s="24" t="str">
        <f aca="false">IF(B133="","",ROUNDUP(D133/Settings!$C$6,0))</f>
        <v/>
      </c>
      <c r="F133" s="24" t="str">
        <f aca="false">IF(B133="","",C133-E133)</f>
        <v/>
      </c>
      <c r="G133" s="1"/>
      <c r="H133" s="1"/>
      <c r="I133" s="1"/>
    </row>
    <row r="134" customFormat="false" ht="21.75" hidden="false" customHeight="true" outlineLevel="0" collapsed="false">
      <c r="A134" s="1"/>
      <c r="B134" s="16"/>
      <c r="C134" s="23"/>
      <c r="D134" s="24" t="str">
        <f aca="false">IF(B134="","",COUNTIF(Entries!$B$5:$B$2004,B134))</f>
        <v/>
      </c>
      <c r="E134" s="24" t="str">
        <f aca="false">IF(B134="","",ROUNDUP(D134/Settings!$C$6,0))</f>
        <v/>
      </c>
      <c r="F134" s="24" t="str">
        <f aca="false">IF(B134="","",C134-E134)</f>
        <v/>
      </c>
      <c r="G134" s="1"/>
      <c r="H134" s="1"/>
      <c r="I134" s="1"/>
    </row>
    <row r="135" customFormat="false" ht="21.75" hidden="false" customHeight="true" outlineLevel="0" collapsed="false">
      <c r="A135" s="1"/>
      <c r="B135" s="16"/>
      <c r="C135" s="23"/>
      <c r="D135" s="24" t="str">
        <f aca="false">IF(B135="","",COUNTIF(Entries!$B$5:$B$2004,B135))</f>
        <v/>
      </c>
      <c r="E135" s="24" t="str">
        <f aca="false">IF(B135="","",ROUNDUP(D135/Settings!$C$6,0))</f>
        <v/>
      </c>
      <c r="F135" s="24" t="str">
        <f aca="false">IF(B135="","",C135-E135)</f>
        <v/>
      </c>
      <c r="G135" s="1"/>
      <c r="H135" s="1"/>
      <c r="I135" s="1"/>
    </row>
    <row r="136" customFormat="false" ht="21.75" hidden="false" customHeight="true" outlineLevel="0" collapsed="false">
      <c r="A136" s="1"/>
      <c r="B136" s="16"/>
      <c r="C136" s="23"/>
      <c r="D136" s="24" t="str">
        <f aca="false">IF(B136="","",COUNTIF(Entries!$B$5:$B$2004,B136))</f>
        <v/>
      </c>
      <c r="E136" s="24" t="str">
        <f aca="false">IF(B136="","",ROUNDUP(D136/Settings!$C$6,0))</f>
        <v/>
      </c>
      <c r="F136" s="24" t="str">
        <f aca="false">IF(B136="","",C136-E136)</f>
        <v/>
      </c>
      <c r="G136" s="1"/>
      <c r="H136" s="1"/>
      <c r="I136" s="1"/>
    </row>
    <row r="137" customFormat="false" ht="21.75" hidden="false" customHeight="true" outlineLevel="0" collapsed="false">
      <c r="A137" s="1"/>
      <c r="B137" s="16"/>
      <c r="C137" s="23"/>
      <c r="D137" s="24" t="str">
        <f aca="false">IF(B137="","",COUNTIF(Entries!$B$5:$B$2004,B137))</f>
        <v/>
      </c>
      <c r="E137" s="24" t="str">
        <f aca="false">IF(B137="","",ROUNDUP(D137/Settings!$C$6,0))</f>
        <v/>
      </c>
      <c r="F137" s="24" t="str">
        <f aca="false">IF(B137="","",C137-E137)</f>
        <v/>
      </c>
      <c r="G137" s="1"/>
      <c r="H137" s="1"/>
      <c r="I137" s="1"/>
    </row>
    <row r="138" customFormat="false" ht="21.75" hidden="false" customHeight="true" outlineLevel="0" collapsed="false">
      <c r="A138" s="1"/>
      <c r="B138" s="16"/>
      <c r="C138" s="23"/>
      <c r="D138" s="24" t="str">
        <f aca="false">IF(B138="","",COUNTIF(Entries!$B$5:$B$2004,B138))</f>
        <v/>
      </c>
      <c r="E138" s="24" t="str">
        <f aca="false">IF(B138="","",ROUNDUP(D138/Settings!$C$6,0))</f>
        <v/>
      </c>
      <c r="F138" s="24" t="str">
        <f aca="false">IF(B138="","",C138-E138)</f>
        <v/>
      </c>
      <c r="G138" s="1"/>
      <c r="H138" s="1"/>
      <c r="I138" s="1"/>
    </row>
    <row r="139" customFormat="false" ht="21.75" hidden="false" customHeight="true" outlineLevel="0" collapsed="false">
      <c r="A139" s="1"/>
      <c r="B139" s="16"/>
      <c r="C139" s="23"/>
      <c r="D139" s="24" t="str">
        <f aca="false">IF(B139="","",COUNTIF(Entries!$B$5:$B$2004,B139))</f>
        <v/>
      </c>
      <c r="E139" s="24" t="str">
        <f aca="false">IF(B139="","",ROUNDUP(D139/Settings!$C$6,0))</f>
        <v/>
      </c>
      <c r="F139" s="24" t="str">
        <f aca="false">IF(B139="","",C139-E139)</f>
        <v/>
      </c>
      <c r="G139" s="1"/>
      <c r="H139" s="1"/>
      <c r="I139" s="1"/>
    </row>
    <row r="140" customFormat="false" ht="21.75" hidden="false" customHeight="true" outlineLevel="0" collapsed="false">
      <c r="A140" s="1"/>
      <c r="B140" s="16"/>
      <c r="C140" s="23"/>
      <c r="D140" s="24" t="str">
        <f aca="false">IF(B140="","",COUNTIF(Entries!$B$5:$B$2004,B140))</f>
        <v/>
      </c>
      <c r="E140" s="24" t="str">
        <f aca="false">IF(B140="","",ROUNDUP(D140/Settings!$C$6,0))</f>
        <v/>
      </c>
      <c r="F140" s="24" t="str">
        <f aca="false">IF(B140="","",C140-E140)</f>
        <v/>
      </c>
      <c r="G140" s="1"/>
      <c r="H140" s="1"/>
      <c r="I140" s="1"/>
    </row>
    <row r="141" customFormat="false" ht="21.75" hidden="false" customHeight="true" outlineLevel="0" collapsed="false">
      <c r="A141" s="1"/>
      <c r="B141" s="16"/>
      <c r="C141" s="23"/>
      <c r="D141" s="24" t="str">
        <f aca="false">IF(B141="","",COUNTIF(Entries!$B$5:$B$2004,B141))</f>
        <v/>
      </c>
      <c r="E141" s="24" t="str">
        <f aca="false">IF(B141="","",ROUNDUP(D141/Settings!$C$6,0))</f>
        <v/>
      </c>
      <c r="F141" s="24" t="str">
        <f aca="false">IF(B141="","",C141-E141)</f>
        <v/>
      </c>
      <c r="G141" s="1"/>
      <c r="H141" s="1"/>
      <c r="I141" s="1"/>
    </row>
    <row r="142" customFormat="false" ht="21.75" hidden="false" customHeight="true" outlineLevel="0" collapsed="false">
      <c r="A142" s="1"/>
      <c r="B142" s="16"/>
      <c r="C142" s="23"/>
      <c r="D142" s="24" t="str">
        <f aca="false">IF(B142="","",COUNTIF(Entries!$B$5:$B$2004,B142))</f>
        <v/>
      </c>
      <c r="E142" s="24" t="str">
        <f aca="false">IF(B142="","",ROUNDUP(D142/Settings!$C$6,0))</f>
        <v/>
      </c>
      <c r="F142" s="24" t="str">
        <f aca="false">IF(B142="","",C142-E142)</f>
        <v/>
      </c>
      <c r="G142" s="1"/>
      <c r="H142" s="1"/>
      <c r="I142" s="1"/>
    </row>
    <row r="143" customFormat="false" ht="21.75" hidden="false" customHeight="true" outlineLevel="0" collapsed="false">
      <c r="A143" s="1"/>
      <c r="B143" s="16"/>
      <c r="C143" s="23"/>
      <c r="D143" s="24" t="str">
        <f aca="false">IF(B143="","",COUNTIF(Entries!$B$5:$B$2004,B143))</f>
        <v/>
      </c>
      <c r="E143" s="24" t="str">
        <f aca="false">IF(B143="","",ROUNDUP(D143/Settings!$C$6,0))</f>
        <v/>
      </c>
      <c r="F143" s="24" t="str">
        <f aca="false">IF(B143="","",C143-E143)</f>
        <v/>
      </c>
      <c r="G143" s="1"/>
      <c r="H143" s="1"/>
      <c r="I143" s="1"/>
    </row>
    <row r="144" customFormat="false" ht="21.75" hidden="false" customHeight="true" outlineLevel="0" collapsed="false">
      <c r="A144" s="1"/>
      <c r="B144" s="16"/>
      <c r="C144" s="23"/>
      <c r="D144" s="24" t="str">
        <f aca="false">IF(B144="","",COUNTIF(Entries!$B$5:$B$2004,B144))</f>
        <v/>
      </c>
      <c r="E144" s="24" t="str">
        <f aca="false">IF(B144="","",ROUNDUP(D144/Settings!$C$6,0))</f>
        <v/>
      </c>
      <c r="F144" s="24" t="str">
        <f aca="false">IF(B144="","",C144-E144)</f>
        <v/>
      </c>
      <c r="G144" s="1"/>
      <c r="H144" s="1"/>
      <c r="I144" s="1"/>
    </row>
    <row r="145" customFormat="false" ht="21.75" hidden="false" customHeight="true" outlineLevel="0" collapsed="false">
      <c r="A145" s="1"/>
      <c r="B145" s="16"/>
      <c r="C145" s="23"/>
      <c r="D145" s="24" t="str">
        <f aca="false">IF(B145="","",COUNTIF(Entries!$B$5:$B$2004,B145))</f>
        <v/>
      </c>
      <c r="E145" s="24" t="str">
        <f aca="false">IF(B145="","",ROUNDUP(D145/Settings!$C$6,0))</f>
        <v/>
      </c>
      <c r="F145" s="24" t="str">
        <f aca="false">IF(B145="","",C145-E145)</f>
        <v/>
      </c>
      <c r="G145" s="1"/>
      <c r="H145" s="1"/>
      <c r="I145" s="1"/>
    </row>
    <row r="146" customFormat="false" ht="21.75" hidden="false" customHeight="true" outlineLevel="0" collapsed="false">
      <c r="A146" s="1"/>
      <c r="B146" s="16"/>
      <c r="C146" s="23"/>
      <c r="D146" s="24" t="str">
        <f aca="false">IF(B146="","",COUNTIF(Entries!$B$5:$B$2004,B146))</f>
        <v/>
      </c>
      <c r="E146" s="24" t="str">
        <f aca="false">IF(B146="","",ROUNDUP(D146/Settings!$C$6,0))</f>
        <v/>
      </c>
      <c r="F146" s="24" t="str">
        <f aca="false">IF(B146="","",C146-E146)</f>
        <v/>
      </c>
      <c r="G146" s="1"/>
      <c r="H146" s="1"/>
      <c r="I146" s="1"/>
    </row>
    <row r="147" customFormat="false" ht="21.75" hidden="false" customHeight="true" outlineLevel="0" collapsed="false">
      <c r="A147" s="1"/>
      <c r="B147" s="16"/>
      <c r="C147" s="23"/>
      <c r="D147" s="24" t="str">
        <f aca="false">IF(B147="","",COUNTIF(Entries!$B$5:$B$2004,B147))</f>
        <v/>
      </c>
      <c r="E147" s="24" t="str">
        <f aca="false">IF(B147="","",ROUNDUP(D147/Settings!$C$6,0))</f>
        <v/>
      </c>
      <c r="F147" s="24" t="str">
        <f aca="false">IF(B147="","",C147-E147)</f>
        <v/>
      </c>
      <c r="G147" s="1"/>
      <c r="H147" s="1"/>
      <c r="I147" s="1"/>
    </row>
    <row r="148" customFormat="false" ht="21.75" hidden="false" customHeight="true" outlineLevel="0" collapsed="false">
      <c r="A148" s="1"/>
      <c r="B148" s="16"/>
      <c r="C148" s="23"/>
      <c r="D148" s="24" t="str">
        <f aca="false">IF(B148="","",COUNTIF(Entries!$B$5:$B$2004,B148))</f>
        <v/>
      </c>
      <c r="E148" s="24" t="str">
        <f aca="false">IF(B148="","",ROUNDUP(D148/Settings!$C$6,0))</f>
        <v/>
      </c>
      <c r="F148" s="24" t="str">
        <f aca="false">IF(B148="","",C148-E148)</f>
        <v/>
      </c>
      <c r="G148" s="1"/>
      <c r="H148" s="1"/>
      <c r="I148" s="1"/>
    </row>
    <row r="149" customFormat="false" ht="21.75" hidden="false" customHeight="true" outlineLevel="0" collapsed="false">
      <c r="A149" s="1"/>
      <c r="B149" s="16"/>
      <c r="C149" s="23"/>
      <c r="D149" s="24" t="str">
        <f aca="false">IF(B149="","",COUNTIF(Entries!$B$5:$B$2004,B149))</f>
        <v/>
      </c>
      <c r="E149" s="24" t="str">
        <f aca="false">IF(B149="","",ROUNDUP(D149/Settings!$C$6,0))</f>
        <v/>
      </c>
      <c r="F149" s="24" t="str">
        <f aca="false">IF(B149="","",C149-E149)</f>
        <v/>
      </c>
      <c r="G149" s="1"/>
      <c r="H149" s="1"/>
      <c r="I149" s="1"/>
    </row>
    <row r="150" customFormat="false" ht="21.75" hidden="false" customHeight="true" outlineLevel="0" collapsed="false">
      <c r="A150" s="1"/>
      <c r="B150" s="16"/>
      <c r="C150" s="23"/>
      <c r="D150" s="24" t="str">
        <f aca="false">IF(B150="","",COUNTIF(Entries!$B$5:$B$2004,B150))</f>
        <v/>
      </c>
      <c r="E150" s="24" t="str">
        <f aca="false">IF(B150="","",ROUNDUP(D150/Settings!$C$6,0))</f>
        <v/>
      </c>
      <c r="F150" s="24" t="str">
        <f aca="false">IF(B150="","",C150-E150)</f>
        <v/>
      </c>
      <c r="G150" s="1"/>
      <c r="H150" s="1"/>
      <c r="I150" s="1"/>
    </row>
    <row r="151" customFormat="false" ht="21.75" hidden="false" customHeight="true" outlineLevel="0" collapsed="false">
      <c r="A151" s="1"/>
      <c r="B151" s="16"/>
      <c r="C151" s="23"/>
      <c r="D151" s="24" t="str">
        <f aca="false">IF(B151="","",COUNTIF(Entries!$B$5:$B$2004,B151))</f>
        <v/>
      </c>
      <c r="E151" s="24" t="str">
        <f aca="false">IF(B151="","",ROUNDUP(D151/Settings!$C$6,0))</f>
        <v/>
      </c>
      <c r="F151" s="24" t="str">
        <f aca="false">IF(B151="","",C151-E151)</f>
        <v/>
      </c>
      <c r="G151" s="1"/>
      <c r="H151" s="1"/>
      <c r="I151" s="1"/>
    </row>
    <row r="152" customFormat="false" ht="21.75" hidden="false" customHeight="true" outlineLevel="0" collapsed="false">
      <c r="A152" s="1"/>
      <c r="B152" s="16"/>
      <c r="C152" s="23"/>
      <c r="D152" s="24" t="str">
        <f aca="false">IF(B152="","",COUNTIF(Entries!$B$5:$B$2004,B152))</f>
        <v/>
      </c>
      <c r="E152" s="24" t="str">
        <f aca="false">IF(B152="","",ROUNDUP(D152/Settings!$C$6,0))</f>
        <v/>
      </c>
      <c r="F152" s="24" t="str">
        <f aca="false">IF(B152="","",C152-E152)</f>
        <v/>
      </c>
      <c r="G152" s="1"/>
      <c r="H152" s="1"/>
      <c r="I152" s="1"/>
    </row>
    <row r="153" customFormat="false" ht="21.75" hidden="false" customHeight="true" outlineLevel="0" collapsed="false">
      <c r="A153" s="1"/>
      <c r="B153" s="16"/>
      <c r="C153" s="23"/>
      <c r="D153" s="24" t="str">
        <f aca="false">IF(B153="","",COUNTIF(Entries!$B$5:$B$2004,B153))</f>
        <v/>
      </c>
      <c r="E153" s="24" t="str">
        <f aca="false">IF(B153="","",ROUNDUP(D153/Settings!$C$6,0))</f>
        <v/>
      </c>
      <c r="F153" s="24" t="str">
        <f aca="false">IF(B153="","",C153-E153)</f>
        <v/>
      </c>
      <c r="G153" s="1"/>
      <c r="H153" s="1"/>
      <c r="I153" s="1"/>
    </row>
    <row r="154" customFormat="false" ht="21.75" hidden="false" customHeight="true" outlineLevel="0" collapsed="false">
      <c r="A154" s="1"/>
      <c r="B154" s="16"/>
      <c r="C154" s="23"/>
      <c r="D154" s="24" t="str">
        <f aca="false">IF(B154="","",COUNTIF(Entries!$B$5:$B$2004,B154))</f>
        <v/>
      </c>
      <c r="E154" s="24" t="str">
        <f aca="false">IF(B154="","",ROUNDUP(D154/Settings!$C$6,0))</f>
        <v/>
      </c>
      <c r="F154" s="24" t="str">
        <f aca="false">IF(B154="","",C154-E154)</f>
        <v/>
      </c>
      <c r="G154" s="1"/>
      <c r="H154" s="1"/>
      <c r="I154" s="1"/>
    </row>
    <row r="155" customFormat="false" ht="21.75" hidden="false" customHeight="true" outlineLevel="0" collapsed="false">
      <c r="A155" s="1"/>
      <c r="B155" s="16"/>
      <c r="C155" s="23"/>
      <c r="D155" s="24" t="str">
        <f aca="false">IF(B155="","",COUNTIF(Entries!$B$5:$B$2004,B155))</f>
        <v/>
      </c>
      <c r="E155" s="24" t="str">
        <f aca="false">IF(B155="","",ROUNDUP(D155/Settings!$C$6,0))</f>
        <v/>
      </c>
      <c r="F155" s="24" t="str">
        <f aca="false">IF(B155="","",C155-E155)</f>
        <v/>
      </c>
      <c r="G155" s="1"/>
      <c r="H155" s="1"/>
      <c r="I155" s="1"/>
    </row>
    <row r="156" customFormat="false" ht="21.75" hidden="false" customHeight="true" outlineLevel="0" collapsed="false">
      <c r="A156" s="1"/>
      <c r="B156" s="16"/>
      <c r="C156" s="23"/>
      <c r="D156" s="24" t="str">
        <f aca="false">IF(B156="","",COUNTIF(Entries!$B$5:$B$2004,B156))</f>
        <v/>
      </c>
      <c r="E156" s="24" t="str">
        <f aca="false">IF(B156="","",ROUNDUP(D156/Settings!$C$6,0))</f>
        <v/>
      </c>
      <c r="F156" s="24" t="str">
        <f aca="false">IF(B156="","",C156-E156)</f>
        <v/>
      </c>
      <c r="G156" s="1"/>
      <c r="H156" s="1"/>
      <c r="I156" s="1"/>
    </row>
    <row r="157" customFormat="false" ht="21.75" hidden="false" customHeight="true" outlineLevel="0" collapsed="false">
      <c r="A157" s="1"/>
      <c r="B157" s="16"/>
      <c r="C157" s="23"/>
      <c r="D157" s="24" t="str">
        <f aca="false">IF(B157="","",COUNTIF(Entries!$B$5:$B$2004,B157))</f>
        <v/>
      </c>
      <c r="E157" s="24" t="str">
        <f aca="false">IF(B157="","",ROUNDUP(D157/Settings!$C$6,0))</f>
        <v/>
      </c>
      <c r="F157" s="24" t="str">
        <f aca="false">IF(B157="","",C157-E157)</f>
        <v/>
      </c>
      <c r="G157" s="1"/>
      <c r="H157" s="1"/>
      <c r="I157" s="1"/>
    </row>
    <row r="158" customFormat="false" ht="21.75" hidden="false" customHeight="true" outlineLevel="0" collapsed="false">
      <c r="A158" s="1"/>
      <c r="B158" s="16"/>
      <c r="C158" s="23"/>
      <c r="D158" s="24" t="str">
        <f aca="false">IF(B158="","",COUNTIF(Entries!$B$5:$B$2004,B158))</f>
        <v/>
      </c>
      <c r="E158" s="24" t="str">
        <f aca="false">IF(B158="","",ROUNDUP(D158/Settings!$C$6,0))</f>
        <v/>
      </c>
      <c r="F158" s="24" t="str">
        <f aca="false">IF(B158="","",C158-E158)</f>
        <v/>
      </c>
      <c r="G158" s="1"/>
      <c r="H158" s="1"/>
      <c r="I158" s="1"/>
    </row>
    <row r="159" customFormat="false" ht="21.75" hidden="false" customHeight="true" outlineLevel="0" collapsed="false">
      <c r="A159" s="1"/>
      <c r="B159" s="16"/>
      <c r="C159" s="23"/>
      <c r="D159" s="24" t="str">
        <f aca="false">IF(B159="","",COUNTIF(Entries!$B$5:$B$2004,B159))</f>
        <v/>
      </c>
      <c r="E159" s="24" t="str">
        <f aca="false">IF(B159="","",ROUNDUP(D159/Settings!$C$6,0))</f>
        <v/>
      </c>
      <c r="F159" s="24" t="str">
        <f aca="false">IF(B159="","",C159-E159)</f>
        <v/>
      </c>
      <c r="G159" s="1"/>
      <c r="H159" s="1"/>
      <c r="I159" s="1"/>
    </row>
    <row r="160" customFormat="false" ht="21.75" hidden="false" customHeight="true" outlineLevel="0" collapsed="false">
      <c r="A160" s="1"/>
      <c r="B160" s="16"/>
      <c r="C160" s="23"/>
      <c r="D160" s="24" t="str">
        <f aca="false">IF(B160="","",COUNTIF(Entries!$B$5:$B$2004,B160))</f>
        <v/>
      </c>
      <c r="E160" s="24" t="str">
        <f aca="false">IF(B160="","",ROUNDUP(D160/Settings!$C$6,0))</f>
        <v/>
      </c>
      <c r="F160" s="24" t="str">
        <f aca="false">IF(B160="","",C160-E160)</f>
        <v/>
      </c>
      <c r="G160" s="1"/>
      <c r="H160" s="1"/>
      <c r="I160" s="1"/>
    </row>
    <row r="161" customFormat="false" ht="21.75" hidden="false" customHeight="true" outlineLevel="0" collapsed="false">
      <c r="A161" s="1"/>
      <c r="B161" s="16"/>
      <c r="C161" s="23"/>
      <c r="D161" s="24" t="str">
        <f aca="false">IF(B161="","",COUNTIF(Entries!$B$5:$B$2004,B161))</f>
        <v/>
      </c>
      <c r="E161" s="24" t="str">
        <f aca="false">IF(B161="","",ROUNDUP(D161/Settings!$C$6,0))</f>
        <v/>
      </c>
      <c r="F161" s="24" t="str">
        <f aca="false">IF(B161="","",C161-E161)</f>
        <v/>
      </c>
      <c r="G161" s="1"/>
      <c r="H161" s="1"/>
      <c r="I161" s="1"/>
    </row>
    <row r="162" customFormat="false" ht="21.75" hidden="false" customHeight="true" outlineLevel="0" collapsed="false">
      <c r="A162" s="1"/>
      <c r="B162" s="16"/>
      <c r="C162" s="23"/>
      <c r="D162" s="24" t="str">
        <f aca="false">IF(B162="","",COUNTIF(Entries!$B$5:$B$2004,B162))</f>
        <v/>
      </c>
      <c r="E162" s="24" t="str">
        <f aca="false">IF(B162="","",ROUNDUP(D162/Settings!$C$6,0))</f>
        <v/>
      </c>
      <c r="F162" s="24" t="str">
        <f aca="false">IF(B162="","",C162-E162)</f>
        <v/>
      </c>
      <c r="G162" s="1"/>
      <c r="H162" s="1"/>
      <c r="I162" s="1"/>
    </row>
    <row r="163" customFormat="false" ht="21.75" hidden="false" customHeight="true" outlineLevel="0" collapsed="false">
      <c r="A163" s="1"/>
      <c r="B163" s="16"/>
      <c r="C163" s="23"/>
      <c r="D163" s="24" t="str">
        <f aca="false">IF(B163="","",COUNTIF(Entries!$B$5:$B$2004,B163))</f>
        <v/>
      </c>
      <c r="E163" s="24" t="str">
        <f aca="false">IF(B163="","",ROUNDUP(D163/Settings!$C$6,0))</f>
        <v/>
      </c>
      <c r="F163" s="24" t="str">
        <f aca="false">IF(B163="","",C163-E163)</f>
        <v/>
      </c>
      <c r="G163" s="1"/>
      <c r="H163" s="1"/>
      <c r="I163" s="1"/>
    </row>
    <row r="164" customFormat="false" ht="21.75" hidden="false" customHeight="true" outlineLevel="0" collapsed="false">
      <c r="A164" s="1"/>
      <c r="B164" s="16"/>
      <c r="C164" s="23"/>
      <c r="D164" s="24" t="str">
        <f aca="false">IF(B164="","",COUNTIF(Entries!$B$5:$B$2004,B164))</f>
        <v/>
      </c>
      <c r="E164" s="24" t="str">
        <f aca="false">IF(B164="","",ROUNDUP(D164/Settings!$C$6,0))</f>
        <v/>
      </c>
      <c r="F164" s="24" t="str">
        <f aca="false">IF(B164="","",C164-E164)</f>
        <v/>
      </c>
      <c r="G164" s="1"/>
      <c r="H164" s="1"/>
      <c r="I164" s="1"/>
    </row>
    <row r="165" customFormat="false" ht="21.75" hidden="false" customHeight="true" outlineLevel="0" collapsed="false">
      <c r="A165" s="1"/>
      <c r="B165" s="16"/>
      <c r="C165" s="23"/>
      <c r="D165" s="24" t="str">
        <f aca="false">IF(B165="","",COUNTIF(Entries!$B$5:$B$2004,B165))</f>
        <v/>
      </c>
      <c r="E165" s="24" t="str">
        <f aca="false">IF(B165="","",ROUNDUP(D165/Settings!$C$6,0))</f>
        <v/>
      </c>
      <c r="F165" s="24" t="str">
        <f aca="false">IF(B165="","",C165-E165)</f>
        <v/>
      </c>
      <c r="G165" s="1"/>
      <c r="H165" s="1"/>
      <c r="I165" s="1"/>
    </row>
    <row r="166" customFormat="false" ht="21.75" hidden="false" customHeight="true" outlineLevel="0" collapsed="false">
      <c r="A166" s="1"/>
      <c r="B166" s="16"/>
      <c r="C166" s="23"/>
      <c r="D166" s="24" t="str">
        <f aca="false">IF(B166="","",COUNTIF(Entries!$B$5:$B$2004,B166))</f>
        <v/>
      </c>
      <c r="E166" s="24" t="str">
        <f aca="false">IF(B166="","",ROUNDUP(D166/Settings!$C$6,0))</f>
        <v/>
      </c>
      <c r="F166" s="24" t="str">
        <f aca="false">IF(B166="","",C166-E166)</f>
        <v/>
      </c>
      <c r="G166" s="1"/>
      <c r="H166" s="1"/>
      <c r="I166" s="1"/>
    </row>
    <row r="167" customFormat="false" ht="21.75" hidden="false" customHeight="true" outlineLevel="0" collapsed="false">
      <c r="A167" s="1"/>
      <c r="B167" s="16"/>
      <c r="C167" s="23"/>
      <c r="D167" s="24" t="str">
        <f aca="false">IF(B167="","",COUNTIF(Entries!$B$5:$B$2004,B167))</f>
        <v/>
      </c>
      <c r="E167" s="24" t="str">
        <f aca="false">IF(B167="","",ROUNDUP(D167/Settings!$C$6,0))</f>
        <v/>
      </c>
      <c r="F167" s="24" t="str">
        <f aca="false">IF(B167="","",C167-E167)</f>
        <v/>
      </c>
      <c r="G167" s="1"/>
      <c r="H167" s="1"/>
      <c r="I167" s="1"/>
    </row>
    <row r="168" customFormat="false" ht="21.75" hidden="false" customHeight="true" outlineLevel="0" collapsed="false">
      <c r="A168" s="1"/>
      <c r="B168" s="16"/>
      <c r="C168" s="23"/>
      <c r="D168" s="24" t="str">
        <f aca="false">IF(B168="","",COUNTIF(Entries!$B$5:$B$2004,B168))</f>
        <v/>
      </c>
      <c r="E168" s="24" t="str">
        <f aca="false">IF(B168="","",ROUNDUP(D168/Settings!$C$6,0))</f>
        <v/>
      </c>
      <c r="F168" s="24" t="str">
        <f aca="false">IF(B168="","",C168-E168)</f>
        <v/>
      </c>
      <c r="G168" s="1"/>
      <c r="H168" s="1"/>
      <c r="I168" s="1"/>
    </row>
    <row r="169" customFormat="false" ht="21.75" hidden="false" customHeight="true" outlineLevel="0" collapsed="false">
      <c r="A169" s="1"/>
      <c r="B169" s="16"/>
      <c r="C169" s="23"/>
      <c r="D169" s="24" t="str">
        <f aca="false">IF(B169="","",COUNTIF(Entries!$B$5:$B$2004,B169))</f>
        <v/>
      </c>
      <c r="E169" s="24" t="str">
        <f aca="false">IF(B169="","",ROUNDUP(D169/Settings!$C$6,0))</f>
        <v/>
      </c>
      <c r="F169" s="24" t="str">
        <f aca="false">IF(B169="","",C169-E169)</f>
        <v/>
      </c>
      <c r="G169" s="1"/>
      <c r="H169" s="1"/>
      <c r="I169" s="1"/>
    </row>
    <row r="170" customFormat="false" ht="21.75" hidden="false" customHeight="true" outlineLevel="0" collapsed="false">
      <c r="A170" s="1"/>
      <c r="B170" s="16"/>
      <c r="C170" s="23"/>
      <c r="D170" s="24" t="str">
        <f aca="false">IF(B170="","",COUNTIF(Entries!$B$5:$B$2004,B170))</f>
        <v/>
      </c>
      <c r="E170" s="24" t="str">
        <f aca="false">IF(B170="","",ROUNDUP(D170/Settings!$C$6,0))</f>
        <v/>
      </c>
      <c r="F170" s="24" t="str">
        <f aca="false">IF(B170="","",C170-E170)</f>
        <v/>
      </c>
      <c r="G170" s="1"/>
      <c r="H170" s="1"/>
      <c r="I170" s="1"/>
    </row>
    <row r="171" customFormat="false" ht="21.75" hidden="false" customHeight="true" outlineLevel="0" collapsed="false">
      <c r="A171" s="1"/>
      <c r="B171" s="16"/>
      <c r="C171" s="23"/>
      <c r="D171" s="24" t="str">
        <f aca="false">IF(B171="","",COUNTIF(Entries!$B$5:$B$2004,B171))</f>
        <v/>
      </c>
      <c r="E171" s="24" t="str">
        <f aca="false">IF(B171="","",ROUNDUP(D171/Settings!$C$6,0))</f>
        <v/>
      </c>
      <c r="F171" s="24" t="str">
        <f aca="false">IF(B171="","",C171-E171)</f>
        <v/>
      </c>
      <c r="G171" s="1"/>
      <c r="H171" s="1"/>
      <c r="I171" s="1"/>
    </row>
    <row r="172" customFormat="false" ht="21.75" hidden="false" customHeight="true" outlineLevel="0" collapsed="false">
      <c r="A172" s="1"/>
      <c r="B172" s="16"/>
      <c r="C172" s="23"/>
      <c r="D172" s="24" t="str">
        <f aca="false">IF(B172="","",COUNTIF(Entries!$B$5:$B$2004,B172))</f>
        <v/>
      </c>
      <c r="E172" s="24" t="str">
        <f aca="false">IF(B172="","",ROUNDUP(D172/Settings!$C$6,0))</f>
        <v/>
      </c>
      <c r="F172" s="24" t="str">
        <f aca="false">IF(B172="","",C172-E172)</f>
        <v/>
      </c>
      <c r="G172" s="1"/>
      <c r="H172" s="1"/>
      <c r="I172" s="1"/>
    </row>
    <row r="173" customFormat="false" ht="21.75" hidden="false" customHeight="true" outlineLevel="0" collapsed="false">
      <c r="A173" s="1"/>
      <c r="B173" s="16"/>
      <c r="C173" s="23"/>
      <c r="D173" s="24" t="str">
        <f aca="false">IF(B173="","",COUNTIF(Entries!$B$5:$B$2004,B173))</f>
        <v/>
      </c>
      <c r="E173" s="24" t="str">
        <f aca="false">IF(B173="","",ROUNDUP(D173/Settings!$C$6,0))</f>
        <v/>
      </c>
      <c r="F173" s="24" t="str">
        <f aca="false">IF(B173="","",C173-E173)</f>
        <v/>
      </c>
      <c r="G173" s="1"/>
      <c r="H173" s="1"/>
      <c r="I173" s="1"/>
    </row>
    <row r="174" customFormat="false" ht="21.75" hidden="false" customHeight="true" outlineLevel="0" collapsed="false">
      <c r="A174" s="1"/>
      <c r="B174" s="16"/>
      <c r="C174" s="23"/>
      <c r="D174" s="24" t="str">
        <f aca="false">IF(B174="","",COUNTIF(Entries!$B$5:$B$2004,B174))</f>
        <v/>
      </c>
      <c r="E174" s="24" t="str">
        <f aca="false">IF(B174="","",ROUNDUP(D174/Settings!$C$6,0))</f>
        <v/>
      </c>
      <c r="F174" s="24" t="str">
        <f aca="false">IF(B174="","",C174-E174)</f>
        <v/>
      </c>
      <c r="G174" s="1"/>
      <c r="H174" s="1"/>
      <c r="I174" s="1"/>
    </row>
    <row r="175" customFormat="false" ht="21.75" hidden="false" customHeight="true" outlineLevel="0" collapsed="false">
      <c r="A175" s="1"/>
      <c r="B175" s="16"/>
      <c r="C175" s="23"/>
      <c r="D175" s="24" t="str">
        <f aca="false">IF(B175="","",COUNTIF(Entries!$B$5:$B$2004,B175))</f>
        <v/>
      </c>
      <c r="E175" s="24" t="str">
        <f aca="false">IF(B175="","",ROUNDUP(D175/Settings!$C$6,0))</f>
        <v/>
      </c>
      <c r="F175" s="24" t="str">
        <f aca="false">IF(B175="","",C175-E175)</f>
        <v/>
      </c>
      <c r="G175" s="1"/>
      <c r="H175" s="1"/>
      <c r="I175" s="1"/>
    </row>
    <row r="176" customFormat="false" ht="21.75" hidden="false" customHeight="true" outlineLevel="0" collapsed="false">
      <c r="A176" s="1"/>
      <c r="B176" s="16"/>
      <c r="C176" s="23"/>
      <c r="D176" s="24" t="str">
        <f aca="false">IF(B176="","",COUNTIF(Entries!$B$5:$B$2004,B176))</f>
        <v/>
      </c>
      <c r="E176" s="24" t="str">
        <f aca="false">IF(B176="","",ROUNDUP(D176/Settings!$C$6,0))</f>
        <v/>
      </c>
      <c r="F176" s="24" t="str">
        <f aca="false">IF(B176="","",C176-E176)</f>
        <v/>
      </c>
      <c r="G176" s="1"/>
      <c r="H176" s="1"/>
      <c r="I176" s="1"/>
    </row>
    <row r="177" customFormat="false" ht="21.75" hidden="false" customHeight="true" outlineLevel="0" collapsed="false">
      <c r="A177" s="1"/>
      <c r="B177" s="16"/>
      <c r="C177" s="23"/>
      <c r="D177" s="24" t="str">
        <f aca="false">IF(B177="","",COUNTIF(Entries!$B$5:$B$2004,B177))</f>
        <v/>
      </c>
      <c r="E177" s="24" t="str">
        <f aca="false">IF(B177="","",ROUNDUP(D177/Settings!$C$6,0))</f>
        <v/>
      </c>
      <c r="F177" s="24" t="str">
        <f aca="false">IF(B177="","",C177-E177)</f>
        <v/>
      </c>
      <c r="G177" s="1"/>
      <c r="H177" s="1"/>
      <c r="I177" s="1"/>
    </row>
    <row r="178" customFormat="false" ht="21.75" hidden="false" customHeight="true" outlineLevel="0" collapsed="false">
      <c r="A178" s="1"/>
      <c r="B178" s="16"/>
      <c r="C178" s="23"/>
      <c r="D178" s="24" t="str">
        <f aca="false">IF(B178="","",COUNTIF(Entries!$B$5:$B$2004,B178))</f>
        <v/>
      </c>
      <c r="E178" s="24" t="str">
        <f aca="false">IF(B178="","",ROUNDUP(D178/Settings!$C$6,0))</f>
        <v/>
      </c>
      <c r="F178" s="24" t="str">
        <f aca="false">IF(B178="","",C178-E178)</f>
        <v/>
      </c>
      <c r="G178" s="1"/>
      <c r="H178" s="1"/>
      <c r="I178" s="1"/>
    </row>
    <row r="179" customFormat="false" ht="21.75" hidden="false" customHeight="true" outlineLevel="0" collapsed="false">
      <c r="A179" s="1"/>
      <c r="B179" s="16"/>
      <c r="C179" s="23"/>
      <c r="D179" s="24" t="str">
        <f aca="false">IF(B179="","",COUNTIF(Entries!$B$5:$B$2004,B179))</f>
        <v/>
      </c>
      <c r="E179" s="24" t="str">
        <f aca="false">IF(B179="","",ROUNDUP(D179/Settings!$C$6,0))</f>
        <v/>
      </c>
      <c r="F179" s="24" t="str">
        <f aca="false">IF(B179="","",C179-E179)</f>
        <v/>
      </c>
      <c r="G179" s="1"/>
      <c r="H179" s="1"/>
      <c r="I179" s="1"/>
    </row>
    <row r="180" customFormat="false" ht="21.75" hidden="false" customHeight="true" outlineLevel="0" collapsed="false">
      <c r="A180" s="1"/>
      <c r="B180" s="16"/>
      <c r="C180" s="23"/>
      <c r="D180" s="24" t="str">
        <f aca="false">IF(B180="","",COUNTIF(Entries!$B$5:$B$2004,B180))</f>
        <v/>
      </c>
      <c r="E180" s="24" t="str">
        <f aca="false">IF(B180="","",ROUNDUP(D180/Settings!$C$6,0))</f>
        <v/>
      </c>
      <c r="F180" s="24" t="str">
        <f aca="false">IF(B180="","",C180-E180)</f>
        <v/>
      </c>
      <c r="G180" s="1"/>
      <c r="H180" s="1"/>
      <c r="I180" s="1"/>
    </row>
    <row r="181" customFormat="false" ht="21.75" hidden="false" customHeight="true" outlineLevel="0" collapsed="false">
      <c r="A181" s="1"/>
      <c r="B181" s="16"/>
      <c r="C181" s="23"/>
      <c r="D181" s="24" t="str">
        <f aca="false">IF(B181="","",COUNTIF(Entries!$B$5:$B$2004,B181))</f>
        <v/>
      </c>
      <c r="E181" s="24" t="str">
        <f aca="false">IF(B181="","",ROUNDUP(D181/Settings!$C$6,0))</f>
        <v/>
      </c>
      <c r="F181" s="24" t="str">
        <f aca="false">IF(B181="","",C181-E181)</f>
        <v/>
      </c>
      <c r="G181" s="1"/>
      <c r="H181" s="1"/>
      <c r="I181" s="1"/>
    </row>
    <row r="182" customFormat="false" ht="21.75" hidden="false" customHeight="true" outlineLevel="0" collapsed="false">
      <c r="A182" s="1"/>
      <c r="B182" s="16"/>
      <c r="C182" s="23"/>
      <c r="D182" s="24" t="str">
        <f aca="false">IF(B182="","",COUNTIF(Entries!$B$5:$B$2004,B182))</f>
        <v/>
      </c>
      <c r="E182" s="24" t="str">
        <f aca="false">IF(B182="","",ROUNDUP(D182/Settings!$C$6,0))</f>
        <v/>
      </c>
      <c r="F182" s="24" t="str">
        <f aca="false">IF(B182="","",C182-E182)</f>
        <v/>
      </c>
      <c r="G182" s="1"/>
      <c r="H182" s="1"/>
      <c r="I182" s="1"/>
    </row>
    <row r="183" customFormat="false" ht="21.75" hidden="false" customHeight="true" outlineLevel="0" collapsed="false">
      <c r="A183" s="1"/>
      <c r="B183" s="16"/>
      <c r="C183" s="23"/>
      <c r="D183" s="24" t="str">
        <f aca="false">IF(B183="","",COUNTIF(Entries!$B$5:$B$2004,B183))</f>
        <v/>
      </c>
      <c r="E183" s="24" t="str">
        <f aca="false">IF(B183="","",ROUNDUP(D183/Settings!$C$6,0))</f>
        <v/>
      </c>
      <c r="F183" s="24" t="str">
        <f aca="false">IF(B183="","",C183-E183)</f>
        <v/>
      </c>
      <c r="G183" s="1"/>
      <c r="H183" s="1"/>
      <c r="I183" s="1"/>
    </row>
    <row r="184" customFormat="false" ht="21.75" hidden="false" customHeight="true" outlineLevel="0" collapsed="false">
      <c r="A184" s="1"/>
      <c r="B184" s="16"/>
      <c r="C184" s="23"/>
      <c r="D184" s="24" t="str">
        <f aca="false">IF(B184="","",COUNTIF(Entries!$B$5:$B$2004,B184))</f>
        <v/>
      </c>
      <c r="E184" s="24" t="str">
        <f aca="false">IF(B184="","",ROUNDUP(D184/Settings!$C$6,0))</f>
        <v/>
      </c>
      <c r="F184" s="24" t="str">
        <f aca="false">IF(B184="","",C184-E184)</f>
        <v/>
      </c>
      <c r="G184" s="1"/>
      <c r="H184" s="1"/>
      <c r="I184" s="1"/>
    </row>
    <row r="185" customFormat="false" ht="21.75" hidden="false" customHeight="true" outlineLevel="0" collapsed="false">
      <c r="A185" s="1"/>
      <c r="B185" s="16"/>
      <c r="C185" s="23"/>
      <c r="D185" s="24" t="str">
        <f aca="false">IF(B185="","",COUNTIF(Entries!$B$5:$B$2004,B185))</f>
        <v/>
      </c>
      <c r="E185" s="24" t="str">
        <f aca="false">IF(B185="","",ROUNDUP(D185/Settings!$C$6,0))</f>
        <v/>
      </c>
      <c r="F185" s="24" t="str">
        <f aca="false">IF(B185="","",C185-E185)</f>
        <v/>
      </c>
      <c r="G185" s="1"/>
      <c r="H185" s="1"/>
      <c r="I185" s="1"/>
    </row>
    <row r="186" customFormat="false" ht="21.75" hidden="false" customHeight="true" outlineLevel="0" collapsed="false">
      <c r="A186" s="1"/>
      <c r="B186" s="16"/>
      <c r="C186" s="23"/>
      <c r="D186" s="24" t="str">
        <f aca="false">IF(B186="","",COUNTIF(Entries!$B$5:$B$2004,B186))</f>
        <v/>
      </c>
      <c r="E186" s="24" t="str">
        <f aca="false">IF(B186="","",ROUNDUP(D186/Settings!$C$6,0))</f>
        <v/>
      </c>
      <c r="F186" s="24" t="str">
        <f aca="false">IF(B186="","",C186-E186)</f>
        <v/>
      </c>
      <c r="G186" s="1"/>
      <c r="H186" s="1"/>
      <c r="I186" s="1"/>
    </row>
    <row r="187" customFormat="false" ht="21.75" hidden="false" customHeight="true" outlineLevel="0" collapsed="false">
      <c r="A187" s="1"/>
      <c r="B187" s="16"/>
      <c r="C187" s="23"/>
      <c r="D187" s="24" t="str">
        <f aca="false">IF(B187="","",COUNTIF(Entries!$B$5:$B$2004,B187))</f>
        <v/>
      </c>
      <c r="E187" s="24" t="str">
        <f aca="false">IF(B187="","",ROUNDUP(D187/Settings!$C$6,0))</f>
        <v/>
      </c>
      <c r="F187" s="24" t="str">
        <f aca="false">IF(B187="","",C187-E187)</f>
        <v/>
      </c>
      <c r="G187" s="1"/>
      <c r="H187" s="1"/>
      <c r="I187" s="1"/>
    </row>
    <row r="188" customFormat="false" ht="21.75" hidden="false" customHeight="true" outlineLevel="0" collapsed="false">
      <c r="A188" s="1"/>
      <c r="B188" s="16"/>
      <c r="C188" s="23"/>
      <c r="D188" s="24" t="str">
        <f aca="false">IF(B188="","",COUNTIF(Entries!$B$5:$B$2004,B188))</f>
        <v/>
      </c>
      <c r="E188" s="24" t="str">
        <f aca="false">IF(B188="","",ROUNDUP(D188/Settings!$C$6,0))</f>
        <v/>
      </c>
      <c r="F188" s="24" t="str">
        <f aca="false">IF(B188="","",C188-E188)</f>
        <v/>
      </c>
      <c r="G188" s="1"/>
      <c r="H188" s="1"/>
      <c r="I188" s="1"/>
    </row>
    <row r="189" customFormat="false" ht="21.75" hidden="false" customHeight="true" outlineLevel="0" collapsed="false">
      <c r="A189" s="1"/>
      <c r="B189" s="16"/>
      <c r="C189" s="23"/>
      <c r="D189" s="24" t="str">
        <f aca="false">IF(B189="","",COUNTIF(Entries!$B$5:$B$2004,B189))</f>
        <v/>
      </c>
      <c r="E189" s="24" t="str">
        <f aca="false">IF(B189="","",ROUNDUP(D189/Settings!$C$6,0))</f>
        <v/>
      </c>
      <c r="F189" s="24" t="str">
        <f aca="false">IF(B189="","",C189-E189)</f>
        <v/>
      </c>
      <c r="G189" s="1"/>
      <c r="H189" s="1"/>
      <c r="I189" s="1"/>
    </row>
    <row r="190" customFormat="false" ht="21.75" hidden="false" customHeight="true" outlineLevel="0" collapsed="false">
      <c r="A190" s="1"/>
      <c r="B190" s="16"/>
      <c r="C190" s="23"/>
      <c r="D190" s="24" t="str">
        <f aca="false">IF(B190="","",COUNTIF(Entries!$B$5:$B$2004,B190))</f>
        <v/>
      </c>
      <c r="E190" s="24" t="str">
        <f aca="false">IF(B190="","",ROUNDUP(D190/Settings!$C$6,0))</f>
        <v/>
      </c>
      <c r="F190" s="24" t="str">
        <f aca="false">IF(B190="","",C190-E190)</f>
        <v/>
      </c>
      <c r="G190" s="1"/>
      <c r="H190" s="1"/>
      <c r="I190" s="1"/>
    </row>
    <row r="191" customFormat="false" ht="21.75" hidden="false" customHeight="true" outlineLevel="0" collapsed="false">
      <c r="A191" s="1"/>
      <c r="B191" s="16"/>
      <c r="C191" s="23"/>
      <c r="D191" s="24" t="str">
        <f aca="false">IF(B191="","",COUNTIF(Entries!$B$5:$B$2004,B191))</f>
        <v/>
      </c>
      <c r="E191" s="24" t="str">
        <f aca="false">IF(B191="","",ROUNDUP(D191/Settings!$C$6,0))</f>
        <v/>
      </c>
      <c r="F191" s="24" t="str">
        <f aca="false">IF(B191="","",C191-E191)</f>
        <v/>
      </c>
      <c r="G191" s="1"/>
      <c r="H191" s="1"/>
      <c r="I191" s="1"/>
    </row>
    <row r="192" customFormat="false" ht="21.75" hidden="false" customHeight="true" outlineLevel="0" collapsed="false">
      <c r="A192" s="1"/>
      <c r="B192" s="16"/>
      <c r="C192" s="23"/>
      <c r="D192" s="24" t="str">
        <f aca="false">IF(B192="","",COUNTIF(Entries!$B$5:$B$2004,B192))</f>
        <v/>
      </c>
      <c r="E192" s="24" t="str">
        <f aca="false">IF(B192="","",ROUNDUP(D192/Settings!$C$6,0))</f>
        <v/>
      </c>
      <c r="F192" s="24" t="str">
        <f aca="false">IF(B192="","",C192-E192)</f>
        <v/>
      </c>
      <c r="G192" s="1"/>
      <c r="H192" s="1"/>
      <c r="I192" s="1"/>
    </row>
    <row r="193" customFormat="false" ht="21.75" hidden="false" customHeight="true" outlineLevel="0" collapsed="false">
      <c r="A193" s="1"/>
      <c r="B193" s="16"/>
      <c r="C193" s="23"/>
      <c r="D193" s="24" t="str">
        <f aca="false">IF(B193="","",COUNTIF(Entries!$B$5:$B$2004,B193))</f>
        <v/>
      </c>
      <c r="E193" s="24" t="str">
        <f aca="false">IF(B193="","",ROUNDUP(D193/Settings!$C$6,0))</f>
        <v/>
      </c>
      <c r="F193" s="24" t="str">
        <f aca="false">IF(B193="","",C193-E193)</f>
        <v/>
      </c>
      <c r="G193" s="1"/>
      <c r="H193" s="1"/>
      <c r="I193" s="1"/>
    </row>
    <row r="194" customFormat="false" ht="21.75" hidden="false" customHeight="true" outlineLevel="0" collapsed="false">
      <c r="A194" s="1"/>
      <c r="B194" s="16"/>
      <c r="C194" s="23"/>
      <c r="D194" s="24" t="str">
        <f aca="false">IF(B194="","",COUNTIF(Entries!$B$5:$B$2004,B194))</f>
        <v/>
      </c>
      <c r="E194" s="24" t="str">
        <f aca="false">IF(B194="","",ROUNDUP(D194/Settings!$C$6,0))</f>
        <v/>
      </c>
      <c r="F194" s="24" t="str">
        <f aca="false">IF(B194="","",C194-E194)</f>
        <v/>
      </c>
      <c r="G194" s="1"/>
      <c r="H194" s="1"/>
      <c r="I194" s="1"/>
    </row>
    <row r="195" customFormat="false" ht="21.75" hidden="false" customHeight="true" outlineLevel="0" collapsed="false">
      <c r="A195" s="1"/>
      <c r="B195" s="16"/>
      <c r="C195" s="23"/>
      <c r="D195" s="24" t="str">
        <f aca="false">IF(B195="","",COUNTIF(Entries!$B$5:$B$2004,B195))</f>
        <v/>
      </c>
      <c r="E195" s="24" t="str">
        <f aca="false">IF(B195="","",ROUNDUP(D195/Settings!$C$6,0))</f>
        <v/>
      </c>
      <c r="F195" s="24" t="str">
        <f aca="false">IF(B195="","",C195-E195)</f>
        <v/>
      </c>
      <c r="G195" s="1"/>
      <c r="H195" s="1"/>
      <c r="I195" s="1"/>
    </row>
    <row r="196" customFormat="false" ht="21.75" hidden="false" customHeight="true" outlineLevel="0" collapsed="false">
      <c r="A196" s="1"/>
      <c r="B196" s="16"/>
      <c r="C196" s="23"/>
      <c r="D196" s="24" t="str">
        <f aca="false">IF(B196="","",COUNTIF(Entries!$B$5:$B$2004,B196))</f>
        <v/>
      </c>
      <c r="E196" s="24" t="str">
        <f aca="false">IF(B196="","",ROUNDUP(D196/Settings!$C$6,0))</f>
        <v/>
      </c>
      <c r="F196" s="24" t="str">
        <f aca="false">IF(B196="","",C196-E196)</f>
        <v/>
      </c>
      <c r="G196" s="1"/>
      <c r="H196" s="1"/>
      <c r="I196" s="1"/>
    </row>
    <row r="197" customFormat="false" ht="21.75" hidden="false" customHeight="true" outlineLevel="0" collapsed="false">
      <c r="A197" s="1"/>
      <c r="B197" s="16"/>
      <c r="C197" s="23"/>
      <c r="D197" s="24" t="str">
        <f aca="false">IF(B197="","",COUNTIF(Entries!$B$5:$B$2004,B197))</f>
        <v/>
      </c>
      <c r="E197" s="24" t="str">
        <f aca="false">IF(B197="","",ROUNDUP(D197/Settings!$C$6,0))</f>
        <v/>
      </c>
      <c r="F197" s="24" t="str">
        <f aca="false">IF(B197="","",C197-E197)</f>
        <v/>
      </c>
      <c r="G197" s="1"/>
      <c r="H197" s="1"/>
      <c r="I197" s="1"/>
    </row>
    <row r="198" customFormat="false" ht="21.75" hidden="false" customHeight="true" outlineLevel="0" collapsed="false">
      <c r="A198" s="1"/>
      <c r="B198" s="16"/>
      <c r="C198" s="23"/>
      <c r="D198" s="24" t="str">
        <f aca="false">IF(B198="","",COUNTIF(Entries!$B$5:$B$2004,B198))</f>
        <v/>
      </c>
      <c r="E198" s="24" t="str">
        <f aca="false">IF(B198="","",ROUNDUP(D198/Settings!$C$6,0))</f>
        <v/>
      </c>
      <c r="F198" s="24" t="str">
        <f aca="false">IF(B198="","",C198-E198)</f>
        <v/>
      </c>
      <c r="G198" s="1"/>
      <c r="H198" s="1"/>
      <c r="I198" s="1"/>
    </row>
    <row r="199" customFormat="false" ht="21.75" hidden="false" customHeight="true" outlineLevel="0" collapsed="false">
      <c r="A199" s="1"/>
      <c r="B199" s="16"/>
      <c r="C199" s="23"/>
      <c r="D199" s="24" t="str">
        <f aca="false">IF(B199="","",COUNTIF(Entries!$B$5:$B$2004,B199))</f>
        <v/>
      </c>
      <c r="E199" s="24" t="str">
        <f aca="false">IF(B199="","",ROUNDUP(D199/Settings!$C$6,0))</f>
        <v/>
      </c>
      <c r="F199" s="24" t="str">
        <f aca="false">IF(B199="","",C199-E199)</f>
        <v/>
      </c>
      <c r="G199" s="1"/>
      <c r="H199" s="1"/>
      <c r="I199" s="1"/>
    </row>
    <row r="200" customFormat="false" ht="21.75" hidden="false" customHeight="true" outlineLevel="0" collapsed="false">
      <c r="A200" s="1"/>
      <c r="B200" s="16"/>
      <c r="C200" s="23"/>
      <c r="D200" s="24" t="str">
        <f aca="false">IF(B200="","",COUNTIF(Entries!$B$5:$B$2004,B200))</f>
        <v/>
      </c>
      <c r="E200" s="24" t="str">
        <f aca="false">IF(B200="","",ROUNDUP(D200/Settings!$C$6,0))</f>
        <v/>
      </c>
      <c r="F200" s="24" t="str">
        <f aca="false">IF(B200="","",C200-E200)</f>
        <v/>
      </c>
      <c r="G200" s="1"/>
      <c r="H200" s="1"/>
      <c r="I200" s="1"/>
    </row>
    <row r="201" customFormat="false" ht="21.75" hidden="false" customHeight="true" outlineLevel="0" collapsed="false">
      <c r="A201" s="1"/>
      <c r="B201" s="16"/>
      <c r="C201" s="23"/>
      <c r="D201" s="24" t="str">
        <f aca="false">IF(B201="","",COUNTIF(Entries!$B$5:$B$2004,B201))</f>
        <v/>
      </c>
      <c r="E201" s="24" t="str">
        <f aca="false">IF(B201="","",ROUNDUP(D201/Settings!$C$6,0))</f>
        <v/>
      </c>
      <c r="F201" s="24" t="str">
        <f aca="false">IF(B201="","",C201-E201)</f>
        <v/>
      </c>
      <c r="G201" s="1"/>
      <c r="H201" s="1"/>
      <c r="I201" s="1"/>
    </row>
    <row r="202" customFormat="false" ht="21.75" hidden="false" customHeight="true" outlineLevel="0" collapsed="false">
      <c r="A202" s="1"/>
      <c r="B202" s="16"/>
      <c r="C202" s="23"/>
      <c r="D202" s="24" t="str">
        <f aca="false">IF(B202="","",COUNTIF(Entries!$B$5:$B$2004,B202))</f>
        <v/>
      </c>
      <c r="E202" s="24" t="str">
        <f aca="false">IF(B202="","",ROUNDUP(D202/Settings!$C$6,0))</f>
        <v/>
      </c>
      <c r="F202" s="24" t="str">
        <f aca="false">IF(B202="","",C202-E202)</f>
        <v/>
      </c>
      <c r="G202" s="1"/>
      <c r="H202" s="1"/>
      <c r="I202" s="1"/>
    </row>
    <row r="203" customFormat="false" ht="21.75" hidden="false" customHeight="true" outlineLevel="0" collapsed="false">
      <c r="A203" s="1"/>
      <c r="B203" s="16"/>
      <c r="C203" s="23"/>
      <c r="D203" s="24" t="str">
        <f aca="false">IF(B203="","",COUNTIF(Entries!$B$5:$B$2004,B203))</f>
        <v/>
      </c>
      <c r="E203" s="24" t="str">
        <f aca="false">IF(B203="","",ROUNDUP(D203/Settings!$C$6,0))</f>
        <v/>
      </c>
      <c r="F203" s="24" t="str">
        <f aca="false">IF(B203="","",C203-E203)</f>
        <v/>
      </c>
      <c r="G203" s="1"/>
      <c r="H203" s="1"/>
      <c r="I203" s="1"/>
    </row>
    <row r="204" customFormat="false" ht="21.75" hidden="false" customHeight="true" outlineLevel="0" collapsed="false">
      <c r="A204" s="1"/>
      <c r="B204" s="16"/>
      <c r="C204" s="23"/>
      <c r="D204" s="24" t="str">
        <f aca="false">IF(B204="","",COUNTIF(Entries!$B$5:$B$2004,B204))</f>
        <v/>
      </c>
      <c r="E204" s="24" t="str">
        <f aca="false">IF(B204="","",ROUNDUP(D204/Settings!$C$6,0))</f>
        <v/>
      </c>
      <c r="F204" s="24" t="str">
        <f aca="false">IF(B204="","",C204-E204)</f>
        <v/>
      </c>
      <c r="G204" s="1"/>
      <c r="H204" s="1"/>
      <c r="I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</row>
  </sheetData>
  <conditionalFormatting sqref="F5:F204">
    <cfRule type="expression" priority="2" aboveAverage="0" equalAverage="0" bottom="0" percent="0" rank="0" text="" dxfId="7">
      <formula>AND(F5&lt;&gt;"",F5&lt;0)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2026-10-15T08:20:38Z</dcterms:created>
  <dc:creator>openpyxl</dc:creator>
  <dc:description/>
  <dc:language>en-US</dc:language>
  <cp:lastModifiedBy/>
  <dcterms:modified xsi:type="dcterms:W3CDTF">2026-10-15T08:20:42Z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